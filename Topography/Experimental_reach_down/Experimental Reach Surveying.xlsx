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La_Jara\Topography\Experimental_reach_down\"/>
    </mc:Choice>
  </mc:AlternateContent>
  <xr:revisionPtr revIDLastSave="0" documentId="13_ncr:1_{82877091-8C33-4F2F-9AB5-C67FDC3F0C53}" xr6:coauthVersionLast="47" xr6:coauthVersionMax="47" xr10:uidLastSave="{00000000-0000-0000-0000-000000000000}"/>
  <bookViews>
    <workbookView xWindow="-120" yWindow="-120" windowWidth="29040" windowHeight="15720" activeTab="2" xr2:uid="{6875A78A-EB74-4CCE-9079-1EDDD22DA4D6}"/>
  </bookViews>
  <sheets>
    <sheet name="Long Profile" sheetId="1" r:id="rId1"/>
    <sheet name="Sampling XS" sheetId="2" r:id="rId2"/>
    <sheet name="Pressure Transducer XS" sheetId="3" r:id="rId3"/>
    <sheet name="Bedload Sampling X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9" i="3" l="1"/>
  <c r="F3" i="1"/>
  <c r="F3" i="3"/>
  <c r="G6" i="3"/>
  <c r="G7" i="3"/>
  <c r="G8" i="3"/>
  <c r="G9" i="3"/>
  <c r="G10" i="3"/>
  <c r="G11" i="3"/>
  <c r="G12" i="3"/>
  <c r="G13" i="3"/>
  <c r="J25" i="3" s="1"/>
  <c r="J26" i="3" s="1"/>
  <c r="J27" i="3" s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J31" i="3" s="1"/>
  <c r="G27" i="3"/>
  <c r="G28" i="3"/>
  <c r="G29" i="3"/>
  <c r="G30" i="3"/>
  <c r="G31" i="3"/>
  <c r="G32" i="3"/>
  <c r="G33" i="3"/>
  <c r="G4" i="3"/>
  <c r="G34" i="3" l="1"/>
  <c r="G5" i="3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4" i="1"/>
  <c r="G44" i="1"/>
  <c r="O27" i="3"/>
  <c r="O28" i="3" s="1"/>
  <c r="J28" i="3"/>
  <c r="J29" i="3" s="1"/>
  <c r="J30" i="3" s="1"/>
</calcChain>
</file>

<file path=xl/sharedStrings.xml><?xml version="1.0" encoding="utf-8"?>
<sst xmlns="http://schemas.openxmlformats.org/spreadsheetml/2006/main" count="108" uniqueCount="59">
  <si>
    <t>Point</t>
  </si>
  <si>
    <t>BS</t>
  </si>
  <si>
    <t>IS</t>
  </si>
  <si>
    <t>FS</t>
  </si>
  <si>
    <t>Comments</t>
  </si>
  <si>
    <t xml:space="preserve">Start Time: </t>
  </si>
  <si>
    <t xml:space="preserve">End Time: </t>
  </si>
  <si>
    <t>Experimental Reach Long Profile 08/16/22</t>
  </si>
  <si>
    <t>End 2:30 pm</t>
  </si>
  <si>
    <t>Start 2 pm</t>
  </si>
  <si>
    <t>Dam Board Location</t>
  </si>
  <si>
    <t>Big Boulder</t>
  </si>
  <si>
    <t>Bottom of Boulder</t>
  </si>
  <si>
    <t>Top of Step</t>
  </si>
  <si>
    <t>Bottom of Step</t>
  </si>
  <si>
    <t>Pool</t>
  </si>
  <si>
    <t>Pool (point 1)</t>
  </si>
  <si>
    <t>Bedload Sampling Location</t>
  </si>
  <si>
    <t>This is all a step</t>
  </si>
  <si>
    <t>Huge Boulder Starts</t>
  </si>
  <si>
    <t>Grab Samples Were Taken</t>
  </si>
  <si>
    <t>End of Boulder</t>
  </si>
  <si>
    <t xml:space="preserve">Rebar with pressure transd. (point 2) </t>
  </si>
  <si>
    <t>Sonde location (point 3)</t>
  </si>
  <si>
    <t>Top of step</t>
  </si>
  <si>
    <t>Bottom of step</t>
  </si>
  <si>
    <t>Highly veget. Bends</t>
  </si>
  <si>
    <t>Sampling cross section -&gt; XS length: 2m</t>
  </si>
  <si>
    <t>end at Flow re-unites</t>
  </si>
  <si>
    <t>.</t>
  </si>
  <si>
    <t>Starts at Left Bank</t>
  </si>
  <si>
    <t>Top of Rock</t>
  </si>
  <si>
    <t>Bottom of Rock</t>
  </si>
  <si>
    <t>grass</t>
  </si>
  <si>
    <t>edge of water</t>
  </si>
  <si>
    <t>Where Bottle was submerged</t>
  </si>
  <si>
    <t>Top of Rock/Boulder</t>
  </si>
  <si>
    <t>Last on Boulder</t>
  </si>
  <si>
    <t>Edge of water</t>
  </si>
  <si>
    <t>Starts at Right Bank</t>
  </si>
  <si>
    <t>Flood plain</t>
  </si>
  <si>
    <t>Vegetation</t>
  </si>
  <si>
    <t>Edge of Water (stagnant)</t>
  </si>
  <si>
    <t xml:space="preserve">Bedload Sampling XS -&gt; 2m </t>
  </si>
  <si>
    <t>Edge of Grass (water flowing over it) + where the Rebar was</t>
  </si>
  <si>
    <t>Flowing water</t>
  </si>
  <si>
    <t xml:space="preserve">Grass (edge of) </t>
  </si>
  <si>
    <t>Rock (Top)</t>
  </si>
  <si>
    <t>Top of higher rock</t>
  </si>
  <si>
    <t>Starts ar Right Bank</t>
  </si>
  <si>
    <t xml:space="preserve">Channel Incision </t>
  </si>
  <si>
    <t>Instrumental (HI)</t>
  </si>
  <si>
    <t>Elevation (m)</t>
  </si>
  <si>
    <t>Start:</t>
  </si>
  <si>
    <t>End:</t>
  </si>
  <si>
    <t>Pressure Transducer Cross Section: 3,1m -&gt; at 35,2m</t>
  </si>
  <si>
    <t>water height at rebar</t>
  </si>
  <si>
    <t>m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</si>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</sst>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6" xfId="0" applyBorder="1" applyAlignment="1">
      <alignment horizontal="center" vertical="center"/>
    </xf>
    <xf numFmtId="18" fontId="0" fillId="0" borderId="7" xfId="0" applyNumberFormat="1" applyBorder="1" applyAlignment="1">
      <alignment horizontal="center" vertical="center"/>
    </xf>
    <xf numFmtId="18" fontId="0" fillId="0" borderId="7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0" fontId="0" fillId="0" borderId="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855424321959757E-2"/>
                  <c:y val="-0.432589676290463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'Long Profile'!$A$3:$A$51</c:f>
              <c:numCache>
                <c:formatCode>General</c:formatCode>
                <c:ptCount val="49"/>
                <c:pt idx="0">
                  <c:v>30</c:v>
                </c:pt>
                <c:pt idx="1">
                  <c:v>30.2</c:v>
                </c:pt>
                <c:pt idx="2">
                  <c:v>30.4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31.2</c:v>
                </c:pt>
                <c:pt idx="7">
                  <c:v>31.4</c:v>
                </c:pt>
                <c:pt idx="8">
                  <c:v>31.6</c:v>
                </c:pt>
                <c:pt idx="9">
                  <c:v>31.8</c:v>
                </c:pt>
                <c:pt idx="10">
                  <c:v>32</c:v>
                </c:pt>
                <c:pt idx="11">
                  <c:v>32.200000000000003</c:v>
                </c:pt>
                <c:pt idx="12">
                  <c:v>32.4</c:v>
                </c:pt>
                <c:pt idx="13">
                  <c:v>32.6</c:v>
                </c:pt>
                <c:pt idx="14">
                  <c:v>32.799999999999997</c:v>
                </c:pt>
                <c:pt idx="15">
                  <c:v>33</c:v>
                </c:pt>
                <c:pt idx="16">
                  <c:v>33.200000000000003</c:v>
                </c:pt>
                <c:pt idx="17">
                  <c:v>33.4</c:v>
                </c:pt>
                <c:pt idx="18">
                  <c:v>33.6</c:v>
                </c:pt>
                <c:pt idx="19">
                  <c:v>33.799999999999997</c:v>
                </c:pt>
                <c:pt idx="20">
                  <c:v>34</c:v>
                </c:pt>
                <c:pt idx="21">
                  <c:v>34.200000000000003</c:v>
                </c:pt>
                <c:pt idx="22">
                  <c:v>34.4</c:v>
                </c:pt>
                <c:pt idx="23">
                  <c:v>34.6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35.200000000000003</c:v>
                </c:pt>
                <c:pt idx="27">
                  <c:v>35.4</c:v>
                </c:pt>
                <c:pt idx="28">
                  <c:v>35.6</c:v>
                </c:pt>
                <c:pt idx="29">
                  <c:v>35.799999999999997</c:v>
                </c:pt>
                <c:pt idx="30">
                  <c:v>36</c:v>
                </c:pt>
                <c:pt idx="31">
                  <c:v>36.200000000000003</c:v>
                </c:pt>
                <c:pt idx="32">
                  <c:v>36.4</c:v>
                </c:pt>
                <c:pt idx="33">
                  <c:v>36.6</c:v>
                </c:pt>
                <c:pt idx="34">
                  <c:v>36.799999999999997</c:v>
                </c:pt>
                <c:pt idx="35">
                  <c:v>37</c:v>
                </c:pt>
                <c:pt idx="36">
                  <c:v>37.200000000000003</c:v>
                </c:pt>
                <c:pt idx="37">
                  <c:v>37.4</c:v>
                </c:pt>
                <c:pt idx="38">
                  <c:v>37.6</c:v>
                </c:pt>
                <c:pt idx="39">
                  <c:v>37.799999999999997</c:v>
                </c:pt>
                <c:pt idx="40">
                  <c:v>38</c:v>
                </c:pt>
                <c:pt idx="41">
                  <c:v>38.200000000000003</c:v>
                </c:pt>
                <c:pt idx="42">
                  <c:v>38.4</c:v>
                </c:pt>
                <c:pt idx="43">
                  <c:v>38.6</c:v>
                </c:pt>
                <c:pt idx="44">
                  <c:v>38.799999999999997</c:v>
                </c:pt>
                <c:pt idx="45">
                  <c:v>39</c:v>
                </c:pt>
                <c:pt idx="46">
                  <c:v>39.200000000000003</c:v>
                </c:pt>
                <c:pt idx="47">
                  <c:v>39.4</c:v>
                </c:pt>
                <c:pt idx="48">
                  <c:v>39.6</c:v>
                </c:pt>
              </c:numCache>
            </c:numRef>
          </c:xVal>
          <c:yVal>
            <c:numRef>
              <c:f>'Long Profile'!$G$3:$G$51</c:f>
              <c:numCache>
                <c:formatCode>General</c:formatCode>
                <c:ptCount val="49"/>
                <c:pt idx="0">
                  <c:v>1</c:v>
                </c:pt>
                <c:pt idx="1">
                  <c:v>0.77700000000000014</c:v>
                </c:pt>
                <c:pt idx="2">
                  <c:v>0.78500000000000014</c:v>
                </c:pt>
                <c:pt idx="3">
                  <c:v>0.66999999999999993</c:v>
                </c:pt>
                <c:pt idx="4">
                  <c:v>0.68300000000000027</c:v>
                </c:pt>
                <c:pt idx="5">
                  <c:v>0.69500000000000028</c:v>
                </c:pt>
                <c:pt idx="6">
                  <c:v>0.74699999999999989</c:v>
                </c:pt>
                <c:pt idx="7">
                  <c:v>0.6120000000000001</c:v>
                </c:pt>
                <c:pt idx="8">
                  <c:v>0.49400000000000022</c:v>
                </c:pt>
                <c:pt idx="9">
                  <c:v>0.49000000000000021</c:v>
                </c:pt>
                <c:pt idx="10">
                  <c:v>0.54899999999999993</c:v>
                </c:pt>
                <c:pt idx="11">
                  <c:v>0.55500000000000016</c:v>
                </c:pt>
                <c:pt idx="12">
                  <c:v>0.56600000000000028</c:v>
                </c:pt>
                <c:pt idx="13">
                  <c:v>0.60000000000000009</c:v>
                </c:pt>
                <c:pt idx="14">
                  <c:v>0.50600000000000023</c:v>
                </c:pt>
                <c:pt idx="15">
                  <c:v>0.51000000000000023</c:v>
                </c:pt>
                <c:pt idx="16">
                  <c:v>0.50499999999999989</c:v>
                </c:pt>
                <c:pt idx="17">
                  <c:v>0.45500000000000007</c:v>
                </c:pt>
                <c:pt idx="18">
                  <c:v>0.43800000000000017</c:v>
                </c:pt>
                <c:pt idx="19">
                  <c:v>0.39000000000000012</c:v>
                </c:pt>
                <c:pt idx="20">
                  <c:v>0.41999999999999993</c:v>
                </c:pt>
                <c:pt idx="21">
                  <c:v>0.53200000000000003</c:v>
                </c:pt>
                <c:pt idx="22">
                  <c:v>0.49500000000000011</c:v>
                </c:pt>
                <c:pt idx="23">
                  <c:v>0.36399999999999988</c:v>
                </c:pt>
                <c:pt idx="24">
                  <c:v>0.33400000000000007</c:v>
                </c:pt>
                <c:pt idx="25">
                  <c:v>0.39500000000000002</c:v>
                </c:pt>
                <c:pt idx="26">
                  <c:v>0.40300000000000002</c:v>
                </c:pt>
                <c:pt idx="27">
                  <c:v>0.37199999999999989</c:v>
                </c:pt>
                <c:pt idx="28">
                  <c:v>0.35499999999999998</c:v>
                </c:pt>
                <c:pt idx="29">
                  <c:v>0.36399999999999988</c:v>
                </c:pt>
                <c:pt idx="30">
                  <c:v>0.33800000000000008</c:v>
                </c:pt>
                <c:pt idx="31">
                  <c:v>0.32299999999999995</c:v>
                </c:pt>
                <c:pt idx="32">
                  <c:v>0.29800000000000004</c:v>
                </c:pt>
                <c:pt idx="33">
                  <c:v>0.28400000000000025</c:v>
                </c:pt>
                <c:pt idx="34">
                  <c:v>0.23499999999999988</c:v>
                </c:pt>
                <c:pt idx="35">
                  <c:v>0.16500000000000004</c:v>
                </c:pt>
                <c:pt idx="36">
                  <c:v>0.20599999999999996</c:v>
                </c:pt>
                <c:pt idx="37">
                  <c:v>7.1000000000000174E-2</c:v>
                </c:pt>
                <c:pt idx="38">
                  <c:v>4.4000000000000039E-2</c:v>
                </c:pt>
                <c:pt idx="39">
                  <c:v>3.0000000000000249E-2</c:v>
                </c:pt>
                <c:pt idx="40">
                  <c:v>6.3000000000000167E-2</c:v>
                </c:pt>
                <c:pt idx="41">
                  <c:v>7.0000000000000284E-2</c:v>
                </c:pt>
                <c:pt idx="42">
                  <c:v>3.4000000000000252E-2</c:v>
                </c:pt>
                <c:pt idx="43">
                  <c:v>0.14000000000000012</c:v>
                </c:pt>
                <c:pt idx="44">
                  <c:v>8.7000000000000188E-2</c:v>
                </c:pt>
                <c:pt idx="45">
                  <c:v>4.4999999999999929E-2</c:v>
                </c:pt>
                <c:pt idx="46">
                  <c:v>6.4999999999999947E-2</c:v>
                </c:pt>
                <c:pt idx="47">
                  <c:v>4.8000000000000043E-2</c:v>
                </c:pt>
                <c:pt idx="48">
                  <c:v>4.0000000000000036E-2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C-47E9-A497-57E507C7B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42768"/>
        <c:axId val="952243728"/>
      </c:scatterChart>
      <c:valAx>
        <c:axId val="952242768"/>
        <c:scaling>
          <c:orientation val="minMax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43728"/>
        <c:crosses val="autoZero"/>
        <c:crossBetween val="midCat"/>
      </c:valAx>
      <c:valAx>
        <c:axId val="9522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4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cross section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Transducer XS'!$A$3:$A$34</c:f>
              <c:numCache>
                <c:formatCode>General</c:formatCode>
                <c:ptCount val="3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'Pressure Transducer XS'!$G$3:$G$34</c:f>
              <c:numCache>
                <c:formatCode>General</c:formatCode>
                <c:ptCount val="32"/>
                <c:pt idx="0">
                  <c:v>2756</c:v>
                </c:pt>
                <c:pt idx="1">
                  <c:v>2755.9790000000003</c:v>
                </c:pt>
                <c:pt idx="2">
                  <c:v>2756.0010000000002</c:v>
                </c:pt>
                <c:pt idx="3">
                  <c:v>2755.922</c:v>
                </c:pt>
                <c:pt idx="4">
                  <c:v>2755.88</c:v>
                </c:pt>
                <c:pt idx="5">
                  <c:v>2755.7930000000001</c:v>
                </c:pt>
                <c:pt idx="6">
                  <c:v>2755.7400000000002</c:v>
                </c:pt>
                <c:pt idx="7">
                  <c:v>2755.65</c:v>
                </c:pt>
                <c:pt idx="8">
                  <c:v>2755.623</c:v>
                </c:pt>
                <c:pt idx="9">
                  <c:v>2755.6280000000002</c:v>
                </c:pt>
                <c:pt idx="10">
                  <c:v>2755.527</c:v>
                </c:pt>
                <c:pt idx="11">
                  <c:v>2755.4960000000001</c:v>
                </c:pt>
                <c:pt idx="12">
                  <c:v>2755.4830000000002</c:v>
                </c:pt>
                <c:pt idx="13">
                  <c:v>2755.4870000000001</c:v>
                </c:pt>
                <c:pt idx="14">
                  <c:v>2755.4470000000001</c:v>
                </c:pt>
                <c:pt idx="15">
                  <c:v>2755.4830000000002</c:v>
                </c:pt>
                <c:pt idx="16">
                  <c:v>2755.433</c:v>
                </c:pt>
                <c:pt idx="17">
                  <c:v>2755.46</c:v>
                </c:pt>
                <c:pt idx="18">
                  <c:v>2755.4680000000003</c:v>
                </c:pt>
                <c:pt idx="19">
                  <c:v>2755.5140000000001</c:v>
                </c:pt>
                <c:pt idx="20">
                  <c:v>2755.518</c:v>
                </c:pt>
                <c:pt idx="21">
                  <c:v>2755.5230000000001</c:v>
                </c:pt>
                <c:pt idx="22">
                  <c:v>2755.5460000000003</c:v>
                </c:pt>
                <c:pt idx="23">
                  <c:v>2755.5350000000003</c:v>
                </c:pt>
                <c:pt idx="24">
                  <c:v>2755.5650000000001</c:v>
                </c:pt>
                <c:pt idx="25">
                  <c:v>2755.5860000000002</c:v>
                </c:pt>
                <c:pt idx="26">
                  <c:v>2755.5980000000004</c:v>
                </c:pt>
                <c:pt idx="27">
                  <c:v>2755.6030000000001</c:v>
                </c:pt>
                <c:pt idx="28">
                  <c:v>2755.616</c:v>
                </c:pt>
                <c:pt idx="29">
                  <c:v>2755.7570000000001</c:v>
                </c:pt>
                <c:pt idx="30">
                  <c:v>2755.7930000000001</c:v>
                </c:pt>
                <c:pt idx="31">
                  <c:v>2755.8830000000003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1-44CF-8AAF-E9A471A2B0FB}"/>
            </c:ext>
          </c:extLst>
        </c:ser>
        <c:ser>
          <c:idx val="1"/>
          <c:order val="1"/>
          <c:tx>
            <c:v>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'Pressure Transducer XS'!$I$25:$I$34</c:f>
              <c:numCache>
                <c:formatCode>General</c:formatCode>
                <c:ptCount val="10"/>
                <c:pt idx="0">
                  <c:v>100</c:v>
                </c:pt>
                <c:pt idx="1">
                  <c:v>120</c:v>
                </c:pt>
                <c:pt idx="2">
                  <c:v>130</c:v>
                </c:pt>
                <c:pt idx="3">
                  <c:v>150</c:v>
                </c:pt>
                <c:pt idx="4">
                  <c:v>170</c:v>
                </c:pt>
                <c:pt idx="5">
                  <c:v>200</c:v>
                </c:pt>
                <c:pt idx="6">
                  <c:v>230</c:v>
                </c:pt>
              </c:numCache>
            </c:numRef>
          </c:xVal>
          <c:yVal>
            <c:numRef>
              <c:f>'Pressure Transducer XS'!$J$25:$J$34</c:f>
              <c:numCache>
                <c:formatCode>General</c:formatCode>
                <c:ptCount val="10"/>
                <c:pt idx="0">
                  <c:v>2755.527</c:v>
                </c:pt>
                <c:pt idx="1">
                  <c:v>2755.5280000000002</c:v>
                </c:pt>
                <c:pt idx="2">
                  <c:v>2755.5290000000005</c:v>
                </c:pt>
                <c:pt idx="3">
                  <c:v>2755.5300000000007</c:v>
                </c:pt>
                <c:pt idx="4">
                  <c:v>2755.5310000000009</c:v>
                </c:pt>
                <c:pt idx="5">
                  <c:v>2755.5320000000011</c:v>
                </c:pt>
                <c:pt idx="6">
                  <c:v>2755.5350000000003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1-44CF-8AAF-E9A471A2B0FB}"/>
            </c:ext>
          </c:extLst>
        </c:ser>
        <c:ser>
          <c:idx val="2"/>
          <c:order val="2"/>
          <c:tx>
            <c:v>pressure sensor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gradFill>
                <a:gsLst>
                  <a:gs pos="0">
                    <a:schemeClr val="accent1">
                      <a:lumMod val="5000"/>
                      <a:lumOff val="95000"/>
                      <a:alpha val="98000"/>
                    </a:schemeClr>
                  </a:gs>
                  <a:gs pos="86000">
                    <a:schemeClr val="accent1">
                      <a:lumMod val="45000"/>
                      <a:lumOff val="55000"/>
                    </a:schemeClr>
                  </a:gs>
                  <a:gs pos="61000">
                    <a:schemeClr val="accent4">
                      <a:alpha val="98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'Pressure Transducer XS'!$A$16</c:f>
              <c:numCache>
                <c:formatCode>General</c:formatCode>
                <c:ptCount val="1"/>
                <c:pt idx="0">
                  <c:v>130</c:v>
                </c:pt>
              </c:numCache>
            </c:numRef>
          </c:xVal>
          <c:yVal>
            <c:numRef>
              <c:f>'Pressure Transducer XS'!$G$16</c:f>
              <c:numCache>
                <c:formatCode>General</c:formatCode>
                <c:ptCount val="1"/>
                <c:pt idx="0">
                  <c:v>2755.4870000000001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D1-44CF-8AAF-E9A471A2B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206448"/>
        <c:axId val="495207888"/>
      </c:scatterChart>
      <c:valAx>
        <c:axId val="4952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7888"/>
        <c:crosses val="autoZero"/>
        <c:crossBetween val="midCat"/>
      </c:valAx>
      <c:valAx>
        <c:axId val="4952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114300</xdr:rowOff>
    </xdr:from>
    <xdr:to>
      <xdr:col>15</xdr:col>
      <xdr:colOff>114300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63DEF-BF0F-48AF-98D3-04B1CFC12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2</xdr:row>
      <xdr:rowOff>176211</xdr:rowOff>
    </xdr:from>
    <xdr:to>
      <xdr:col>16</xdr:col>
      <xdr:colOff>533400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699EE-9298-5E8E-4D2D-3F9E3A0D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6064-0207-40E0-86BF-2B34A938C764}">
  <dimension ref="A1:G51"/>
  <sheetViews>
    <sheetView zoomScaleNormal="100" workbookViewId="0">
      <selection activeCell="J29" sqref="J29"/>
    </sheetView>
  </sheetViews>
  <sheetFormatPr defaultColWidth="8.85546875" defaultRowHeight="15" x14ac:dyDescent="0.25"/>
  <cols>
    <col min="1" max="1" width="11.7109375" customWidth="1"/>
    <col min="2" max="2" width="11.28515625" customWidth="1"/>
    <col min="3" max="3" width="11.5703125" customWidth="1"/>
    <col min="4" max="4" width="8.85546875" customWidth="1"/>
    <col min="5" max="5" width="49.7109375" customWidth="1"/>
    <col min="6" max="6" width="20.42578125" customWidth="1"/>
    <col min="7" max="7" width="20.140625" customWidth="1"/>
  </cols>
  <sheetData>
    <row r="1" spans="1:7" ht="28.15" customHeight="1" thickBot="1" x14ac:dyDescent="0.3">
      <c r="A1" s="6" t="s">
        <v>9</v>
      </c>
      <c r="B1" s="7" t="s">
        <v>8</v>
      </c>
      <c r="C1" s="7"/>
      <c r="E1" s="5" t="s">
        <v>7</v>
      </c>
    </row>
    <row r="2" spans="1:7" ht="15.6" customHeight="1" thickBot="1" x14ac:dyDescent="0.3">
      <c r="A2" s="2" t="s">
        <v>0</v>
      </c>
      <c r="B2" s="3" t="s">
        <v>1</v>
      </c>
      <c r="C2" s="3" t="s">
        <v>2</v>
      </c>
      <c r="D2" s="4" t="s">
        <v>3</v>
      </c>
      <c r="E2" s="8" t="s">
        <v>4</v>
      </c>
      <c r="F2" s="2" t="s">
        <v>51</v>
      </c>
      <c r="G2" s="4" t="s">
        <v>52</v>
      </c>
    </row>
    <row r="3" spans="1:7" x14ac:dyDescent="0.25">
      <c r="A3" s="11">
        <v>30</v>
      </c>
      <c r="B3" s="11">
        <v>1.85</v>
      </c>
      <c r="C3" s="11"/>
      <c r="D3" s="11"/>
      <c r="E3" s="12" t="s">
        <v>10</v>
      </c>
      <c r="F3" s="11">
        <f>B3+G3</f>
        <v>2.85</v>
      </c>
      <c r="G3" s="11">
        <v>1</v>
      </c>
    </row>
    <row r="4" spans="1:7" x14ac:dyDescent="0.25">
      <c r="A4" s="10">
        <v>30.2</v>
      </c>
      <c r="B4" s="10"/>
      <c r="C4" s="10">
        <v>2.073</v>
      </c>
      <c r="D4" s="10"/>
      <c r="E4" s="13" t="s">
        <v>11</v>
      </c>
      <c r="F4" s="10"/>
      <c r="G4" s="10">
        <f>$F$3-C4</f>
        <v>0.77700000000000014</v>
      </c>
    </row>
    <row r="5" spans="1:7" x14ac:dyDescent="0.25">
      <c r="A5" s="10">
        <v>30.4</v>
      </c>
      <c r="B5" s="10"/>
      <c r="C5" s="10">
        <v>2.0649999999999999</v>
      </c>
      <c r="D5" s="10"/>
      <c r="E5" s="13" t="s">
        <v>11</v>
      </c>
      <c r="F5" s="10"/>
      <c r="G5" s="10">
        <f t="shared" ref="G5:G51" si="0">$F$3-C5</f>
        <v>0.78500000000000014</v>
      </c>
    </row>
    <row r="6" spans="1:7" x14ac:dyDescent="0.25">
      <c r="A6" s="10">
        <v>30.6</v>
      </c>
      <c r="B6" s="10"/>
      <c r="C6" s="10">
        <v>2.1800000000000002</v>
      </c>
      <c r="D6" s="10"/>
      <c r="E6" s="13" t="s">
        <v>12</v>
      </c>
      <c r="F6" s="10"/>
      <c r="G6" s="10">
        <f t="shared" si="0"/>
        <v>0.66999999999999993</v>
      </c>
    </row>
    <row r="7" spans="1:7" x14ac:dyDescent="0.25">
      <c r="A7" s="10">
        <v>30.8</v>
      </c>
      <c r="B7" s="10"/>
      <c r="C7" s="10">
        <v>2.1669999999999998</v>
      </c>
      <c r="D7" s="10"/>
      <c r="E7" s="13"/>
      <c r="F7" s="10"/>
      <c r="G7" s="10">
        <f t="shared" si="0"/>
        <v>0.68300000000000027</v>
      </c>
    </row>
    <row r="8" spans="1:7" x14ac:dyDescent="0.25">
      <c r="A8" s="10">
        <v>31</v>
      </c>
      <c r="B8" s="10"/>
      <c r="C8" s="10">
        <v>2.1549999999999998</v>
      </c>
      <c r="D8" s="10"/>
      <c r="E8" s="13" t="s">
        <v>13</v>
      </c>
      <c r="F8" s="10"/>
      <c r="G8" s="10">
        <f t="shared" si="0"/>
        <v>0.69500000000000028</v>
      </c>
    </row>
    <row r="9" spans="1:7" x14ac:dyDescent="0.25">
      <c r="A9" s="10">
        <v>31.2</v>
      </c>
      <c r="B9" s="10"/>
      <c r="C9" s="10">
        <v>2.1030000000000002</v>
      </c>
      <c r="D9" s="10"/>
      <c r="E9" s="13" t="s">
        <v>13</v>
      </c>
      <c r="F9" s="10"/>
      <c r="G9" s="10">
        <f t="shared" si="0"/>
        <v>0.74699999999999989</v>
      </c>
    </row>
    <row r="10" spans="1:7" x14ac:dyDescent="0.25">
      <c r="A10" s="10">
        <v>31.4</v>
      </c>
      <c r="B10" s="10"/>
      <c r="C10" s="10">
        <v>2.238</v>
      </c>
      <c r="D10" s="10"/>
      <c r="E10" s="13" t="s">
        <v>14</v>
      </c>
      <c r="F10" s="10"/>
      <c r="G10" s="10">
        <f t="shared" si="0"/>
        <v>0.6120000000000001</v>
      </c>
    </row>
    <row r="11" spans="1:7" x14ac:dyDescent="0.25">
      <c r="A11" s="10">
        <v>31.6</v>
      </c>
      <c r="B11" s="10"/>
      <c r="C11" s="10">
        <v>2.3559999999999999</v>
      </c>
      <c r="D11" s="10"/>
      <c r="E11" s="13" t="s">
        <v>15</v>
      </c>
      <c r="F11" s="10"/>
      <c r="G11" s="10">
        <f t="shared" si="0"/>
        <v>0.49400000000000022</v>
      </c>
    </row>
    <row r="12" spans="1:7" x14ac:dyDescent="0.25">
      <c r="A12" s="10">
        <v>31.8</v>
      </c>
      <c r="B12" s="10"/>
      <c r="C12" s="10">
        <v>2.36</v>
      </c>
      <c r="D12" s="10"/>
      <c r="E12" s="13" t="s">
        <v>16</v>
      </c>
      <c r="F12" s="10"/>
      <c r="G12" s="10">
        <f t="shared" si="0"/>
        <v>0.49000000000000021</v>
      </c>
    </row>
    <row r="13" spans="1:7" x14ac:dyDescent="0.25">
      <c r="A13" s="10">
        <v>32</v>
      </c>
      <c r="B13" s="10"/>
      <c r="C13" s="10">
        <v>2.3010000000000002</v>
      </c>
      <c r="D13" s="10"/>
      <c r="E13" s="13"/>
      <c r="F13" s="10"/>
      <c r="G13" s="10">
        <f t="shared" si="0"/>
        <v>0.54899999999999993</v>
      </c>
    </row>
    <row r="14" spans="1:7" x14ac:dyDescent="0.25">
      <c r="A14" s="10">
        <v>32.200000000000003</v>
      </c>
      <c r="B14" s="10"/>
      <c r="C14" s="10">
        <v>2.2949999999999999</v>
      </c>
      <c r="D14" s="10"/>
      <c r="E14" s="13"/>
      <c r="F14" s="10"/>
      <c r="G14" s="10">
        <f t="shared" si="0"/>
        <v>0.55500000000000016</v>
      </c>
    </row>
    <row r="15" spans="1:7" x14ac:dyDescent="0.25">
      <c r="A15" s="10">
        <v>32.4</v>
      </c>
      <c r="B15" s="10"/>
      <c r="C15" s="10">
        <v>2.2839999999999998</v>
      </c>
      <c r="D15" s="10"/>
      <c r="E15" s="13" t="s">
        <v>17</v>
      </c>
      <c r="F15" s="10"/>
      <c r="G15" s="10">
        <f t="shared" si="0"/>
        <v>0.56600000000000028</v>
      </c>
    </row>
    <row r="16" spans="1:7" x14ac:dyDescent="0.25">
      <c r="A16" s="10">
        <v>32.6</v>
      </c>
      <c r="B16" s="10"/>
      <c r="C16" s="10">
        <v>2.25</v>
      </c>
      <c r="D16" s="10"/>
      <c r="E16" s="13" t="s">
        <v>13</v>
      </c>
      <c r="F16" s="10"/>
      <c r="G16" s="10">
        <f t="shared" si="0"/>
        <v>0.60000000000000009</v>
      </c>
    </row>
    <row r="17" spans="1:7" x14ac:dyDescent="0.25">
      <c r="A17" s="10">
        <v>32.799999999999997</v>
      </c>
      <c r="B17" s="10"/>
      <c r="C17" s="10">
        <v>2.3439999999999999</v>
      </c>
      <c r="D17" s="10"/>
      <c r="E17" s="13" t="s">
        <v>14</v>
      </c>
      <c r="F17" s="10"/>
      <c r="G17" s="10">
        <f t="shared" si="0"/>
        <v>0.50600000000000023</v>
      </c>
    </row>
    <row r="18" spans="1:7" x14ac:dyDescent="0.25">
      <c r="A18" s="10">
        <v>33</v>
      </c>
      <c r="B18" s="10"/>
      <c r="C18" s="10">
        <v>2.34</v>
      </c>
      <c r="D18" s="10"/>
      <c r="E18" s="13"/>
      <c r="F18" s="10"/>
      <c r="G18" s="10">
        <f t="shared" si="0"/>
        <v>0.51000000000000023</v>
      </c>
    </row>
    <row r="19" spans="1:7" x14ac:dyDescent="0.25">
      <c r="A19" s="10">
        <v>33.200000000000003</v>
      </c>
      <c r="B19" s="10"/>
      <c r="C19" s="10">
        <v>2.3450000000000002</v>
      </c>
      <c r="D19" s="10"/>
      <c r="E19" s="13" t="s">
        <v>18</v>
      </c>
      <c r="F19" s="10"/>
      <c r="G19" s="10">
        <f t="shared" si="0"/>
        <v>0.50499999999999989</v>
      </c>
    </row>
    <row r="20" spans="1:7" x14ac:dyDescent="0.25">
      <c r="A20" s="10">
        <v>33.4</v>
      </c>
      <c r="B20" s="10"/>
      <c r="C20" s="10">
        <v>2.395</v>
      </c>
      <c r="D20" s="10"/>
      <c r="E20" s="13" t="s">
        <v>18</v>
      </c>
      <c r="F20" s="10"/>
      <c r="G20" s="10">
        <f t="shared" si="0"/>
        <v>0.45500000000000007</v>
      </c>
    </row>
    <row r="21" spans="1:7" x14ac:dyDescent="0.25">
      <c r="A21" s="10">
        <v>33.6</v>
      </c>
      <c r="B21" s="10"/>
      <c r="C21" s="10">
        <v>2.4119999999999999</v>
      </c>
      <c r="D21" s="10"/>
      <c r="E21" s="13" t="s">
        <v>18</v>
      </c>
      <c r="F21" s="10"/>
      <c r="G21" s="10">
        <f t="shared" si="0"/>
        <v>0.43800000000000017</v>
      </c>
    </row>
    <row r="22" spans="1:7" x14ac:dyDescent="0.25">
      <c r="A22" s="10">
        <v>33.799999999999997</v>
      </c>
      <c r="B22" s="10"/>
      <c r="C22" s="10">
        <v>2.46</v>
      </c>
      <c r="D22" s="10"/>
      <c r="E22" s="13" t="s">
        <v>18</v>
      </c>
      <c r="F22" s="10"/>
      <c r="G22" s="10">
        <f t="shared" si="0"/>
        <v>0.39000000000000012</v>
      </c>
    </row>
    <row r="23" spans="1:7" x14ac:dyDescent="0.25">
      <c r="A23" s="10">
        <v>34</v>
      </c>
      <c r="B23" s="10"/>
      <c r="C23" s="10">
        <v>2.4300000000000002</v>
      </c>
      <c r="D23" s="10"/>
      <c r="E23" s="13" t="s">
        <v>19</v>
      </c>
      <c r="F23" s="10"/>
      <c r="G23" s="10">
        <f t="shared" si="0"/>
        <v>0.41999999999999993</v>
      </c>
    </row>
    <row r="24" spans="1:7" x14ac:dyDescent="0.25">
      <c r="A24" s="10">
        <v>34.200000000000003</v>
      </c>
      <c r="B24" s="10"/>
      <c r="C24" s="10">
        <v>2.3180000000000001</v>
      </c>
      <c r="D24" s="10"/>
      <c r="E24" s="13" t="s">
        <v>20</v>
      </c>
      <c r="F24" s="10"/>
      <c r="G24" s="10">
        <f t="shared" si="0"/>
        <v>0.53200000000000003</v>
      </c>
    </row>
    <row r="25" spans="1:7" x14ac:dyDescent="0.25">
      <c r="A25" s="10">
        <v>34.4</v>
      </c>
      <c r="B25" s="10"/>
      <c r="C25" s="10">
        <v>2.355</v>
      </c>
      <c r="D25" s="10"/>
      <c r="E25" s="13" t="s">
        <v>20</v>
      </c>
      <c r="F25" s="10"/>
      <c r="G25" s="10">
        <f t="shared" si="0"/>
        <v>0.49500000000000011</v>
      </c>
    </row>
    <row r="26" spans="1:7" x14ac:dyDescent="0.25">
      <c r="A26" s="10">
        <v>34.6</v>
      </c>
      <c r="B26" s="10"/>
      <c r="C26" s="10">
        <v>2.4860000000000002</v>
      </c>
      <c r="D26" s="10"/>
      <c r="E26" s="13" t="s">
        <v>21</v>
      </c>
      <c r="F26" s="10"/>
      <c r="G26" s="10">
        <f t="shared" si="0"/>
        <v>0.36399999999999988</v>
      </c>
    </row>
    <row r="27" spans="1:7" x14ac:dyDescent="0.25">
      <c r="A27" s="10">
        <v>34.799999999999997</v>
      </c>
      <c r="B27" s="10"/>
      <c r="C27" s="10">
        <v>2.516</v>
      </c>
      <c r="D27" s="10"/>
      <c r="E27" s="13"/>
      <c r="F27" s="10"/>
      <c r="G27" s="10">
        <f t="shared" si="0"/>
        <v>0.33400000000000007</v>
      </c>
    </row>
    <row r="28" spans="1:7" x14ac:dyDescent="0.25">
      <c r="A28" s="10">
        <v>35</v>
      </c>
      <c r="B28" s="10"/>
      <c r="C28" s="10">
        <v>2.4550000000000001</v>
      </c>
      <c r="D28" s="10"/>
      <c r="E28" s="13"/>
      <c r="F28" s="10"/>
      <c r="G28" s="10">
        <f t="shared" si="0"/>
        <v>0.39500000000000002</v>
      </c>
    </row>
    <row r="29" spans="1:7" x14ac:dyDescent="0.25">
      <c r="A29" s="10">
        <v>35.200000000000003</v>
      </c>
      <c r="B29" s="10"/>
      <c r="C29" s="10">
        <v>2.4470000000000001</v>
      </c>
      <c r="D29" s="10"/>
      <c r="E29" s="13" t="s">
        <v>22</v>
      </c>
      <c r="F29" s="10"/>
      <c r="G29" s="10">
        <f t="shared" si="0"/>
        <v>0.40300000000000002</v>
      </c>
    </row>
    <row r="30" spans="1:7" x14ac:dyDescent="0.25">
      <c r="A30" s="10">
        <v>35.4</v>
      </c>
      <c r="B30" s="10"/>
      <c r="C30" s="10">
        <v>2.4780000000000002</v>
      </c>
      <c r="D30" s="10"/>
      <c r="E30" s="13"/>
      <c r="F30" s="10"/>
      <c r="G30" s="10">
        <f t="shared" si="0"/>
        <v>0.37199999999999989</v>
      </c>
    </row>
    <row r="31" spans="1:7" x14ac:dyDescent="0.25">
      <c r="A31" s="10">
        <v>35.6</v>
      </c>
      <c r="B31" s="10"/>
      <c r="C31" s="10">
        <v>2.4950000000000001</v>
      </c>
      <c r="D31" s="10"/>
      <c r="E31" s="13"/>
      <c r="F31" s="10"/>
      <c r="G31" s="10">
        <f t="shared" si="0"/>
        <v>0.35499999999999998</v>
      </c>
    </row>
    <row r="32" spans="1:7" x14ac:dyDescent="0.25">
      <c r="A32" s="10">
        <v>35.799999999999997</v>
      </c>
      <c r="B32" s="10"/>
      <c r="C32" s="10">
        <v>2.4860000000000002</v>
      </c>
      <c r="D32" s="10"/>
      <c r="E32" s="13"/>
      <c r="F32" s="10"/>
      <c r="G32" s="10">
        <f t="shared" si="0"/>
        <v>0.36399999999999988</v>
      </c>
    </row>
    <row r="33" spans="1:7" x14ac:dyDescent="0.25">
      <c r="A33" s="10">
        <v>36</v>
      </c>
      <c r="B33" s="10"/>
      <c r="C33" s="10">
        <v>2.512</v>
      </c>
      <c r="D33" s="10"/>
      <c r="E33" s="13" t="s">
        <v>23</v>
      </c>
      <c r="F33" s="10"/>
      <c r="G33" s="10">
        <f t="shared" si="0"/>
        <v>0.33800000000000008</v>
      </c>
    </row>
    <row r="34" spans="1:7" x14ac:dyDescent="0.25">
      <c r="A34" s="10">
        <v>36.200000000000003</v>
      </c>
      <c r="B34" s="10"/>
      <c r="C34" s="10">
        <v>2.5270000000000001</v>
      </c>
      <c r="D34" s="10"/>
      <c r="E34" s="13"/>
      <c r="F34" s="10"/>
      <c r="G34" s="10">
        <f t="shared" si="0"/>
        <v>0.32299999999999995</v>
      </c>
    </row>
    <row r="35" spans="1:7" x14ac:dyDescent="0.25">
      <c r="A35" s="10">
        <v>36.4</v>
      </c>
      <c r="B35" s="10"/>
      <c r="C35" s="10">
        <v>2.552</v>
      </c>
      <c r="D35" s="10"/>
      <c r="E35" s="13"/>
      <c r="F35" s="10"/>
      <c r="G35" s="10">
        <f t="shared" si="0"/>
        <v>0.29800000000000004</v>
      </c>
    </row>
    <row r="36" spans="1:7" x14ac:dyDescent="0.25">
      <c r="A36" s="10">
        <v>36.6</v>
      </c>
      <c r="B36" s="10"/>
      <c r="C36" s="10">
        <v>2.5659999999999998</v>
      </c>
      <c r="D36" s="10"/>
      <c r="E36" s="13" t="s">
        <v>24</v>
      </c>
      <c r="F36" s="10"/>
      <c r="G36" s="10">
        <f t="shared" si="0"/>
        <v>0.28400000000000025</v>
      </c>
    </row>
    <row r="37" spans="1:7" x14ac:dyDescent="0.25">
      <c r="A37" s="10">
        <v>36.799999999999997</v>
      </c>
      <c r="B37" s="10"/>
      <c r="C37" s="10">
        <v>2.6150000000000002</v>
      </c>
      <c r="D37" s="10"/>
      <c r="E37" s="13" t="s">
        <v>24</v>
      </c>
      <c r="F37" s="10"/>
      <c r="G37" s="10">
        <f t="shared" si="0"/>
        <v>0.23499999999999988</v>
      </c>
    </row>
    <row r="38" spans="1:7" x14ac:dyDescent="0.25">
      <c r="A38" s="10">
        <v>37</v>
      </c>
      <c r="B38" s="10"/>
      <c r="C38" s="10">
        <v>2.6850000000000001</v>
      </c>
      <c r="D38" s="10"/>
      <c r="E38" s="13" t="s">
        <v>25</v>
      </c>
      <c r="F38" s="10"/>
      <c r="G38" s="10">
        <f t="shared" si="0"/>
        <v>0.16500000000000004</v>
      </c>
    </row>
    <row r="39" spans="1:7" x14ac:dyDescent="0.25">
      <c r="A39" s="10">
        <v>37.200000000000003</v>
      </c>
      <c r="B39" s="10"/>
      <c r="C39" s="10">
        <v>2.6440000000000001</v>
      </c>
      <c r="D39" s="10"/>
      <c r="E39" s="13"/>
      <c r="F39" s="10"/>
      <c r="G39" s="10">
        <f t="shared" si="0"/>
        <v>0.20599999999999996</v>
      </c>
    </row>
    <row r="40" spans="1:7" x14ac:dyDescent="0.25">
      <c r="A40" s="10">
        <v>37.4</v>
      </c>
      <c r="B40" s="10"/>
      <c r="C40" s="10">
        <v>2.7789999999999999</v>
      </c>
      <c r="D40" s="10"/>
      <c r="E40" s="13" t="s">
        <v>26</v>
      </c>
      <c r="F40" s="10"/>
      <c r="G40" s="10">
        <f t="shared" si="0"/>
        <v>7.1000000000000174E-2</v>
      </c>
    </row>
    <row r="41" spans="1:7" x14ac:dyDescent="0.25">
      <c r="A41" s="10">
        <v>37.6</v>
      </c>
      <c r="B41" s="10"/>
      <c r="C41" s="10">
        <v>2.806</v>
      </c>
      <c r="D41" s="10"/>
      <c r="E41" s="13" t="s">
        <v>26</v>
      </c>
      <c r="F41" s="10"/>
      <c r="G41" s="10">
        <f t="shared" si="0"/>
        <v>4.4000000000000039E-2</v>
      </c>
    </row>
    <row r="42" spans="1:7" x14ac:dyDescent="0.25">
      <c r="A42" s="10">
        <v>37.799999999999997</v>
      </c>
      <c r="B42" s="10"/>
      <c r="C42" s="10">
        <v>2.82</v>
      </c>
      <c r="D42" s="10"/>
      <c r="E42" s="13" t="s">
        <v>26</v>
      </c>
      <c r="F42" s="10"/>
      <c r="G42" s="10">
        <f t="shared" si="0"/>
        <v>3.0000000000000249E-2</v>
      </c>
    </row>
    <row r="43" spans="1:7" x14ac:dyDescent="0.25">
      <c r="A43" s="10">
        <v>38</v>
      </c>
      <c r="B43" s="10"/>
      <c r="C43" s="10">
        <v>2.7869999999999999</v>
      </c>
      <c r="D43" s="10"/>
      <c r="E43" s="13" t="s">
        <v>26</v>
      </c>
      <c r="F43" s="10"/>
      <c r="G43" s="10">
        <f t="shared" si="0"/>
        <v>6.3000000000000167E-2</v>
      </c>
    </row>
    <row r="44" spans="1:7" x14ac:dyDescent="0.25">
      <c r="A44" s="10">
        <v>38.200000000000003</v>
      </c>
      <c r="B44" s="10"/>
      <c r="C44" s="10">
        <v>2.78</v>
      </c>
      <c r="D44" s="10"/>
      <c r="E44" s="13" t="s">
        <v>26</v>
      </c>
      <c r="F44" s="10"/>
      <c r="G44" s="10">
        <f t="shared" si="0"/>
        <v>7.0000000000000284E-2</v>
      </c>
    </row>
    <row r="45" spans="1:7" x14ac:dyDescent="0.25">
      <c r="A45" s="10">
        <v>38.4</v>
      </c>
      <c r="B45" s="10"/>
      <c r="C45" s="10">
        <v>2.8159999999999998</v>
      </c>
      <c r="D45" s="10"/>
      <c r="E45" s="13" t="s">
        <v>26</v>
      </c>
      <c r="F45" s="10"/>
      <c r="G45" s="10">
        <f t="shared" si="0"/>
        <v>3.4000000000000252E-2</v>
      </c>
    </row>
    <row r="46" spans="1:7" x14ac:dyDescent="0.25">
      <c r="A46" s="10">
        <v>38.6</v>
      </c>
      <c r="B46" s="10"/>
      <c r="C46" s="10">
        <v>2.71</v>
      </c>
      <c r="D46" s="10"/>
      <c r="E46" s="13" t="s">
        <v>26</v>
      </c>
      <c r="F46" s="10"/>
      <c r="G46" s="10">
        <f t="shared" si="0"/>
        <v>0.14000000000000012</v>
      </c>
    </row>
    <row r="47" spans="1:7" x14ac:dyDescent="0.25">
      <c r="A47" s="10">
        <v>38.799999999999997</v>
      </c>
      <c r="B47" s="10"/>
      <c r="C47" s="10">
        <v>2.7629999999999999</v>
      </c>
      <c r="D47" s="10"/>
      <c r="E47" s="13"/>
      <c r="F47" s="10"/>
      <c r="G47" s="10">
        <f t="shared" si="0"/>
        <v>8.7000000000000188E-2</v>
      </c>
    </row>
    <row r="48" spans="1:7" x14ac:dyDescent="0.25">
      <c r="A48" s="10">
        <v>39</v>
      </c>
      <c r="B48" s="10"/>
      <c r="C48" s="10">
        <v>2.8050000000000002</v>
      </c>
      <c r="D48" s="10"/>
      <c r="E48" s="13"/>
      <c r="F48" s="10"/>
      <c r="G48" s="10">
        <f t="shared" si="0"/>
        <v>4.4999999999999929E-2</v>
      </c>
    </row>
    <row r="49" spans="1:7" x14ac:dyDescent="0.25">
      <c r="A49" s="10">
        <v>39.200000000000003</v>
      </c>
      <c r="B49" s="10"/>
      <c r="C49" s="10">
        <v>2.7850000000000001</v>
      </c>
      <c r="D49" s="10"/>
      <c r="E49" s="13"/>
      <c r="F49" s="10"/>
      <c r="G49" s="10">
        <f t="shared" si="0"/>
        <v>6.4999999999999947E-2</v>
      </c>
    </row>
    <row r="50" spans="1:7" x14ac:dyDescent="0.25">
      <c r="A50" s="10">
        <v>39.4</v>
      </c>
      <c r="B50" s="10"/>
      <c r="C50" s="10">
        <v>2.802</v>
      </c>
      <c r="D50" s="10"/>
      <c r="E50" s="13"/>
      <c r="F50" s="10"/>
      <c r="G50" s="10">
        <f t="shared" si="0"/>
        <v>4.8000000000000043E-2</v>
      </c>
    </row>
    <row r="51" spans="1:7" x14ac:dyDescent="0.25">
      <c r="A51" s="10">
        <v>39.6</v>
      </c>
      <c r="B51" s="10"/>
      <c r="C51" s="10">
        <v>2.81</v>
      </c>
      <c r="D51" s="10"/>
      <c r="E51" s="13" t="s">
        <v>28</v>
      </c>
      <c r="F51" s="10"/>
      <c r="G51" s="10">
        <f t="shared" si="0"/>
        <v>4.0000000000000036E-2</v>
      </c>
    </row>
  </sheetData>
  <pageMargins left="1" right="1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7046-3FD9-4FE9-85EF-E4CEFFD1E038}">
  <dimension ref="A1:I55"/>
  <sheetViews>
    <sheetView workbookViewId="0">
      <selection activeCell="E34" sqref="E34"/>
    </sheetView>
  </sheetViews>
  <sheetFormatPr defaultColWidth="8.85546875" defaultRowHeight="15" x14ac:dyDescent="0.25"/>
  <cols>
    <col min="1" max="1" width="11.7109375" customWidth="1"/>
    <col min="3" max="3" width="11.5703125" customWidth="1"/>
    <col min="4" max="4" width="8.85546875" customWidth="1"/>
    <col min="5" max="5" width="45.28515625" customWidth="1"/>
    <col min="6" max="6" width="23" customWidth="1"/>
    <col min="7" max="7" width="20.85546875" customWidth="1"/>
  </cols>
  <sheetData>
    <row r="1" spans="1:9" ht="15.75" thickBot="1" x14ac:dyDescent="0.3">
      <c r="A1" s="17" t="s">
        <v>5</v>
      </c>
      <c r="B1" s="18">
        <v>0.61805555555555558</v>
      </c>
      <c r="C1" s="17" t="s">
        <v>6</v>
      </c>
      <c r="D1" s="19">
        <v>0.62361111111111112</v>
      </c>
      <c r="E1" s="14" t="s">
        <v>27</v>
      </c>
      <c r="F1" s="15"/>
      <c r="G1" s="15"/>
      <c r="H1" s="16"/>
      <c r="I1" s="16"/>
    </row>
    <row r="2" spans="1:9" ht="15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0" t="s">
        <v>51</v>
      </c>
      <c r="G2" s="21" t="s">
        <v>52</v>
      </c>
    </row>
    <row r="3" spans="1:9" x14ac:dyDescent="0.25">
      <c r="A3" s="11">
        <v>0</v>
      </c>
      <c r="B3" s="11">
        <v>2.036</v>
      </c>
      <c r="C3" s="11" t="s">
        <v>29</v>
      </c>
      <c r="D3" s="11"/>
      <c r="E3" s="11" t="s">
        <v>30</v>
      </c>
      <c r="F3" s="11"/>
      <c r="G3" s="9"/>
    </row>
    <row r="4" spans="1:9" x14ac:dyDescent="0.25">
      <c r="A4" s="10">
        <v>10</v>
      </c>
      <c r="B4" s="10"/>
      <c r="C4" s="10">
        <v>2.093</v>
      </c>
      <c r="D4" s="10"/>
      <c r="E4" s="10" t="s">
        <v>31</v>
      </c>
      <c r="F4" s="10"/>
      <c r="G4" s="1"/>
    </row>
    <row r="5" spans="1:9" x14ac:dyDescent="0.25">
      <c r="A5" s="10">
        <v>20</v>
      </c>
      <c r="B5" s="10"/>
      <c r="C5" s="10">
        <v>2.286</v>
      </c>
      <c r="D5" s="10"/>
      <c r="E5" s="10" t="s">
        <v>32</v>
      </c>
      <c r="F5" s="10"/>
      <c r="G5" s="1"/>
    </row>
    <row r="6" spans="1:9" x14ac:dyDescent="0.25">
      <c r="A6" s="10">
        <v>30</v>
      </c>
      <c r="B6" s="10"/>
      <c r="C6" s="10">
        <v>2.3140000000000001</v>
      </c>
      <c r="D6" s="10"/>
      <c r="E6" s="10" t="s">
        <v>33</v>
      </c>
      <c r="F6" s="10"/>
      <c r="G6" s="1"/>
    </row>
    <row r="7" spans="1:9" x14ac:dyDescent="0.25">
      <c r="A7" s="10">
        <v>40</v>
      </c>
      <c r="B7" s="10"/>
      <c r="C7" s="10">
        <v>2.3239999999999998</v>
      </c>
      <c r="D7" s="10"/>
      <c r="E7" s="10" t="s">
        <v>33</v>
      </c>
      <c r="F7" s="10"/>
      <c r="G7" s="1"/>
    </row>
    <row r="8" spans="1:9" x14ac:dyDescent="0.25">
      <c r="A8" s="10">
        <v>50</v>
      </c>
      <c r="B8" s="10"/>
      <c r="C8" s="10">
        <v>2.3490000000000002</v>
      </c>
      <c r="D8" s="10"/>
      <c r="E8" s="10" t="s">
        <v>34</v>
      </c>
      <c r="F8" s="10"/>
      <c r="G8" s="1"/>
    </row>
    <row r="9" spans="1:9" x14ac:dyDescent="0.25">
      <c r="A9" s="10">
        <v>60</v>
      </c>
      <c r="B9" s="10"/>
      <c r="C9" s="10">
        <v>2.415</v>
      </c>
      <c r="D9" s="10"/>
      <c r="E9" s="10"/>
      <c r="F9" s="10"/>
      <c r="G9" s="1"/>
    </row>
    <row r="10" spans="1:9" x14ac:dyDescent="0.25">
      <c r="A10" s="10">
        <v>70</v>
      </c>
      <c r="B10" s="10"/>
      <c r="C10" s="10">
        <v>2.4209999999999998</v>
      </c>
      <c r="D10" s="10"/>
      <c r="E10" s="10"/>
      <c r="F10" s="10"/>
      <c r="G10" s="1"/>
    </row>
    <row r="11" spans="1:9" x14ac:dyDescent="0.25">
      <c r="A11" s="10">
        <v>80</v>
      </c>
      <c r="B11" s="10"/>
      <c r="C11" s="10">
        <v>2.4249999999999998</v>
      </c>
      <c r="D11" s="10"/>
      <c r="E11" s="10" t="s">
        <v>35</v>
      </c>
      <c r="F11" s="10"/>
      <c r="G11" s="1"/>
    </row>
    <row r="12" spans="1:9" x14ac:dyDescent="0.25">
      <c r="A12" s="10">
        <v>90</v>
      </c>
      <c r="B12" s="10"/>
      <c r="C12" s="10">
        <v>2.3490000000000002</v>
      </c>
      <c r="D12" s="10"/>
      <c r="E12" s="10" t="s">
        <v>36</v>
      </c>
      <c r="F12" s="10"/>
      <c r="G12" s="1"/>
    </row>
    <row r="13" spans="1:9" x14ac:dyDescent="0.25">
      <c r="A13" s="10">
        <v>100</v>
      </c>
      <c r="B13" s="10"/>
      <c r="C13" s="10">
        <v>2.33</v>
      </c>
      <c r="D13" s="10"/>
      <c r="E13" s="10" t="s">
        <v>36</v>
      </c>
      <c r="F13" s="10"/>
      <c r="G13" s="1"/>
    </row>
    <row r="14" spans="1:9" x14ac:dyDescent="0.25">
      <c r="A14" s="10">
        <v>110</v>
      </c>
      <c r="B14" s="10"/>
      <c r="C14" s="10">
        <v>2.3410000000000002</v>
      </c>
      <c r="D14" s="10"/>
      <c r="E14" s="10"/>
      <c r="F14" s="10"/>
      <c r="G14" s="1"/>
    </row>
    <row r="15" spans="1:9" x14ac:dyDescent="0.25">
      <c r="A15" s="10">
        <v>120</v>
      </c>
      <c r="B15" s="10"/>
      <c r="C15" s="10">
        <v>2.42</v>
      </c>
      <c r="D15" s="10"/>
      <c r="E15" s="10" t="s">
        <v>37</v>
      </c>
      <c r="F15" s="10"/>
      <c r="G15" s="1"/>
    </row>
    <row r="16" spans="1:9" x14ac:dyDescent="0.25">
      <c r="A16" s="10">
        <v>130</v>
      </c>
      <c r="B16" s="10"/>
      <c r="C16" s="10">
        <v>2.39</v>
      </c>
      <c r="D16" s="10"/>
      <c r="E16" s="10"/>
      <c r="F16" s="10"/>
      <c r="G16" s="1"/>
    </row>
    <row r="17" spans="1:7" x14ac:dyDescent="0.25">
      <c r="A17" s="10">
        <v>140</v>
      </c>
      <c r="B17" s="10"/>
      <c r="C17" s="10">
        <v>2.407</v>
      </c>
      <c r="D17" s="10"/>
      <c r="E17" s="10"/>
      <c r="F17" s="10"/>
      <c r="G17" s="1"/>
    </row>
    <row r="18" spans="1:7" x14ac:dyDescent="0.25">
      <c r="A18" s="10">
        <v>150</v>
      </c>
      <c r="B18" s="10"/>
      <c r="C18" s="10">
        <v>2.3250000000000002</v>
      </c>
      <c r="D18" s="10"/>
      <c r="E18" s="10"/>
      <c r="F18" s="10"/>
      <c r="G18" s="1"/>
    </row>
    <row r="19" spans="1:7" x14ac:dyDescent="0.25">
      <c r="A19" s="10">
        <v>160</v>
      </c>
      <c r="B19" s="10"/>
      <c r="C19" s="10">
        <v>2.3290000000000002</v>
      </c>
      <c r="D19" s="10"/>
      <c r="E19" s="10" t="s">
        <v>38</v>
      </c>
      <c r="F19" s="10"/>
      <c r="G19" s="1"/>
    </row>
    <row r="20" spans="1:7" x14ac:dyDescent="0.25">
      <c r="A20" s="10">
        <v>170</v>
      </c>
      <c r="B20" s="10"/>
      <c r="C20" s="10">
        <v>2.2650000000000001</v>
      </c>
      <c r="D20" s="10"/>
      <c r="E20" s="10"/>
      <c r="F20" s="10"/>
      <c r="G20" s="1"/>
    </row>
    <row r="21" spans="1:7" x14ac:dyDescent="0.25">
      <c r="A21" s="10">
        <v>180</v>
      </c>
      <c r="B21" s="10"/>
      <c r="C21" s="10">
        <v>2.238</v>
      </c>
      <c r="D21" s="10"/>
      <c r="E21" s="10"/>
      <c r="F21" s="10"/>
      <c r="G21" s="1"/>
    </row>
    <row r="22" spans="1:7" x14ac:dyDescent="0.25">
      <c r="A22" s="10">
        <v>190</v>
      </c>
      <c r="B22" s="10"/>
      <c r="C22" s="10">
        <v>2.0430000000000001</v>
      </c>
      <c r="D22" s="10"/>
      <c r="E22" s="10" t="s">
        <v>31</v>
      </c>
      <c r="F22" s="10"/>
      <c r="G22" s="1"/>
    </row>
    <row r="23" spans="1:7" x14ac:dyDescent="0.25">
      <c r="A23" s="10">
        <v>200</v>
      </c>
      <c r="B23" s="10"/>
      <c r="C23" s="10">
        <v>2.0259999999999998</v>
      </c>
      <c r="D23" s="10"/>
      <c r="E23" s="10"/>
      <c r="F23" s="10"/>
      <c r="G23" s="1"/>
    </row>
    <row r="35" spans="7:7" x14ac:dyDescent="0.25">
      <c r="G35" s="5"/>
    </row>
    <row r="36" spans="7:7" x14ac:dyDescent="0.25">
      <c r="G36" s="5"/>
    </row>
    <row r="37" spans="7:7" x14ac:dyDescent="0.25">
      <c r="G37" s="5"/>
    </row>
    <row r="38" spans="7:7" x14ac:dyDescent="0.25">
      <c r="G38" s="5"/>
    </row>
    <row r="39" spans="7:7" x14ac:dyDescent="0.25">
      <c r="G39" s="5"/>
    </row>
    <row r="40" spans="7:7" x14ac:dyDescent="0.25">
      <c r="G40" s="5"/>
    </row>
    <row r="41" spans="7:7" x14ac:dyDescent="0.25">
      <c r="G41" s="5"/>
    </row>
    <row r="42" spans="7:7" x14ac:dyDescent="0.25">
      <c r="G42" s="5"/>
    </row>
    <row r="43" spans="7:7" x14ac:dyDescent="0.25">
      <c r="G43" s="5"/>
    </row>
    <row r="44" spans="7:7" x14ac:dyDescent="0.25">
      <c r="G44" s="5"/>
    </row>
    <row r="45" spans="7:7" x14ac:dyDescent="0.25">
      <c r="G45" s="5"/>
    </row>
    <row r="46" spans="7:7" x14ac:dyDescent="0.25">
      <c r="G46" s="5"/>
    </row>
    <row r="47" spans="7:7" x14ac:dyDescent="0.25">
      <c r="G47" s="5"/>
    </row>
    <row r="48" spans="7:7" x14ac:dyDescent="0.25">
      <c r="G48" s="5"/>
    </row>
    <row r="49" spans="7:7" x14ac:dyDescent="0.25">
      <c r="G49" s="5"/>
    </row>
    <row r="50" spans="7:7" x14ac:dyDescent="0.25">
      <c r="G50" s="5"/>
    </row>
    <row r="51" spans="7:7" x14ac:dyDescent="0.25">
      <c r="G51" s="5"/>
    </row>
    <row r="52" spans="7:7" x14ac:dyDescent="0.25">
      <c r="G52" s="5"/>
    </row>
    <row r="53" spans="7:7" x14ac:dyDescent="0.25">
      <c r="G53" s="5"/>
    </row>
    <row r="54" spans="7:7" x14ac:dyDescent="0.25">
      <c r="G54" s="5"/>
    </row>
    <row r="55" spans="7:7" x14ac:dyDescent="0.25">
      <c r="G5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6CEA-630F-48B7-8156-202D59EF07D9}">
  <dimension ref="A1:P39"/>
  <sheetViews>
    <sheetView tabSelected="1" zoomScale="85" zoomScaleNormal="85" workbookViewId="0">
      <selection activeCell="R34" sqref="R34"/>
    </sheetView>
  </sheetViews>
  <sheetFormatPr defaultColWidth="8.85546875" defaultRowHeight="15" x14ac:dyDescent="0.25"/>
  <cols>
    <col min="1" max="1" width="11.7109375" customWidth="1"/>
    <col min="3" max="3" width="11.5703125" customWidth="1"/>
    <col min="4" max="4" width="8.85546875" customWidth="1"/>
    <col min="5" max="5" width="56" customWidth="1"/>
    <col min="6" max="6" width="18.85546875" customWidth="1"/>
    <col min="7" max="7" width="15.42578125" customWidth="1"/>
  </cols>
  <sheetData>
    <row r="1" spans="1:7" ht="15.75" thickBot="1" x14ac:dyDescent="0.3">
      <c r="A1" s="6" t="s">
        <v>53</v>
      </c>
      <c r="B1" s="25">
        <v>0.12708333333333333</v>
      </c>
      <c r="C1" s="6" t="s">
        <v>54</v>
      </c>
      <c r="D1" s="26">
        <v>0.13541666666666666</v>
      </c>
      <c r="E1" s="5" t="s">
        <v>55</v>
      </c>
      <c r="F1" s="5"/>
      <c r="G1" s="5"/>
    </row>
    <row r="2" spans="1:7" ht="15.75" thickBot="1" x14ac:dyDescent="0.3">
      <c r="A2" s="2" t="s">
        <v>0</v>
      </c>
      <c r="B2" s="3" t="s">
        <v>1</v>
      </c>
      <c r="C2" s="3" t="s">
        <v>2</v>
      </c>
      <c r="D2" s="4" t="s">
        <v>3</v>
      </c>
      <c r="E2" s="8" t="s">
        <v>4</v>
      </c>
      <c r="F2" s="2" t="s">
        <v>51</v>
      </c>
      <c r="G2" s="4" t="s">
        <v>52</v>
      </c>
    </row>
    <row r="3" spans="1:7" x14ac:dyDescent="0.25">
      <c r="A3" s="10">
        <v>0</v>
      </c>
      <c r="B3" s="10">
        <v>1.9430000000000001</v>
      </c>
      <c r="C3" s="10"/>
      <c r="D3" s="10"/>
      <c r="E3" s="10" t="s">
        <v>39</v>
      </c>
      <c r="F3" s="11">
        <f>B3+G3</f>
        <v>2757.9430000000002</v>
      </c>
      <c r="G3" s="11">
        <v>2756</v>
      </c>
    </row>
    <row r="4" spans="1:7" x14ac:dyDescent="0.25">
      <c r="A4" s="10">
        <v>10</v>
      </c>
      <c r="B4" s="10"/>
      <c r="C4" s="10">
        <v>1.964</v>
      </c>
      <c r="D4" s="10"/>
      <c r="E4" s="10"/>
      <c r="F4" s="10"/>
      <c r="G4" s="10">
        <f>$F$3-C4</f>
        <v>2755.9790000000003</v>
      </c>
    </row>
    <row r="5" spans="1:7" x14ac:dyDescent="0.25">
      <c r="A5" s="10">
        <v>20</v>
      </c>
      <c r="B5" s="10"/>
      <c r="C5" s="10">
        <v>1.9419999999999999</v>
      </c>
      <c r="D5" s="10"/>
      <c r="E5" s="10" t="s">
        <v>31</v>
      </c>
      <c r="F5" s="10"/>
      <c r="G5" s="10">
        <f>$F$3-C5</f>
        <v>2756.0010000000002</v>
      </c>
    </row>
    <row r="6" spans="1:7" x14ac:dyDescent="0.25">
      <c r="A6" s="10">
        <v>30</v>
      </c>
      <c r="B6" s="10"/>
      <c r="C6" s="10">
        <v>2.0209999999999999</v>
      </c>
      <c r="D6" s="10"/>
      <c r="E6" s="10" t="s">
        <v>32</v>
      </c>
      <c r="F6" s="10"/>
      <c r="G6" s="10">
        <f t="shared" ref="G6:G33" si="0">$F$3-C6</f>
        <v>2755.922</v>
      </c>
    </row>
    <row r="7" spans="1:7" x14ac:dyDescent="0.25">
      <c r="A7" s="10">
        <v>40</v>
      </c>
      <c r="B7" s="10"/>
      <c r="C7" s="10">
        <v>2.0630000000000002</v>
      </c>
      <c r="D7" s="10"/>
      <c r="E7" s="10"/>
      <c r="F7" s="10"/>
      <c r="G7" s="10">
        <f t="shared" si="0"/>
        <v>2755.88</v>
      </c>
    </row>
    <row r="8" spans="1:7" x14ac:dyDescent="0.25">
      <c r="A8" s="10">
        <v>50</v>
      </c>
      <c r="B8" s="10"/>
      <c r="C8" s="10">
        <v>2.15</v>
      </c>
      <c r="D8" s="10"/>
      <c r="E8" s="10" t="s">
        <v>40</v>
      </c>
      <c r="F8" s="10"/>
      <c r="G8" s="10">
        <f t="shared" si="0"/>
        <v>2755.7930000000001</v>
      </c>
    </row>
    <row r="9" spans="1:7" x14ac:dyDescent="0.25">
      <c r="A9" s="10">
        <v>60</v>
      </c>
      <c r="B9" s="10"/>
      <c r="C9" s="10">
        <v>2.2029999999999998</v>
      </c>
      <c r="D9" s="10"/>
      <c r="E9" s="10" t="s">
        <v>41</v>
      </c>
      <c r="F9" s="10"/>
      <c r="G9" s="10">
        <f t="shared" si="0"/>
        <v>2755.7400000000002</v>
      </c>
    </row>
    <row r="10" spans="1:7" x14ac:dyDescent="0.25">
      <c r="A10" s="10">
        <v>70</v>
      </c>
      <c r="B10" s="10"/>
      <c r="C10" s="10">
        <v>2.2930000000000001</v>
      </c>
      <c r="D10" s="10"/>
      <c r="E10" s="10" t="s">
        <v>41</v>
      </c>
      <c r="F10" s="10"/>
      <c r="G10" s="10">
        <f t="shared" si="0"/>
        <v>2755.65</v>
      </c>
    </row>
    <row r="11" spans="1:7" x14ac:dyDescent="0.25">
      <c r="A11" s="10">
        <v>80</v>
      </c>
      <c r="B11" s="10"/>
      <c r="C11" s="10">
        <v>2.3199999999999998</v>
      </c>
      <c r="D11" s="10"/>
      <c r="E11" s="10"/>
      <c r="F11" s="10"/>
      <c r="G11" s="10">
        <f t="shared" si="0"/>
        <v>2755.623</v>
      </c>
    </row>
    <row r="12" spans="1:7" x14ac:dyDescent="0.25">
      <c r="A12" s="10">
        <v>90</v>
      </c>
      <c r="B12" s="10"/>
      <c r="C12" s="10">
        <v>2.3149999999999999</v>
      </c>
      <c r="D12" s="10"/>
      <c r="E12" s="10"/>
      <c r="F12" s="10"/>
      <c r="G12" s="10">
        <f t="shared" si="0"/>
        <v>2755.6280000000002</v>
      </c>
    </row>
    <row r="13" spans="1:7" x14ac:dyDescent="0.25">
      <c r="A13" s="10">
        <v>100</v>
      </c>
      <c r="B13" s="10"/>
      <c r="C13" s="10">
        <v>2.4159999999999999</v>
      </c>
      <c r="D13" s="10"/>
      <c r="E13" s="10" t="s">
        <v>42</v>
      </c>
      <c r="F13" s="10"/>
      <c r="G13" s="10">
        <f t="shared" si="0"/>
        <v>2755.527</v>
      </c>
    </row>
    <row r="14" spans="1:7" x14ac:dyDescent="0.25">
      <c r="A14" s="10">
        <v>110</v>
      </c>
      <c r="B14" s="10"/>
      <c r="C14" s="10">
        <v>2.4470000000000001</v>
      </c>
      <c r="D14" s="10"/>
      <c r="E14" s="10"/>
      <c r="F14" s="10"/>
      <c r="G14" s="10">
        <f t="shared" si="0"/>
        <v>2755.4960000000001</v>
      </c>
    </row>
    <row r="15" spans="1:7" x14ac:dyDescent="0.25">
      <c r="A15" s="10">
        <v>120</v>
      </c>
      <c r="B15" s="10"/>
      <c r="C15" s="10">
        <v>2.46</v>
      </c>
      <c r="D15" s="10"/>
      <c r="E15" s="10"/>
      <c r="F15" s="10"/>
      <c r="G15" s="10">
        <f t="shared" si="0"/>
        <v>2755.4830000000002</v>
      </c>
    </row>
    <row r="16" spans="1:7" x14ac:dyDescent="0.25">
      <c r="A16" s="10">
        <v>130</v>
      </c>
      <c r="B16" s="10"/>
      <c r="C16" s="10">
        <v>2.456</v>
      </c>
      <c r="D16" s="10"/>
      <c r="E16" s="10" t="s">
        <v>44</v>
      </c>
      <c r="F16" s="10"/>
      <c r="G16" s="10">
        <f t="shared" si="0"/>
        <v>2755.4870000000001</v>
      </c>
    </row>
    <row r="17" spans="1:16" x14ac:dyDescent="0.25">
      <c r="A17" s="10">
        <v>140</v>
      </c>
      <c r="B17" s="10"/>
      <c r="C17" s="10">
        <v>2.496</v>
      </c>
      <c r="D17" s="10"/>
      <c r="E17" s="10" t="s">
        <v>45</v>
      </c>
      <c r="F17" s="10"/>
      <c r="G17" s="10">
        <f t="shared" si="0"/>
        <v>2755.4470000000001</v>
      </c>
    </row>
    <row r="18" spans="1:16" x14ac:dyDescent="0.25">
      <c r="A18" s="10">
        <v>150</v>
      </c>
      <c r="B18" s="10"/>
      <c r="C18" s="10">
        <v>2.46</v>
      </c>
      <c r="D18" s="10"/>
      <c r="E18" s="10" t="s">
        <v>45</v>
      </c>
      <c r="F18" s="10"/>
      <c r="G18" s="10">
        <f t="shared" si="0"/>
        <v>2755.4830000000002</v>
      </c>
    </row>
    <row r="19" spans="1:16" x14ac:dyDescent="0.25">
      <c r="A19" s="10">
        <v>160</v>
      </c>
      <c r="B19" s="10"/>
      <c r="C19" s="10">
        <v>2.5099999999999998</v>
      </c>
      <c r="D19" s="10"/>
      <c r="E19" s="10" t="s">
        <v>45</v>
      </c>
      <c r="F19" s="10"/>
      <c r="G19" s="10">
        <f t="shared" si="0"/>
        <v>2755.433</v>
      </c>
    </row>
    <row r="20" spans="1:16" x14ac:dyDescent="0.25">
      <c r="A20" s="10">
        <v>170</v>
      </c>
      <c r="B20" s="10"/>
      <c r="C20" s="10">
        <v>2.4830000000000001</v>
      </c>
      <c r="D20" s="10"/>
      <c r="E20" s="10" t="s">
        <v>45</v>
      </c>
      <c r="F20" s="10"/>
      <c r="G20" s="10">
        <f t="shared" si="0"/>
        <v>2755.46</v>
      </c>
    </row>
    <row r="21" spans="1:16" x14ac:dyDescent="0.25">
      <c r="A21" s="10">
        <v>180</v>
      </c>
      <c r="B21" s="10"/>
      <c r="C21" s="10">
        <v>2.4750000000000001</v>
      </c>
      <c r="D21" s="10"/>
      <c r="E21" s="10"/>
      <c r="F21" s="10"/>
      <c r="G21" s="10">
        <f t="shared" si="0"/>
        <v>2755.4680000000003</v>
      </c>
    </row>
    <row r="22" spans="1:16" x14ac:dyDescent="0.25">
      <c r="A22" s="10">
        <v>190</v>
      </c>
      <c r="B22" s="10"/>
      <c r="C22" s="10">
        <v>2.4289999999999998</v>
      </c>
      <c r="D22" s="10"/>
      <c r="E22" s="10" t="s">
        <v>46</v>
      </c>
      <c r="F22" s="10"/>
      <c r="G22" s="10">
        <f t="shared" si="0"/>
        <v>2755.5140000000001</v>
      </c>
    </row>
    <row r="23" spans="1:16" x14ac:dyDescent="0.25">
      <c r="A23" s="10">
        <v>200</v>
      </c>
      <c r="B23" s="10"/>
      <c r="C23" s="10">
        <v>2.4249999999999998</v>
      </c>
      <c r="D23" s="10"/>
      <c r="E23" s="10"/>
      <c r="F23" s="10"/>
      <c r="G23" s="10">
        <f t="shared" si="0"/>
        <v>2755.518</v>
      </c>
    </row>
    <row r="24" spans="1:16" x14ac:dyDescent="0.25">
      <c r="A24" s="10">
        <v>210</v>
      </c>
      <c r="B24" s="10"/>
      <c r="C24" s="10">
        <v>2.42</v>
      </c>
      <c r="D24" s="10"/>
      <c r="E24" s="10"/>
      <c r="F24" s="10"/>
      <c r="G24" s="10">
        <f t="shared" si="0"/>
        <v>2755.5230000000001</v>
      </c>
    </row>
    <row r="25" spans="1:16" x14ac:dyDescent="0.25">
      <c r="A25" s="10">
        <v>220</v>
      </c>
      <c r="B25" s="10"/>
      <c r="C25" s="10">
        <v>2.3969999999999998</v>
      </c>
      <c r="D25" s="10"/>
      <c r="E25" s="10"/>
      <c r="F25" s="10"/>
      <c r="G25" s="10">
        <f t="shared" si="0"/>
        <v>2755.5460000000003</v>
      </c>
      <c r="I25" s="10">
        <v>100</v>
      </c>
      <c r="J25" s="10">
        <f>G13</f>
        <v>2755.527</v>
      </c>
    </row>
    <row r="26" spans="1:16" x14ac:dyDescent="0.25">
      <c r="A26" s="10">
        <v>230</v>
      </c>
      <c r="B26" s="10"/>
      <c r="C26" s="27">
        <v>2.4079999999999999</v>
      </c>
      <c r="D26" s="10"/>
      <c r="E26" s="10" t="s">
        <v>38</v>
      </c>
      <c r="F26" s="10"/>
      <c r="G26" s="10">
        <f t="shared" si="0"/>
        <v>2755.5350000000003</v>
      </c>
      <c r="I26" s="10">
        <v>120</v>
      </c>
      <c r="J26" s="10">
        <f>J25+0.001</f>
        <v>2755.5280000000002</v>
      </c>
    </row>
    <row r="27" spans="1:16" x14ac:dyDescent="0.25">
      <c r="A27" s="10">
        <v>240</v>
      </c>
      <c r="B27" s="10"/>
      <c r="C27" s="10">
        <v>2.3780000000000001</v>
      </c>
      <c r="D27" s="10"/>
      <c r="E27" s="10"/>
      <c r="F27" s="10"/>
      <c r="G27" s="10">
        <f t="shared" si="0"/>
        <v>2755.5650000000001</v>
      </c>
      <c r="I27" s="28">
        <v>130</v>
      </c>
      <c r="J27" s="28">
        <f t="shared" ref="J27:J30" si="1">J26+0.001</f>
        <v>2755.5290000000005</v>
      </c>
      <c r="L27" t="s">
        <v>56</v>
      </c>
      <c r="O27" s="29">
        <f>J27-G16</f>
        <v>4.2000000000371074E-2</v>
      </c>
      <c r="P27" s="5" t="s">
        <v>57</v>
      </c>
    </row>
    <row r="28" spans="1:16" x14ac:dyDescent="0.25">
      <c r="A28" s="10">
        <v>250</v>
      </c>
      <c r="B28" s="10"/>
      <c r="C28" s="10">
        <v>2.3570000000000002</v>
      </c>
      <c r="D28" s="10"/>
      <c r="E28" s="10"/>
      <c r="F28" s="10"/>
      <c r="G28" s="10">
        <f t="shared" si="0"/>
        <v>2755.5860000000002</v>
      </c>
      <c r="I28" s="10">
        <v>150</v>
      </c>
      <c r="J28" s="10">
        <f t="shared" si="1"/>
        <v>2755.5300000000007</v>
      </c>
      <c r="O28" s="5">
        <f>O27*100</f>
        <v>4.2000000000371074</v>
      </c>
      <c r="P28" s="5" t="s">
        <v>58</v>
      </c>
    </row>
    <row r="29" spans="1:16" x14ac:dyDescent="0.25">
      <c r="A29" s="10">
        <v>260</v>
      </c>
      <c r="B29" s="10"/>
      <c r="C29" s="10">
        <v>2.3450000000000002</v>
      </c>
      <c r="D29" s="10"/>
      <c r="E29" s="10"/>
      <c r="F29" s="10"/>
      <c r="G29" s="10">
        <f t="shared" si="0"/>
        <v>2755.5980000000004</v>
      </c>
      <c r="I29" s="10">
        <v>170</v>
      </c>
      <c r="J29" s="10">
        <f t="shared" si="1"/>
        <v>2755.5310000000009</v>
      </c>
    </row>
    <row r="30" spans="1:16" x14ac:dyDescent="0.25">
      <c r="A30" s="10">
        <v>270</v>
      </c>
      <c r="B30" s="10"/>
      <c r="C30" s="10">
        <v>2.34</v>
      </c>
      <c r="D30" s="10"/>
      <c r="E30" s="10"/>
      <c r="F30" s="10"/>
      <c r="G30" s="10">
        <f t="shared" si="0"/>
        <v>2755.6030000000001</v>
      </c>
      <c r="I30" s="10">
        <v>200</v>
      </c>
      <c r="J30" s="10">
        <f t="shared" si="1"/>
        <v>2755.5320000000011</v>
      </c>
    </row>
    <row r="31" spans="1:16" x14ac:dyDescent="0.25">
      <c r="A31" s="10">
        <v>280</v>
      </c>
      <c r="B31" s="10"/>
      <c r="C31" s="10">
        <v>2.327</v>
      </c>
      <c r="D31" s="10"/>
      <c r="E31" s="10"/>
      <c r="F31" s="10"/>
      <c r="G31" s="10">
        <f t="shared" si="0"/>
        <v>2755.616</v>
      </c>
      <c r="I31" s="10">
        <v>230</v>
      </c>
      <c r="J31" s="10">
        <f>G26</f>
        <v>2755.5350000000003</v>
      </c>
    </row>
    <row r="32" spans="1:16" x14ac:dyDescent="0.25">
      <c r="A32" s="10">
        <v>290</v>
      </c>
      <c r="B32" s="10"/>
      <c r="C32" s="10">
        <v>2.1859999999999999</v>
      </c>
      <c r="D32" s="10"/>
      <c r="E32" s="10" t="s">
        <v>47</v>
      </c>
      <c r="F32" s="10"/>
      <c r="G32" s="10">
        <f t="shared" si="0"/>
        <v>2755.7570000000001</v>
      </c>
    </row>
    <row r="33" spans="1:10" x14ac:dyDescent="0.25">
      <c r="A33" s="10">
        <v>300</v>
      </c>
      <c r="B33" s="10"/>
      <c r="C33" s="10">
        <v>2.15</v>
      </c>
      <c r="D33" s="10"/>
      <c r="E33" s="10"/>
      <c r="F33" s="10"/>
      <c r="G33" s="10">
        <f t="shared" si="0"/>
        <v>2755.7930000000001</v>
      </c>
    </row>
    <row r="34" spans="1:10" x14ac:dyDescent="0.25">
      <c r="A34" s="10">
        <v>310</v>
      </c>
      <c r="B34" s="10"/>
      <c r="C34" s="10">
        <v>2.06</v>
      </c>
      <c r="D34" s="10"/>
      <c r="E34" s="10" t="s">
        <v>48</v>
      </c>
      <c r="F34" s="10"/>
      <c r="G34" s="10">
        <f>$F$3-C34</f>
        <v>2755.8830000000003</v>
      </c>
    </row>
    <row r="39" spans="1:10" x14ac:dyDescent="0.25">
      <c r="I39" s="10">
        <v>2755.4870000000001</v>
      </c>
      <c r="J39">
        <f>I39+0.114</f>
        <v>2755.6010000000001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2095-78A3-4DF4-998E-23A51FDAA13E}">
  <dimension ref="A1:E20"/>
  <sheetViews>
    <sheetView workbookViewId="0">
      <selection activeCell="K11" sqref="K10:K11"/>
    </sheetView>
  </sheetViews>
  <sheetFormatPr defaultColWidth="8.85546875" defaultRowHeight="15" x14ac:dyDescent="0.25"/>
  <cols>
    <col min="1" max="1" width="11.7109375" customWidth="1"/>
    <col min="3" max="3" width="11.5703125" customWidth="1"/>
    <col min="4" max="4" width="8.85546875" customWidth="1"/>
    <col min="5" max="5" width="45.28515625" customWidth="1"/>
  </cols>
  <sheetData>
    <row r="1" spans="1:5" ht="15.75" thickBot="1" x14ac:dyDescent="0.3">
      <c r="A1" s="17" t="s">
        <v>5</v>
      </c>
      <c r="B1" s="22">
        <v>0.1423611111111111</v>
      </c>
      <c r="C1" s="17" t="s">
        <v>6</v>
      </c>
      <c r="D1" s="23">
        <v>0.14722222222222223</v>
      </c>
      <c r="E1" s="24" t="s">
        <v>43</v>
      </c>
    </row>
    <row r="2" spans="1:5" ht="15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x14ac:dyDescent="0.25">
      <c r="A3" s="10">
        <v>0</v>
      </c>
      <c r="B3" s="10">
        <v>1.9</v>
      </c>
      <c r="C3" s="10"/>
      <c r="D3" s="10"/>
      <c r="E3" s="10" t="s">
        <v>49</v>
      </c>
    </row>
    <row r="4" spans="1:5" x14ac:dyDescent="0.25">
      <c r="A4" s="10">
        <v>10</v>
      </c>
      <c r="B4" s="10"/>
      <c r="C4" s="10">
        <v>1.895</v>
      </c>
      <c r="D4" s="10"/>
      <c r="E4" s="10"/>
    </row>
    <row r="5" spans="1:5" x14ac:dyDescent="0.25">
      <c r="A5" s="10">
        <v>20</v>
      </c>
      <c r="B5" s="10"/>
      <c r="C5" s="10">
        <v>1.9770000000000001</v>
      </c>
      <c r="D5" s="10"/>
      <c r="E5" s="10" t="s">
        <v>50</v>
      </c>
    </row>
    <row r="6" spans="1:5" x14ac:dyDescent="0.25">
      <c r="A6" s="10">
        <v>30</v>
      </c>
      <c r="B6" s="10"/>
      <c r="C6" s="10">
        <v>2.11</v>
      </c>
      <c r="D6" s="10"/>
      <c r="E6" s="10" t="s">
        <v>50</v>
      </c>
    </row>
    <row r="7" spans="1:5" x14ac:dyDescent="0.25">
      <c r="A7" s="10">
        <v>40</v>
      </c>
      <c r="B7" s="10"/>
      <c r="C7" s="10">
        <v>2.14</v>
      </c>
      <c r="D7" s="10"/>
      <c r="E7" s="10" t="s">
        <v>34</v>
      </c>
    </row>
    <row r="8" spans="1:5" x14ac:dyDescent="0.25">
      <c r="A8" s="10">
        <v>50</v>
      </c>
      <c r="B8" s="10"/>
      <c r="C8" s="10">
        <v>2.1909999999999998</v>
      </c>
      <c r="D8" s="10"/>
      <c r="E8" s="10"/>
    </row>
    <row r="9" spans="1:5" x14ac:dyDescent="0.25">
      <c r="A9" s="10">
        <v>60</v>
      </c>
      <c r="B9" s="10"/>
      <c r="C9" s="10">
        <v>2.2599999999999998</v>
      </c>
      <c r="D9" s="10"/>
      <c r="E9" s="10"/>
    </row>
    <row r="10" spans="1:5" x14ac:dyDescent="0.25">
      <c r="A10" s="10">
        <v>70</v>
      </c>
      <c r="B10" s="10"/>
      <c r="C10" s="10">
        <v>2.2749999999999999</v>
      </c>
      <c r="D10" s="10"/>
      <c r="E10" s="10"/>
    </row>
    <row r="11" spans="1:5" x14ac:dyDescent="0.25">
      <c r="A11" s="10">
        <v>80</v>
      </c>
      <c r="B11" s="10"/>
      <c r="C11" s="10">
        <v>2.2799999999999998</v>
      </c>
      <c r="D11" s="10"/>
      <c r="E11" s="10"/>
    </row>
    <row r="12" spans="1:5" x14ac:dyDescent="0.25">
      <c r="A12" s="10">
        <v>90</v>
      </c>
      <c r="B12" s="10"/>
      <c r="C12" s="10">
        <v>2.2949999999999999</v>
      </c>
      <c r="D12" s="10"/>
      <c r="E12" s="10"/>
    </row>
    <row r="13" spans="1:5" x14ac:dyDescent="0.25">
      <c r="A13" s="10">
        <v>100</v>
      </c>
      <c r="B13" s="10"/>
      <c r="C13" s="10">
        <v>2.282</v>
      </c>
      <c r="D13" s="10"/>
      <c r="E13" s="10"/>
    </row>
    <row r="14" spans="1:5" x14ac:dyDescent="0.25">
      <c r="A14" s="10">
        <v>110</v>
      </c>
      <c r="B14" s="10"/>
      <c r="C14" s="10">
        <v>2.2650000000000001</v>
      </c>
      <c r="D14" s="10"/>
      <c r="E14" s="10"/>
    </row>
    <row r="15" spans="1:5" x14ac:dyDescent="0.25">
      <c r="A15" s="10">
        <v>120</v>
      </c>
      <c r="B15" s="10"/>
      <c r="C15" s="10">
        <v>2.274</v>
      </c>
      <c r="D15" s="10"/>
      <c r="E15" s="10"/>
    </row>
    <row r="16" spans="1:5" x14ac:dyDescent="0.25">
      <c r="A16" s="10">
        <v>130</v>
      </c>
      <c r="B16" s="10"/>
      <c r="C16" s="10">
        <v>2.2759999999999998</v>
      </c>
      <c r="D16" s="10"/>
      <c r="E16" s="10" t="s">
        <v>34</v>
      </c>
    </row>
    <row r="17" spans="1:5" x14ac:dyDescent="0.25">
      <c r="A17" s="10">
        <v>140</v>
      </c>
      <c r="B17" s="10"/>
      <c r="C17" s="10">
        <v>2.1520000000000001</v>
      </c>
      <c r="D17" s="10"/>
      <c r="E17" s="10"/>
    </row>
    <row r="18" spans="1:5" x14ac:dyDescent="0.25">
      <c r="A18" s="10">
        <v>150</v>
      </c>
      <c r="B18" s="10"/>
      <c r="C18" s="10">
        <v>2.1280000000000001</v>
      </c>
      <c r="D18" s="10"/>
      <c r="E18" s="10"/>
    </row>
    <row r="19" spans="1:5" x14ac:dyDescent="0.25">
      <c r="A19" s="10">
        <v>160</v>
      </c>
      <c r="B19" s="10"/>
      <c r="C19" s="10">
        <v>2.09</v>
      </c>
      <c r="D19" s="10"/>
      <c r="E19" s="10"/>
    </row>
    <row r="20" spans="1:5" x14ac:dyDescent="0.25">
      <c r="A20" s="10">
        <v>170</v>
      </c>
      <c r="B20" s="10"/>
      <c r="C20" s="10">
        <v>2.0870000000000002</v>
      </c>
      <c r="D20" s="10"/>
      <c r="E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 Profile</vt:lpstr>
      <vt:lpstr>Sampling XS</vt:lpstr>
      <vt:lpstr>Pressure Transducer XS</vt:lpstr>
      <vt:lpstr>Bedload Sampling XS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cp:lastPrinted>2022-08-16T07:32:14Z</cp:lastPrinted>
  <dcterms:created xsi:type="dcterms:W3CDTF">2022-08-16T07:28:02Z</dcterms:created>
  <dcterms:modified xsi:type="dcterms:W3CDTF">2026-07-23T22:36:04Z</dcterms:modified>
</cp:coreProperties>
</file>