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3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calibration_calculations\"/>
    </mc:Choice>
  </mc:AlternateContent>
  <xr:revisionPtr revIDLastSave="0" documentId="13_ncr:1_{D52D62A8-2B2F-483E-9CD0-23C2B7CE7846}" xr6:coauthVersionLast="47" xr6:coauthVersionMax="47" xr10:uidLastSave="{00000000-0000-0000-0000-000000000000}"/>
  <bookViews>
    <workbookView xWindow="-25320" yWindow="360" windowWidth="25440" windowHeight="15270" activeTab="1" xr2:uid="{00000000-000D-0000-FFFF-FFFF00000000}"/>
  </bookViews>
  <sheets>
    <sheet name="hilbert envelope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6" l="1"/>
  <c r="AK3" i="1"/>
  <c r="S156" i="6" a="1"/>
  <c r="S156" i="6" s="1"/>
  <c r="U129" i="6"/>
  <c r="U130" i="6"/>
  <c r="U131" i="6"/>
  <c r="U132" i="6"/>
  <c r="U133" i="6"/>
  <c r="U128" i="6"/>
  <c r="G85" i="6"/>
  <c r="AJ3" i="1"/>
  <c r="AO3" i="6" l="1"/>
  <c r="AO4" i="6"/>
  <c r="AO5" i="6"/>
  <c r="AW20" i="6"/>
  <c r="BJ5" i="6"/>
  <c r="BI5" i="6"/>
  <c r="BD5" i="6"/>
  <c r="BC5" i="6"/>
  <c r="AO3" i="1"/>
  <c r="AL3" i="1"/>
  <c r="AM3" i="1"/>
  <c r="AN3" i="1"/>
  <c r="AK4" i="1"/>
  <c r="AL4" i="1"/>
  <c r="AM4" i="1"/>
  <c r="AN4" i="1"/>
  <c r="AO4" i="1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K10" i="1"/>
  <c r="AL10" i="1"/>
  <c r="AM10" i="1"/>
  <c r="AN10" i="1"/>
  <c r="AO10" i="1"/>
  <c r="AK11" i="1"/>
  <c r="AL11" i="1"/>
  <c r="AM11" i="1"/>
  <c r="AN11" i="1"/>
  <c r="AO11" i="1"/>
  <c r="AK12" i="1"/>
  <c r="AL12" i="1"/>
  <c r="AM12" i="1"/>
  <c r="AN12" i="1"/>
  <c r="AO12" i="1"/>
  <c r="AK13" i="1"/>
  <c r="AL13" i="1"/>
  <c r="AM13" i="1"/>
  <c r="AN13" i="1"/>
  <c r="AO13" i="1"/>
  <c r="AK14" i="1"/>
  <c r="AL14" i="1"/>
  <c r="AM14" i="1"/>
  <c r="AN14" i="1"/>
  <c r="AO14" i="1"/>
  <c r="AK15" i="1"/>
  <c r="AL15" i="1"/>
  <c r="AM15" i="1"/>
  <c r="AN15" i="1"/>
  <c r="AO15" i="1"/>
  <c r="AK16" i="1"/>
  <c r="AL16" i="1"/>
  <c r="AM16" i="1"/>
  <c r="AN16" i="1"/>
  <c r="AO16" i="1"/>
  <c r="AK17" i="1"/>
  <c r="AL17" i="1"/>
  <c r="AM17" i="1"/>
  <c r="AN17" i="1"/>
  <c r="AO17" i="1"/>
  <c r="AK18" i="1"/>
  <c r="AL18" i="1"/>
  <c r="AM18" i="1"/>
  <c r="AN18" i="1"/>
  <c r="AO18" i="1"/>
  <c r="AK19" i="1"/>
  <c r="AL19" i="1"/>
  <c r="AM19" i="1"/>
  <c r="AN19" i="1"/>
  <c r="AO19" i="1"/>
  <c r="AK20" i="1"/>
  <c r="AL20" i="1"/>
  <c r="AM20" i="1"/>
  <c r="AN20" i="1"/>
  <c r="AO20" i="1"/>
  <c r="AK21" i="1"/>
  <c r="AL21" i="1"/>
  <c r="AM21" i="1"/>
  <c r="AN21" i="1"/>
  <c r="AO21" i="1"/>
  <c r="AK22" i="1"/>
  <c r="AL22" i="1"/>
  <c r="AM22" i="1"/>
  <c r="AN22" i="1"/>
  <c r="AO22" i="1"/>
  <c r="AK23" i="1"/>
  <c r="AL23" i="1"/>
  <c r="AM23" i="1"/>
  <c r="AN23" i="1"/>
  <c r="AO23" i="1"/>
  <c r="AK24" i="1"/>
  <c r="AL24" i="1"/>
  <c r="AM24" i="1"/>
  <c r="AN24" i="1"/>
  <c r="AO24" i="1"/>
  <c r="AK25" i="1"/>
  <c r="AL25" i="1"/>
  <c r="AM25" i="1"/>
  <c r="AN25" i="1"/>
  <c r="AO25" i="1"/>
  <c r="AK26" i="1"/>
  <c r="AL26" i="1"/>
  <c r="AM26" i="1"/>
  <c r="AN26" i="1"/>
  <c r="AO26" i="1"/>
  <c r="AK27" i="1"/>
  <c r="AL27" i="1"/>
  <c r="AM27" i="1"/>
  <c r="AN27" i="1"/>
  <c r="AO27" i="1"/>
  <c r="AK28" i="1"/>
  <c r="AL28" i="1"/>
  <c r="AM28" i="1"/>
  <c r="AN28" i="1"/>
  <c r="AO28" i="1"/>
  <c r="AK29" i="1"/>
  <c r="AL29" i="1"/>
  <c r="AM29" i="1"/>
  <c r="AN29" i="1"/>
  <c r="AO29" i="1"/>
  <c r="AK30" i="1"/>
  <c r="AL30" i="1"/>
  <c r="AM30" i="1"/>
  <c r="AN30" i="1"/>
  <c r="AO30" i="1"/>
  <c r="AK31" i="1"/>
  <c r="AL31" i="1"/>
  <c r="AM31" i="1"/>
  <c r="AN31" i="1"/>
  <c r="AO31" i="1"/>
  <c r="AK32" i="1"/>
  <c r="AL32" i="1"/>
  <c r="AM32" i="1"/>
  <c r="AN32" i="1"/>
  <c r="AO32" i="1"/>
  <c r="AK33" i="1"/>
  <c r="AL33" i="1"/>
  <c r="AM33" i="1"/>
  <c r="AN33" i="1"/>
  <c r="AO33" i="1"/>
  <c r="AK34" i="1"/>
  <c r="AL34" i="1"/>
  <c r="AM34" i="1"/>
  <c r="AN34" i="1"/>
  <c r="AO34" i="1"/>
  <c r="AK35" i="1"/>
  <c r="AL35" i="1"/>
  <c r="AM35" i="1"/>
  <c r="AN35" i="1"/>
  <c r="AO35" i="1"/>
  <c r="AK36" i="1"/>
  <c r="AL36" i="1"/>
  <c r="AM36" i="1"/>
  <c r="AN36" i="1"/>
  <c r="AO36" i="1"/>
  <c r="AK37" i="1"/>
  <c r="AL37" i="1"/>
  <c r="AM37" i="1"/>
  <c r="AN37" i="1"/>
  <c r="AO37" i="1"/>
  <c r="AK38" i="1"/>
  <c r="AL38" i="1"/>
  <c r="AM38" i="1"/>
  <c r="AN38" i="1"/>
  <c r="AO38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E3" i="1"/>
  <c r="AE4" i="1"/>
  <c r="AF4" i="1"/>
  <c r="AG4" i="1"/>
  <c r="AH4" i="1"/>
  <c r="AE5" i="1"/>
  <c r="AF5" i="1"/>
  <c r="AG5" i="1"/>
  <c r="AH5" i="1"/>
  <c r="AE6" i="1"/>
  <c r="AF6" i="1"/>
  <c r="AG6" i="1"/>
  <c r="AH6" i="1"/>
  <c r="AE7" i="1"/>
  <c r="AF7" i="1"/>
  <c r="AG7" i="1"/>
  <c r="AH7" i="1"/>
  <c r="AE8" i="1"/>
  <c r="AF8" i="1"/>
  <c r="AG8" i="1"/>
  <c r="AH8" i="1"/>
  <c r="AE9" i="1"/>
  <c r="AF9" i="1"/>
  <c r="AG9" i="1"/>
  <c r="AH9" i="1"/>
  <c r="AE10" i="1"/>
  <c r="AF10" i="1"/>
  <c r="AG10" i="1"/>
  <c r="AH10" i="1"/>
  <c r="AE11" i="1"/>
  <c r="AF11" i="1"/>
  <c r="AG11" i="1"/>
  <c r="AH11" i="1"/>
  <c r="AE12" i="1"/>
  <c r="AF12" i="1"/>
  <c r="AG12" i="1"/>
  <c r="AH12" i="1"/>
  <c r="AE13" i="1"/>
  <c r="AF13" i="1"/>
  <c r="AG13" i="1"/>
  <c r="AH13" i="1"/>
  <c r="AE14" i="1"/>
  <c r="AF14" i="1"/>
  <c r="AG14" i="1"/>
  <c r="AH14" i="1"/>
  <c r="AE15" i="1"/>
  <c r="AF15" i="1"/>
  <c r="AG15" i="1"/>
  <c r="AH15" i="1"/>
  <c r="AE16" i="1"/>
  <c r="AF16" i="1"/>
  <c r="AG16" i="1"/>
  <c r="AH16" i="1"/>
  <c r="AE17" i="1"/>
  <c r="AF17" i="1"/>
  <c r="AG17" i="1"/>
  <c r="AH17" i="1"/>
  <c r="AE18" i="1"/>
  <c r="AF18" i="1"/>
  <c r="AG18" i="1"/>
  <c r="AH18" i="1"/>
  <c r="AE19" i="1"/>
  <c r="AF19" i="1"/>
  <c r="AG19" i="1"/>
  <c r="AH19" i="1"/>
  <c r="AE20" i="1"/>
  <c r="AF20" i="1"/>
  <c r="AG20" i="1"/>
  <c r="AH20" i="1"/>
  <c r="AE21" i="1"/>
  <c r="AF21" i="1"/>
  <c r="AG21" i="1"/>
  <c r="AH21" i="1"/>
  <c r="AE22" i="1"/>
  <c r="AF22" i="1"/>
  <c r="AG22" i="1"/>
  <c r="AH22" i="1"/>
  <c r="AE23" i="1"/>
  <c r="AF23" i="1"/>
  <c r="AG23" i="1"/>
  <c r="AH23" i="1"/>
  <c r="AE24" i="1"/>
  <c r="AF24" i="1"/>
  <c r="AG24" i="1"/>
  <c r="AH24" i="1"/>
  <c r="AE25" i="1"/>
  <c r="AF25" i="1"/>
  <c r="AG25" i="1"/>
  <c r="AH25" i="1"/>
  <c r="AE26" i="1"/>
  <c r="AF26" i="1"/>
  <c r="AG26" i="1"/>
  <c r="AH26" i="1"/>
  <c r="AE27" i="1"/>
  <c r="AF27" i="1"/>
  <c r="AG27" i="1"/>
  <c r="AH27" i="1"/>
  <c r="AE28" i="1"/>
  <c r="AF28" i="1"/>
  <c r="AG28" i="1"/>
  <c r="AH28" i="1"/>
  <c r="AE29" i="1"/>
  <c r="AF29" i="1"/>
  <c r="AG29" i="1"/>
  <c r="AH29" i="1"/>
  <c r="AE30" i="1"/>
  <c r="AF30" i="1"/>
  <c r="AG30" i="1"/>
  <c r="AH30" i="1"/>
  <c r="AE31" i="1"/>
  <c r="AF31" i="1"/>
  <c r="AG31" i="1"/>
  <c r="AH31" i="1"/>
  <c r="AE32" i="1"/>
  <c r="AF32" i="1"/>
  <c r="AG32" i="1"/>
  <c r="AH32" i="1"/>
  <c r="AE33" i="1"/>
  <c r="AF33" i="1"/>
  <c r="AG33" i="1"/>
  <c r="AH33" i="1"/>
  <c r="AE34" i="1"/>
  <c r="AF34" i="1"/>
  <c r="AG34" i="1"/>
  <c r="AH34" i="1"/>
  <c r="AE35" i="1"/>
  <c r="AF35" i="1"/>
  <c r="AG35" i="1"/>
  <c r="AH35" i="1"/>
  <c r="AE36" i="1"/>
  <c r="AF36" i="1"/>
  <c r="AG36" i="1"/>
  <c r="AH36" i="1"/>
  <c r="AE37" i="1"/>
  <c r="AF37" i="1"/>
  <c r="AG37" i="1"/>
  <c r="AH37" i="1"/>
  <c r="AE38" i="1"/>
  <c r="AF38" i="1"/>
  <c r="AG38" i="1"/>
  <c r="AH38" i="1"/>
  <c r="AF3" i="1"/>
  <c r="AG3" i="1"/>
  <c r="AH3" i="1"/>
  <c r="AD14" i="1"/>
  <c r="AD4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BB24" i="6"/>
  <c r="I10" i="6"/>
  <c r="Y23" i="6" s="1"/>
  <c r="J20" i="6"/>
  <c r="I20" i="6"/>
  <c r="H20" i="6"/>
  <c r="E20" i="6"/>
  <c r="D20" i="6"/>
  <c r="C20" i="6"/>
  <c r="F12" i="6"/>
  <c r="AP25" i="6" s="1"/>
  <c r="W23" i="6" l="1"/>
  <c r="AO25" i="6"/>
  <c r="B90" i="6"/>
  <c r="E88" i="6"/>
  <c r="E78" i="6"/>
  <c r="X23" i="6"/>
  <c r="AQ25" i="6"/>
  <c r="B80" i="6"/>
  <c r="C24" i="6"/>
  <c r="K11" i="6"/>
  <c r="H10" i="6"/>
  <c r="K10" i="6"/>
  <c r="F10" i="6"/>
  <c r="G10" i="6"/>
  <c r="J10" i="6"/>
  <c r="F88" i="6" s="1"/>
  <c r="T131" i="6" s="1"/>
  <c r="BY20" i="6"/>
  <c r="BP20" i="6"/>
  <c r="AP133" i="6" l="1"/>
  <c r="AO133" i="6"/>
  <c r="F78" i="6"/>
  <c r="AO80" i="6"/>
  <c r="AP80" i="6"/>
  <c r="C78" i="6"/>
  <c r="C88" i="6"/>
  <c r="Y78" i="6"/>
  <c r="X78" i="6"/>
  <c r="W78" i="6"/>
  <c r="D88" i="6"/>
  <c r="D78" i="6"/>
  <c r="M24" i="6"/>
  <c r="G79" i="6"/>
  <c r="G89" i="6"/>
  <c r="B88" i="6"/>
  <c r="B78" i="6"/>
  <c r="M23" i="6"/>
  <c r="G88" i="6"/>
  <c r="G78" i="6"/>
  <c r="X131" i="6"/>
  <c r="Y131" i="6"/>
  <c r="W131" i="6"/>
  <c r="T23" i="6"/>
  <c r="S23" i="6"/>
  <c r="R23" i="6"/>
  <c r="AK23" i="6"/>
  <c r="AJ23" i="6"/>
  <c r="AI23" i="6"/>
  <c r="AQ23" i="6"/>
  <c r="AP46" i="6" s="1" a="1"/>
  <c r="AP46" i="6" s="1"/>
  <c r="AP23" i="6"/>
  <c r="AP45" i="6" s="1" a="1"/>
  <c r="AP45" i="6" s="1"/>
  <c r="AO23" i="6"/>
  <c r="AE23" i="6"/>
  <c r="AD23" i="6"/>
  <c r="AC23" i="6"/>
  <c r="BF25" i="6"/>
  <c r="BF23" i="6"/>
  <c r="BF20" i="6"/>
  <c r="BB25" i="6"/>
  <c r="BB20" i="6"/>
  <c r="AW25" i="6"/>
  <c r="AW23" i="6"/>
  <c r="AU23" i="6"/>
  <c r="BD23" i="6" s="1"/>
  <c r="BW23" i="6" s="1"/>
  <c r="AU24" i="6"/>
  <c r="BD24" i="6" s="1"/>
  <c r="BW24" i="6" s="1"/>
  <c r="AU25" i="6"/>
  <c r="BD25" i="6" s="1"/>
  <c r="BW25" i="6" s="1"/>
  <c r="AU21" i="6"/>
  <c r="BD21" i="6" s="1"/>
  <c r="BW21" i="6" s="1"/>
  <c r="AU22" i="6"/>
  <c r="BD22" i="6" s="1"/>
  <c r="BW22" i="6" s="1"/>
  <c r="AU20" i="6"/>
  <c r="BD20" i="6" s="1"/>
  <c r="BW20" i="6" s="1"/>
  <c r="BN21" i="6"/>
  <c r="BN22" i="6"/>
  <c r="BN23" i="6"/>
  <c r="BN24" i="6"/>
  <c r="BN25" i="6"/>
  <c r="BN20" i="6"/>
  <c r="J24" i="6"/>
  <c r="H24" i="6"/>
  <c r="H25" i="6"/>
  <c r="H23" i="6"/>
  <c r="H21" i="6"/>
  <c r="H22" i="6"/>
  <c r="F11" i="6"/>
  <c r="G11" i="6"/>
  <c r="G12" i="6"/>
  <c r="H11" i="6"/>
  <c r="H12" i="6"/>
  <c r="I11" i="6"/>
  <c r="I12" i="6"/>
  <c r="J11" i="6"/>
  <c r="J12" i="6"/>
  <c r="N24" i="6"/>
  <c r="K12" i="6"/>
  <c r="F13" i="6"/>
  <c r="BY23" i="6"/>
  <c r="BZ23" i="6"/>
  <c r="CA23" i="6"/>
  <c r="CB23" i="6"/>
  <c r="CC23" i="6"/>
  <c r="CD23" i="6"/>
  <c r="BY24" i="6"/>
  <c r="BZ24" i="6"/>
  <c r="CA24" i="6"/>
  <c r="CB24" i="6"/>
  <c r="CC24" i="6"/>
  <c r="CD24" i="6"/>
  <c r="BY25" i="6"/>
  <c r="BZ25" i="6"/>
  <c r="CA25" i="6"/>
  <c r="CB25" i="6"/>
  <c r="CC25" i="6"/>
  <c r="CD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3" i="6"/>
  <c r="BP24" i="6"/>
  <c r="BP25" i="6"/>
  <c r="BK23" i="6"/>
  <c r="BK24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B23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X22" i="6"/>
  <c r="AW24" i="6"/>
  <c r="J23" i="6"/>
  <c r="J25" i="6"/>
  <c r="I23" i="6"/>
  <c r="I24" i="6"/>
  <c r="I25" i="6"/>
  <c r="E23" i="6"/>
  <c r="E24" i="6"/>
  <c r="E25" i="6"/>
  <c r="D23" i="6"/>
  <c r="C45" i="6" s="1" a="1"/>
  <c r="C45" i="6" s="1"/>
  <c r="D24" i="6"/>
  <c r="D25" i="6"/>
  <c r="C23" i="6"/>
  <c r="C25" i="6"/>
  <c r="C22" i="6"/>
  <c r="D22" i="6"/>
  <c r="E22" i="6"/>
  <c r="I22" i="6"/>
  <c r="J22" i="6"/>
  <c r="AW22" i="6"/>
  <c r="AY22" i="6"/>
  <c r="AZ22" i="6"/>
  <c r="BA22" i="6"/>
  <c r="BB22" i="6"/>
  <c r="BF22" i="6"/>
  <c r="BG22" i="6"/>
  <c r="BH22" i="6"/>
  <c r="BI22" i="6"/>
  <c r="BJ22" i="6"/>
  <c r="BK22" i="6"/>
  <c r="BP22" i="6"/>
  <c r="BQ22" i="6"/>
  <c r="BR22" i="6"/>
  <c r="BS22" i="6"/>
  <c r="BT22" i="6"/>
  <c r="BU22" i="6"/>
  <c r="BY22" i="6"/>
  <c r="BZ22" i="6"/>
  <c r="CA22" i="6"/>
  <c r="CB22" i="6"/>
  <c r="CC22" i="6"/>
  <c r="CD22" i="6"/>
  <c r="K9" i="6"/>
  <c r="K13" i="6"/>
  <c r="K14" i="6"/>
  <c r="K15" i="6"/>
  <c r="K16" i="6"/>
  <c r="J9" i="6"/>
  <c r="J13" i="6"/>
  <c r="J14" i="6"/>
  <c r="J15" i="6"/>
  <c r="J16" i="6"/>
  <c r="I9" i="6"/>
  <c r="I13" i="6"/>
  <c r="I14" i="6"/>
  <c r="I15" i="6"/>
  <c r="I16" i="6"/>
  <c r="H9" i="6"/>
  <c r="H13" i="6"/>
  <c r="H14" i="6"/>
  <c r="H15" i="6"/>
  <c r="H16" i="6"/>
  <c r="G9" i="6"/>
  <c r="G13" i="6"/>
  <c r="G14" i="6"/>
  <c r="G15" i="6"/>
  <c r="G16" i="6"/>
  <c r="F14" i="6"/>
  <c r="F15" i="6"/>
  <c r="F16" i="6"/>
  <c r="F9" i="6"/>
  <c r="F3" i="6"/>
  <c r="CD20" i="6"/>
  <c r="CD21" i="6"/>
  <c r="CC20" i="6"/>
  <c r="CC21" i="6"/>
  <c r="CB20" i="6"/>
  <c r="CB21" i="6"/>
  <c r="CA20" i="6"/>
  <c r="CA21" i="6"/>
  <c r="BZ20" i="6"/>
  <c r="BZ21" i="6"/>
  <c r="BY21" i="6"/>
  <c r="BU20" i="6"/>
  <c r="BU21" i="6"/>
  <c r="BT20" i="6"/>
  <c r="BT21" i="6"/>
  <c r="BS20" i="6"/>
  <c r="BS21" i="6"/>
  <c r="BR20" i="6"/>
  <c r="BR21" i="6"/>
  <c r="BQ20" i="6"/>
  <c r="BQ21" i="6"/>
  <c r="BP21" i="6"/>
  <c r="BK21" i="6"/>
  <c r="BK20" i="6"/>
  <c r="BJ20" i="6"/>
  <c r="BJ21" i="6"/>
  <c r="BI20" i="6"/>
  <c r="BI21" i="6"/>
  <c r="BH20" i="6"/>
  <c r="BH21" i="6"/>
  <c r="BG20" i="6"/>
  <c r="BG21" i="6"/>
  <c r="BF21" i="6"/>
  <c r="BB21" i="6"/>
  <c r="BA20" i="6"/>
  <c r="BA21" i="6"/>
  <c r="AZ20" i="6"/>
  <c r="AZ21" i="6"/>
  <c r="AY20" i="6"/>
  <c r="AY21" i="6"/>
  <c r="AX20" i="6"/>
  <c r="AX21" i="6"/>
  <c r="AW21" i="6"/>
  <c r="E90" i="6" l="1"/>
  <c r="W133" i="6" s="1"/>
  <c r="E80" i="6"/>
  <c r="G90" i="6"/>
  <c r="G80" i="6"/>
  <c r="E89" i="6"/>
  <c r="E79" i="6"/>
  <c r="O131" i="6"/>
  <c r="N131" i="6"/>
  <c r="M131" i="6"/>
  <c r="D80" i="6"/>
  <c r="D90" i="6"/>
  <c r="B89" i="6"/>
  <c r="B79" i="6"/>
  <c r="N78" i="6"/>
  <c r="O78" i="6"/>
  <c r="N98" i="6" s="1" a="1"/>
  <c r="N98" i="6" s="1"/>
  <c r="M78" i="6"/>
  <c r="N79" i="6"/>
  <c r="M79" i="6"/>
  <c r="O79" i="6"/>
  <c r="T24" i="6"/>
  <c r="F79" i="6"/>
  <c r="F89" i="6"/>
  <c r="AK25" i="6"/>
  <c r="C80" i="6"/>
  <c r="C90" i="6"/>
  <c r="W25" i="6"/>
  <c r="AP78" i="6"/>
  <c r="AO78" i="6"/>
  <c r="AI131" i="6"/>
  <c r="AJ131" i="6"/>
  <c r="R25" i="6"/>
  <c r="F90" i="6"/>
  <c r="F80" i="6"/>
  <c r="AO131" i="6"/>
  <c r="AP131" i="6"/>
  <c r="AC78" i="6"/>
  <c r="AD78" i="6"/>
  <c r="AE78" i="6"/>
  <c r="S155" i="6" a="1"/>
  <c r="S155" i="6" s="1"/>
  <c r="S131" i="6"/>
  <c r="R131" i="6"/>
  <c r="AJ24" i="6"/>
  <c r="C89" i="6"/>
  <c r="C79" i="6"/>
  <c r="AI78" i="6"/>
  <c r="AJ78" i="6"/>
  <c r="AC24" i="6"/>
  <c r="D89" i="6"/>
  <c r="D79" i="6"/>
  <c r="BC36" i="6" a="1"/>
  <c r="BC36" i="6" s="1"/>
  <c r="M132" i="6"/>
  <c r="O132" i="6"/>
  <c r="N132" i="6"/>
  <c r="AE131" i="6"/>
  <c r="AC131" i="6"/>
  <c r="AD131" i="6"/>
  <c r="T78" i="6"/>
  <c r="S78" i="6"/>
  <c r="R78" i="6"/>
  <c r="AD25" i="6"/>
  <c r="AE25" i="6"/>
  <c r="AC25" i="6"/>
  <c r="O25" i="6"/>
  <c r="M25" i="6"/>
  <c r="X24" i="6"/>
  <c r="W24" i="6"/>
  <c r="AP24" i="6"/>
  <c r="AO24" i="6"/>
  <c r="AQ24" i="6"/>
  <c r="BC34" i="6" a="1"/>
  <c r="BC34" i="6" s="1"/>
  <c r="BD31" i="6" a="1"/>
  <c r="BD31" i="6" s="1"/>
  <c r="BD33" i="6" a="1"/>
  <c r="BD33" i="6" s="1"/>
  <c r="BC33" i="6" a="1"/>
  <c r="BC33" i="6" s="1"/>
  <c r="BV35" i="6" a="1"/>
  <c r="BV35" i="6" s="1"/>
  <c r="BD36" i="6" a="1"/>
  <c r="BD36" i="6" s="1"/>
  <c r="BV33" i="6" a="1"/>
  <c r="BV33" i="6" s="1"/>
  <c r="BD34" i="6" a="1"/>
  <c r="BD34" i="6" s="1"/>
  <c r="BV36" i="6" a="1"/>
  <c r="BV36" i="6" s="1"/>
  <c r="BV31" i="6" a="1"/>
  <c r="BV31" i="6" s="1"/>
  <c r="BC32" i="6" a="1"/>
  <c r="BC32" i="6" s="1"/>
  <c r="BV34" i="6" a="1"/>
  <c r="BV34" i="6" s="1"/>
  <c r="BC31" i="6" a="1"/>
  <c r="BC31" i="6" s="1"/>
  <c r="BD35" i="6" a="1"/>
  <c r="BD35" i="6" s="1"/>
  <c r="BD32" i="6" a="1"/>
  <c r="BD32" i="6" s="1"/>
  <c r="BC35" i="6" a="1"/>
  <c r="BC35" i="6" s="1"/>
  <c r="BV32" i="6" a="1"/>
  <c r="BV32" i="6" s="1"/>
  <c r="AJ25" i="6"/>
  <c r="AI25" i="6"/>
  <c r="AK24" i="6"/>
  <c r="I44" i="6" a="1"/>
  <c r="I44" i="6" s="1"/>
  <c r="AR3" i="6" s="1"/>
  <c r="AI24" i="6"/>
  <c r="Y25" i="6"/>
  <c r="X25" i="6"/>
  <c r="Y24" i="6"/>
  <c r="S24" i="6"/>
  <c r="O24" i="6"/>
  <c r="N25" i="6"/>
  <c r="S25" i="6"/>
  <c r="T25" i="6"/>
  <c r="O23" i="6"/>
  <c r="R24" i="6"/>
  <c r="AE24" i="6"/>
  <c r="AD24" i="6"/>
  <c r="N23" i="6"/>
  <c r="BW32" i="6" a="1"/>
  <c r="BW32" i="6" s="1"/>
  <c r="BW33" i="6" a="1"/>
  <c r="BW33" i="6" s="1"/>
  <c r="BW36" i="6" a="1"/>
  <c r="BW36" i="6" s="1"/>
  <c r="BW31" i="6" a="1"/>
  <c r="BW31" i="6" s="1"/>
  <c r="BW35" i="6" a="1"/>
  <c r="BW35" i="6" s="1"/>
  <c r="BW34" i="6" a="1"/>
  <c r="BW34" i="6" s="1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K3" i="6"/>
  <c r="J3" i="6"/>
  <c r="G3" i="6"/>
  <c r="H3" i="6"/>
  <c r="I3" i="6"/>
  <c r="F4" i="6"/>
  <c r="F5" i="6"/>
  <c r="F6" i="6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I21" i="6"/>
  <c r="J21" i="6"/>
  <c r="C21" i="6"/>
  <c r="C44" i="6" s="1" a="1"/>
  <c r="C44" i="6" s="1"/>
  <c r="E21" i="6"/>
  <c r="AO22" i="6" l="1"/>
  <c r="B77" i="6"/>
  <c r="B87" i="6"/>
  <c r="AC22" i="6"/>
  <c r="D77" i="6"/>
  <c r="D87" i="6"/>
  <c r="G75" i="6"/>
  <c r="AI79" i="6"/>
  <c r="AJ79" i="6"/>
  <c r="B86" i="6"/>
  <c r="B76" i="6"/>
  <c r="R21" i="6"/>
  <c r="F86" i="6"/>
  <c r="F76" i="6"/>
  <c r="E85" i="6"/>
  <c r="E75" i="6"/>
  <c r="AD132" i="6"/>
  <c r="AE132" i="6"/>
  <c r="AC132" i="6"/>
  <c r="T80" i="6"/>
  <c r="R80" i="6"/>
  <c r="S80" i="6"/>
  <c r="Y133" i="6"/>
  <c r="X133" i="6"/>
  <c r="S79" i="6"/>
  <c r="T79" i="6"/>
  <c r="R79" i="6"/>
  <c r="X79" i="6"/>
  <c r="W79" i="6"/>
  <c r="Y79" i="6"/>
  <c r="C87" i="6"/>
  <c r="C77" i="6"/>
  <c r="R20" i="6"/>
  <c r="F75" i="6"/>
  <c r="R132" i="6"/>
  <c r="S132" i="6"/>
  <c r="T132" i="6"/>
  <c r="AO20" i="6"/>
  <c r="B85" i="6"/>
  <c r="B75" i="6"/>
  <c r="M22" i="6"/>
  <c r="G87" i="6"/>
  <c r="G77" i="6"/>
  <c r="E76" i="6"/>
  <c r="E86" i="6"/>
  <c r="AC20" i="6"/>
  <c r="D85" i="6"/>
  <c r="D75" i="6"/>
  <c r="R133" i="6"/>
  <c r="S133" i="6"/>
  <c r="T133" i="6"/>
  <c r="Y132" i="6"/>
  <c r="W132" i="6"/>
  <c r="X132" i="6"/>
  <c r="Y22" i="6"/>
  <c r="E87" i="6"/>
  <c r="E77" i="6"/>
  <c r="C86" i="6"/>
  <c r="C76" i="6"/>
  <c r="AP132" i="6"/>
  <c r="AO132" i="6"/>
  <c r="G86" i="6"/>
  <c r="G76" i="6"/>
  <c r="AC79" i="6"/>
  <c r="AE79" i="6"/>
  <c r="AD79" i="6"/>
  <c r="AJ132" i="6"/>
  <c r="AI132" i="6"/>
  <c r="Y80" i="6"/>
  <c r="X80" i="6"/>
  <c r="W80" i="6"/>
  <c r="F87" i="6"/>
  <c r="F77" i="6"/>
  <c r="AC21" i="6"/>
  <c r="D76" i="6"/>
  <c r="D86" i="6"/>
  <c r="C75" i="6"/>
  <c r="C85" i="6"/>
  <c r="AJ133" i="6"/>
  <c r="AI133" i="6"/>
  <c r="AD133" i="6"/>
  <c r="AC133" i="6"/>
  <c r="AE133" i="6"/>
  <c r="M80" i="6"/>
  <c r="O80" i="6"/>
  <c r="N80" i="6"/>
  <c r="AJ80" i="6"/>
  <c r="AI80" i="6"/>
  <c r="AO79" i="6"/>
  <c r="AP79" i="6"/>
  <c r="AD80" i="6"/>
  <c r="AE80" i="6"/>
  <c r="AC80" i="6"/>
  <c r="M133" i="6"/>
  <c r="N133" i="6"/>
  <c r="O133" i="6"/>
  <c r="M20" i="6"/>
  <c r="O20" i="6"/>
  <c r="N20" i="6"/>
  <c r="N21" i="6"/>
  <c r="M21" i="6"/>
  <c r="AQ22" i="6"/>
  <c r="AQ21" i="6"/>
  <c r="AO21" i="6"/>
  <c r="AP20" i="6"/>
  <c r="AQ20" i="6"/>
  <c r="I45" i="6" a="1"/>
  <c r="I45" i="6" s="1"/>
  <c r="AR4" i="6" s="1"/>
  <c r="AR7" i="6" s="1"/>
  <c r="AK21" i="6"/>
  <c r="AI21" i="6"/>
  <c r="AI22" i="6"/>
  <c r="AK22" i="6"/>
  <c r="AJ20" i="6"/>
  <c r="AI20" i="6"/>
  <c r="AK20" i="6"/>
  <c r="AQ3" i="6"/>
  <c r="I46" i="6" a="1"/>
  <c r="I46" i="6" s="1"/>
  <c r="AR5" i="6" s="1"/>
  <c r="C46" i="6" a="1"/>
  <c r="C46" i="6" s="1"/>
  <c r="AQ5" i="6" s="1"/>
  <c r="X21" i="6"/>
  <c r="W21" i="6"/>
  <c r="W22" i="6"/>
  <c r="X20" i="6"/>
  <c r="W20" i="6"/>
  <c r="S20" i="6"/>
  <c r="T22" i="6"/>
  <c r="R22" i="6"/>
  <c r="N22" i="6"/>
  <c r="O22" i="6"/>
  <c r="AD22" i="6"/>
  <c r="AE22" i="6"/>
  <c r="AJ22" i="6"/>
  <c r="X22" i="6"/>
  <c r="S22" i="6"/>
  <c r="AP22" i="6"/>
  <c r="AJ21" i="6"/>
  <c r="AP21" i="6"/>
  <c r="AD20" i="6"/>
  <c r="AE20" i="6"/>
  <c r="AE21" i="6"/>
  <c r="AD21" i="6"/>
  <c r="O21" i="6"/>
  <c r="T21" i="6"/>
  <c r="S21" i="6"/>
  <c r="Y21" i="6"/>
  <c r="T20" i="6"/>
  <c r="Y20" i="6"/>
  <c r="D21" i="6"/>
  <c r="X44" i="6" l="1" a="1"/>
  <c r="X44" i="6" s="1"/>
  <c r="AU3" i="6" s="1"/>
  <c r="AJ46" i="6" a="1"/>
  <c r="AJ46" i="6" s="1"/>
  <c r="AW5" i="6" s="1"/>
  <c r="AC44" i="6" a="1"/>
  <c r="AC44" i="6" s="1"/>
  <c r="AV3" i="6" s="1"/>
  <c r="N46" i="6" a="1"/>
  <c r="N46" i="6" s="1"/>
  <c r="AS5" i="6" s="1"/>
  <c r="O128" i="6"/>
  <c r="N128" i="6"/>
  <c r="M128" i="6"/>
  <c r="AJ75" i="6"/>
  <c r="AI75" i="6"/>
  <c r="AP75" i="6"/>
  <c r="AO75" i="6"/>
  <c r="Y128" i="6"/>
  <c r="X128" i="6"/>
  <c r="W128" i="6"/>
  <c r="AP76" i="6"/>
  <c r="AO76" i="6"/>
  <c r="N75" i="6"/>
  <c r="O75" i="6"/>
  <c r="M75" i="6"/>
  <c r="AP130" i="6"/>
  <c r="AO130" i="6"/>
  <c r="AJ129" i="6"/>
  <c r="AI129" i="6"/>
  <c r="AD130" i="6"/>
  <c r="AE130" i="6"/>
  <c r="AC130" i="6"/>
  <c r="Y129" i="6"/>
  <c r="W129" i="6"/>
  <c r="X129" i="6"/>
  <c r="AJ77" i="6"/>
  <c r="AI77" i="6"/>
  <c r="AC77" i="6"/>
  <c r="AD77" i="6"/>
  <c r="AE77" i="6"/>
  <c r="AJ128" i="6"/>
  <c r="AI128" i="6"/>
  <c r="X76" i="6"/>
  <c r="Y76" i="6"/>
  <c r="W76" i="6"/>
  <c r="AJ130" i="6"/>
  <c r="AI130" i="6"/>
  <c r="W75" i="6"/>
  <c r="Y75" i="6"/>
  <c r="X75" i="6"/>
  <c r="AQ4" i="6"/>
  <c r="AQ7" i="6" s="1"/>
  <c r="AE129" i="6"/>
  <c r="AC129" i="6"/>
  <c r="AD129" i="6"/>
  <c r="T77" i="6"/>
  <c r="S77" i="6"/>
  <c r="R77" i="6"/>
  <c r="O76" i="6"/>
  <c r="M76" i="6"/>
  <c r="N76" i="6"/>
  <c r="W77" i="6"/>
  <c r="Y77" i="6"/>
  <c r="X77" i="6"/>
  <c r="AC75" i="6"/>
  <c r="AE75" i="6"/>
  <c r="AD75" i="6"/>
  <c r="AO128" i="6"/>
  <c r="AP128" i="6"/>
  <c r="S75" i="6"/>
  <c r="T75" i="6"/>
  <c r="R75" i="6"/>
  <c r="R76" i="6"/>
  <c r="T76" i="6"/>
  <c r="S76" i="6"/>
  <c r="AO129" i="6"/>
  <c r="AP129" i="6"/>
  <c r="AO77" i="6"/>
  <c r="AP77" i="6"/>
  <c r="O77" i="6"/>
  <c r="N77" i="6"/>
  <c r="M77" i="6"/>
  <c r="M130" i="6"/>
  <c r="O130" i="6"/>
  <c r="N130" i="6"/>
  <c r="AE76" i="6"/>
  <c r="AD76" i="6"/>
  <c r="AC76" i="6"/>
  <c r="R130" i="6"/>
  <c r="T130" i="6"/>
  <c r="S130" i="6"/>
  <c r="O129" i="6"/>
  <c r="N129" i="6"/>
  <c r="M129" i="6"/>
  <c r="AJ76" i="6"/>
  <c r="AI76" i="6"/>
  <c r="Y130" i="6"/>
  <c r="W130" i="6"/>
  <c r="X130" i="6"/>
  <c r="AE128" i="6"/>
  <c r="AC128" i="6"/>
  <c r="AD128" i="6"/>
  <c r="T128" i="6"/>
  <c r="S128" i="6"/>
  <c r="R128" i="6"/>
  <c r="T129" i="6"/>
  <c r="S129" i="6"/>
  <c r="R129" i="6"/>
  <c r="N45" i="6" a="1"/>
  <c r="N45" i="6" s="1"/>
  <c r="AS4" i="6" s="1"/>
  <c r="AC46" i="6" a="1"/>
  <c r="AC46" i="6" s="1"/>
  <c r="AV5" i="6" s="1"/>
  <c r="AX5" i="6"/>
  <c r="AC45" i="6" a="1"/>
  <c r="AC45" i="6" s="1"/>
  <c r="AV4" i="6" s="1"/>
  <c r="R45" i="6" a="1"/>
  <c r="R45" i="6" s="1"/>
  <c r="AT4" i="6" s="1"/>
  <c r="AJ44" i="6" a="1"/>
  <c r="AJ44" i="6" s="1"/>
  <c r="AW3" i="6" s="1"/>
  <c r="AW7" i="6" s="1"/>
  <c r="X45" i="6" a="1"/>
  <c r="X45" i="6" s="1"/>
  <c r="AU4" i="6" s="1"/>
  <c r="AJ45" i="6" a="1"/>
  <c r="AJ45" i="6" s="1"/>
  <c r="AW4" i="6" s="1"/>
  <c r="X46" i="6" a="1"/>
  <c r="X46" i="6" s="1"/>
  <c r="AU5" i="6" s="1"/>
  <c r="R46" i="6" a="1"/>
  <c r="R46" i="6" s="1"/>
  <c r="AT5" i="6" s="1"/>
  <c r="N44" i="6" a="1"/>
  <c r="N44" i="6" s="1"/>
  <c r="AS3" i="6" s="1"/>
  <c r="R44" i="6" a="1"/>
  <c r="R44" i="6" s="1"/>
  <c r="AT3" i="6" s="1"/>
  <c r="AT7" i="6" s="1"/>
  <c r="AX4" i="6"/>
  <c r="AX7" i="6" s="1"/>
  <c r="AP44" i="6" a="1"/>
  <c r="AP44" i="6" s="1"/>
  <c r="AX3" i="6" s="1"/>
  <c r="AS7" i="6" l="1"/>
  <c r="AV7" i="6"/>
  <c r="AU7" i="6"/>
  <c r="N96" i="6" a="1"/>
  <c r="N96" i="6" s="1"/>
  <c r="AD153" i="6" a="1"/>
  <c r="AD153" i="6" s="1"/>
  <c r="BH3" i="6" s="1"/>
  <c r="S98" i="6" a="1"/>
  <c r="S98" i="6" s="1"/>
  <c r="AZ5" i="6" s="1"/>
  <c r="BF5" i="6"/>
  <c r="AJ97" i="6" a="1"/>
  <c r="AJ97" i="6" s="1"/>
  <c r="BC4" i="6" s="1"/>
  <c r="AD155" i="6" a="1"/>
  <c r="AD155" i="6" s="1"/>
  <c r="BH5" i="6" s="1"/>
  <c r="S97" i="6" a="1"/>
  <c r="S97" i="6" s="1"/>
  <c r="AZ4" i="6" s="1"/>
  <c r="S154" i="6" a="1"/>
  <c r="S154" i="6" s="1"/>
  <c r="BF4" i="6" s="1"/>
  <c r="AJ154" i="6" a="1"/>
  <c r="AJ154" i="6" s="1"/>
  <c r="BI4" i="6" s="1"/>
  <c r="AP96" i="6" a="1"/>
  <c r="AP96" i="6" s="1"/>
  <c r="BD3" i="6" s="1"/>
  <c r="AP97" i="6" a="1"/>
  <c r="AP97" i="6" s="1"/>
  <c r="BD4" i="6" s="1"/>
  <c r="X96" i="6" a="1"/>
  <c r="X96" i="6" s="1"/>
  <c r="BA3" i="6" s="1"/>
  <c r="AP154" i="6" a="1"/>
  <c r="AP154" i="6" s="1"/>
  <c r="BJ4" i="6" s="1"/>
  <c r="AD98" i="6" a="1"/>
  <c r="AD98" i="6" s="1"/>
  <c r="BB5" i="6" s="1"/>
  <c r="AJ153" i="6" a="1"/>
  <c r="AJ153" i="6" s="1"/>
  <c r="BI3" i="6" s="1"/>
  <c r="AY3" i="6"/>
  <c r="X154" i="6" a="1"/>
  <c r="X154" i="6" s="1"/>
  <c r="BG4" i="6" s="1"/>
  <c r="N154" i="6" a="1"/>
  <c r="N154" i="6" s="1"/>
  <c r="BE4" i="6" s="1"/>
  <c r="N153" i="6" a="1"/>
  <c r="N153" i="6" s="1"/>
  <c r="BE3" i="6" s="1"/>
  <c r="AD96" i="6" a="1"/>
  <c r="AD96" i="6" s="1"/>
  <c r="BB3" i="6" s="1"/>
  <c r="AY5" i="6"/>
  <c r="X155" i="6" a="1"/>
  <c r="X155" i="6" s="1"/>
  <c r="BG5" i="6" s="1"/>
  <c r="N155" i="6" a="1"/>
  <c r="N155" i="6" s="1"/>
  <c r="BE5" i="6" s="1"/>
  <c r="X153" i="6" a="1"/>
  <c r="X153" i="6" s="1"/>
  <c r="BG3" i="6" s="1"/>
  <c r="AD154" i="6" a="1"/>
  <c r="AD154" i="6" s="1"/>
  <c r="BH4" i="6" s="1"/>
  <c r="N97" i="6" a="1"/>
  <c r="N97" i="6" s="1"/>
  <c r="AY4" i="6" s="1"/>
  <c r="AD97" i="6" a="1"/>
  <c r="AD97" i="6" s="1"/>
  <c r="BB4" i="6" s="1"/>
  <c r="S153" i="6" a="1"/>
  <c r="S153" i="6" s="1"/>
  <c r="BF3" i="6" s="1"/>
  <c r="AP153" i="6" a="1"/>
  <c r="AP153" i="6" s="1"/>
  <c r="BJ3" i="6" s="1"/>
  <c r="S96" i="6" a="1"/>
  <c r="S96" i="6" s="1"/>
  <c r="AZ3" i="6" s="1"/>
  <c r="X97" i="6" a="1"/>
  <c r="X97" i="6" s="1"/>
  <c r="BA4" i="6" s="1"/>
  <c r="X98" i="6" a="1"/>
  <c r="X98" i="6" s="1"/>
  <c r="BA5" i="6" s="1"/>
  <c r="AJ96" i="6" a="1"/>
  <c r="AJ96" i="6" s="1"/>
  <c r="BC3" i="6" s="1"/>
  <c r="BB7" i="6" l="1"/>
  <c r="AZ7" i="6"/>
  <c r="BG7" i="6"/>
  <c r="BA7" i="6"/>
  <c r="BF7" i="6"/>
  <c r="BD7" i="6"/>
  <c r="BC7" i="6"/>
  <c r="AY7" i="6"/>
  <c r="BH7" i="6"/>
  <c r="BE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<sst xmlns="http://schemas.openxmlformats.org/spreadsheetml/2006/main" count="667" uniqueCount="163">
  <si>
    <t>Particle #</t>
  </si>
  <si>
    <t>Size (mm)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</si>
  <si>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</si>
  <si>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</si>
  <si>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</si>
  <si>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</si>
  <si>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</si>
  <si>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</si>
  <si>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</si>
  <si>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</si>
  <si>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</si>
  <si>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</si>
  <si>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</si>
  <si>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</si>
  <si>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</si>
  <si>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</si>
  <si>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</si>
  <si>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</si>
  <si>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</si>
  <si>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</si>
  <si>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</si>
  <si>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</si>
  <si>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</si>
  <si>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</si>
  <si>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</si>
  <si>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</si>
  <si>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</si>
  <si>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</si>
  <si>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</si>
  <si>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</si>
  <si>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</si>
  <si>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</si>
  <si>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</si>
  <si>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</si>
  <si>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</si>
  <si>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</si>
  <si>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</si>
  <si>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</si>
  <si>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</si>
  <si>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</si>
  <si>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</si>
  <si>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</si>
  <si>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</si>
  <si>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</si>
  <si>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</si>
  <si>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</si>
  <si>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</si>
  <si>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</si>
  <si>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</si>
  <si>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</si>
  <si>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</si>
  <si>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</si>
  <si>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</si>
  <si>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</si>
  <si>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</si>
  <si>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</si>
  <si>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</si>
  <si>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</si>
  <si>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</si>
  <si>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</si>
  <si>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</si>
  <si>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</si>
  <si>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</si>
  <si>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</si>
  <si>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</si>
  <si>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</si>
  <si>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</si>
  <si>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</si>
  <si>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</si>
  <si>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</si>
  <si>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</si>
  <si>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</si>
  <si>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</si>
  <si>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</si>
  <si>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</si>
  <si>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</si>
  <si>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</si>
  <si>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</si>
  <si>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</si>
  <si>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</si>
  <si>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</si>
  <si>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</si>
  <si>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</si>
  <si>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</si>
  <si>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</si>
  <si>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</si>
  <si>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</si>
  <si>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</si>
  <si>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</si>
  <si>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</si>
  <si>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</si>
  <si>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</si>
  <si>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</si>
  <si>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</si>
  <si>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</si>
  <si>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</si>
  <si>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</si>
  <si>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</si>
  <si>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</si>
  <si>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</si>
  <si>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</si>
  <si>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</si>
  <si>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</si>
  <si>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</si>
  <si>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</si>
  <si>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</si>
  <si>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</si>
  <si>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</si>
  <si>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</si>
  <si>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</si>
  <si>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</si>
  <si>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</si>
  <si>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</si>
  <si>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</si>
  <si>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</si>
  <si>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</si>
  <si>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</si>
  <si>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</si>
  <si>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</si>
  <si>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</si>
  <si>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</si>
  <si>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</si>
  <si>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</si>
  <si>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</si>
  <si>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</si>
  <si>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</si>
  <si>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</si>
  <si>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</si>
  <si>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</si>
  <si>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Max Amp by Channel</t>
  </si>
  <si>
    <t>Events</t>
  </si>
  <si>
    <t>ST1</t>
  </si>
  <si>
    <t>ST2</t>
  </si>
  <si>
    <t>ST4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</si>
  <si>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</si>
  <si>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</si>
  <si>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</si>
  <si>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</si>
  <si>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</si>
  <si>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</si>
  <si>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</si>
  <si>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</si>
  <si>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</si>
  <si>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</si>
  <si>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(Imp/s)/MaxAmp</t>
  </si>
  <si>
    <t>Imps/Amax - Dmax (1)</t>
  </si>
  <si>
    <t>Dmax - Imps/Amax (2)</t>
  </si>
  <si>
    <t>Dmax - Imps/Amax (3)</t>
  </si>
  <si>
    <t>Calibration</t>
  </si>
  <si>
    <t>Number of Impulses per second</t>
  </si>
  <si>
    <t>Number of Impulses per second / Max Amp</t>
  </si>
  <si>
    <t>(Imp/s) * MaxAmp</t>
  </si>
  <si>
    <t>(Imp/s)*MaxAmp</t>
  </si>
  <si>
    <t>Imp/s/MaxAmp</t>
  </si>
  <si>
    <t>Imp/s*MaxAmp</t>
  </si>
  <si>
    <t>Number of Impulses per second * Max Amp</t>
  </si>
  <si>
    <t>(Imp/s) * MaxAmp (individual time stamps instead of total)</t>
  </si>
  <si>
    <t>(Imp/s)*MaxAmp (total)</t>
  </si>
  <si>
    <t>Time Stamps (3)</t>
  </si>
  <si>
    <t>Imps*Amax - Dmax (1)</t>
  </si>
  <si>
    <t>Dmax - Imps*Amax (2)</t>
  </si>
  <si>
    <t>Dmax - Imps*Amax (3)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</si>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</sst>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3" fillId="7" borderId="0" xfId="0" applyNumberFormat="1" applyFont="1" applyFill="1" applyAlignment="1">
      <alignment horizontal="center"/>
    </xf>
    <xf numFmtId="11" fontId="6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3" fillId="1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envelope'!$E$3:$E$26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envelope'!$F$3:$F$26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envelope'!$F$27:$F$38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envelope'!$F$3:$F$41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envelope'!$G$3:$G$26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envelope'!$G$27:$G$38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envelope'!$G$3:$G$38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9751095714162165"/>
                  <c:y val="-0.3484562599334605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153236503025743"/>
                  <c:y val="-0.311255917819161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7507209239921237"/>
          <c:y val="5.0547058920484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validation!$C$19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validation!$C$20:$C$25</c:f>
              <c:numCache>
                <c:formatCode>0.00</c:formatCode>
                <c:ptCount val="6"/>
                <c:pt idx="0">
                  <c:v>124.98377815678667</c:v>
                </c:pt>
                <c:pt idx="1">
                  <c:v>28.937326206160222</c:v>
                </c:pt>
                <c:pt idx="2">
                  <c:v>115.87861276600501</c:v>
                </c:pt>
                <c:pt idx="3">
                  <c:v>39.77851092597556</c:v>
                </c:pt>
                <c:pt idx="4">
                  <c:v>47.327378278646002</c:v>
                </c:pt>
                <c:pt idx="5">
                  <c:v>144.65324145357667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validation!$D$19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985548045311981"/>
                  <c:y val="1.2726541379144673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validation!$D$20:$D$25</c:f>
              <c:numCache>
                <c:formatCode>0.00</c:formatCode>
                <c:ptCount val="6"/>
                <c:pt idx="0">
                  <c:v>97.695517607575738</c:v>
                </c:pt>
                <c:pt idx="1">
                  <c:v>42.558611168539372</c:v>
                </c:pt>
                <c:pt idx="2">
                  <c:v>92.468560837516662</c:v>
                </c:pt>
                <c:pt idx="3">
                  <c:v>48.782155874720161</c:v>
                </c:pt>
                <c:pt idx="4">
                  <c:v>53.115696411530919</c:v>
                </c:pt>
                <c:pt idx="5">
                  <c:v>108.98706805504749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validation!$E$19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17570298525435"/>
                  <c:y val="8.884942457025561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validation!$E$20:$E$25</c:f>
              <c:numCache>
                <c:formatCode>0.00</c:formatCode>
                <c:ptCount val="6"/>
                <c:pt idx="0">
                  <c:v>99.727167764153535</c:v>
                </c:pt>
                <c:pt idx="1">
                  <c:v>37.904529640463622</c:v>
                </c:pt>
                <c:pt idx="2">
                  <c:v>95.389258082839561</c:v>
                </c:pt>
                <c:pt idx="3">
                  <c:v>48.250389095614111</c:v>
                </c:pt>
                <c:pt idx="4">
                  <c:v>54.454083821996328</c:v>
                </c:pt>
                <c:pt idx="5">
                  <c:v>108.59145369385539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5007563972066935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6164697254213425"/>
          <c:y val="7.116117911305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validation!$H$19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validation!$H$20:$H$25</c:f>
              <c:numCache>
                <c:formatCode>0.00</c:formatCode>
                <c:ptCount val="6"/>
                <c:pt idx="0">
                  <c:v>42.048842752516052</c:v>
                </c:pt>
                <c:pt idx="1">
                  <c:v>14.270611763493299</c:v>
                </c:pt>
                <c:pt idx="2">
                  <c:v>16.375086362494351</c:v>
                </c:pt>
                <c:pt idx="3">
                  <c:v>82.207795538651993</c:v>
                </c:pt>
                <c:pt idx="4">
                  <c:v>118.23583380553599</c:v>
                </c:pt>
                <c:pt idx="5">
                  <c:v>312.02028594886252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validation!$I$19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44074885133918"/>
                  <c:y val="-0.23043210335076003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validation!$I$20:$I$25</c:f>
              <c:numCache>
                <c:formatCode>0.000</c:formatCode>
                <c:ptCount val="6"/>
                <c:pt idx="0">
                  <c:v>47.470032741532719</c:v>
                </c:pt>
                <c:pt idx="1">
                  <c:v>28.836950958716034</c:v>
                </c:pt>
                <c:pt idx="2">
                  <c:v>30.248590430233961</c:v>
                </c:pt>
                <c:pt idx="3">
                  <c:v>74.407855091416991</c:v>
                </c:pt>
                <c:pt idx="4">
                  <c:v>98.574742600077442</c:v>
                </c:pt>
                <c:pt idx="5">
                  <c:v>228.56147740877799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validation!$J$19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96459626968406"/>
                  <c:y val="-0.1393972112397159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validation!$J$20:$J$25</c:f>
              <c:numCache>
                <c:formatCode>0.000</c:formatCode>
                <c:ptCount val="6"/>
                <c:pt idx="0">
                  <c:v>45.304341949768059</c:v>
                </c:pt>
                <c:pt idx="1">
                  <c:v>21.723372749373084</c:v>
                </c:pt>
                <c:pt idx="2">
                  <c:v>23.674255529249351</c:v>
                </c:pt>
                <c:pt idx="3">
                  <c:v>74.9499969978107</c:v>
                </c:pt>
                <c:pt idx="4">
                  <c:v>99.290043013447303</c:v>
                </c:pt>
                <c:pt idx="5">
                  <c:v>213.73524192239634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validation!$M$20:$M$25</c:f>
              <c:numCache>
                <c:formatCode>0.00</c:formatCode>
                <c:ptCount val="6"/>
                <c:pt idx="0">
                  <c:v>192.24182948416956</c:v>
                </c:pt>
                <c:pt idx="1">
                  <c:v>122.8796103877864</c:v>
                </c:pt>
                <c:pt idx="2">
                  <c:v>140.49231944235979</c:v>
                </c:pt>
                <c:pt idx="3">
                  <c:v>-102.87822339104389</c:v>
                </c:pt>
                <c:pt idx="4">
                  <c:v>62.619621593980547</c:v>
                </c:pt>
                <c:pt idx="5">
                  <c:v>110.76046460661844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validation!$P$20:$P$22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9.6408850792385134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validation!$S$20:$S$25</c:f>
              <c:numCache>
                <c:formatCode>0.00</c:formatCode>
                <c:ptCount val="6"/>
                <c:pt idx="0">
                  <c:v>47.011462828327836</c:v>
                </c:pt>
                <c:pt idx="1">
                  <c:v>42.871088475303516</c:v>
                </c:pt>
                <c:pt idx="2">
                  <c:v>43.868704467680203</c:v>
                </c:pt>
                <c:pt idx="3">
                  <c:v>129.64998</c:v>
                </c:pt>
                <c:pt idx="4">
                  <c:v>116.184735</c:v>
                </c:pt>
                <c:pt idx="5">
                  <c:v>106.346405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4.063590152496764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validation!$T$20:$T$25</c:f>
              <c:numCache>
                <c:formatCode>0.00</c:formatCode>
                <c:ptCount val="6"/>
                <c:pt idx="0">
                  <c:v>32.342147494732167</c:v>
                </c:pt>
                <c:pt idx="1">
                  <c:v>25.960620247950711</c:v>
                </c:pt>
                <c:pt idx="2">
                  <c:v>27.509761120953833</c:v>
                </c:pt>
                <c:pt idx="3">
                  <c:v>148.35430688486392</c:v>
                </c:pt>
                <c:pt idx="4">
                  <c:v>130.27180720268166</c:v>
                </c:pt>
                <c:pt idx="5">
                  <c:v>116.92018501445042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validation!$X$20:$X$25</c:f>
              <c:numCache>
                <c:formatCode>0.000</c:formatCode>
                <c:ptCount val="6"/>
                <c:pt idx="0">
                  <c:v>41.207262199211904</c:v>
                </c:pt>
                <c:pt idx="1">
                  <c:v>20.565616418960641</c:v>
                </c:pt>
                <c:pt idx="2">
                  <c:v>20.442917594091853</c:v>
                </c:pt>
                <c:pt idx="3">
                  <c:v>138.28050833333333</c:v>
                </c:pt>
                <c:pt idx="4">
                  <c:v>247.19887500000002</c:v>
                </c:pt>
                <c:pt idx="5">
                  <c:v>471.12333333333339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validation!$Y$20:$Y$25</c:f>
              <c:numCache>
                <c:formatCode>0.00</c:formatCode>
                <c:ptCount val="6"/>
                <c:pt idx="0">
                  <c:v>40.923634346381888</c:v>
                </c:pt>
                <c:pt idx="1">
                  <c:v>15.263430355503798</c:v>
                </c:pt>
                <c:pt idx="2">
                  <c:v>15.060376567986314</c:v>
                </c:pt>
                <c:pt idx="3">
                  <c:v>115.01559877164919</c:v>
                </c:pt>
                <c:pt idx="4">
                  <c:v>176.17569838163556</c:v>
                </c:pt>
                <c:pt idx="5">
                  <c:v>277.85831750426343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validation!$AC$20:$AC$25</c:f>
              <c:numCache>
                <c:formatCode>0.00</c:formatCode>
                <c:ptCount val="6"/>
                <c:pt idx="0">
                  <c:v>34.055752376002616</c:v>
                </c:pt>
                <c:pt idx="1">
                  <c:v>3.5639348475274497</c:v>
                </c:pt>
                <c:pt idx="2">
                  <c:v>4.8389804371860778</c:v>
                </c:pt>
                <c:pt idx="3">
                  <c:v>37.953734061930788</c:v>
                </c:pt>
                <c:pt idx="4">
                  <c:v>23.017486338797816</c:v>
                </c:pt>
                <c:pt idx="5">
                  <c:v>376.02295081967219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validation!$AD$20:$AD$25</c:f>
              <c:numCache>
                <c:formatCode>0.00</c:formatCode>
                <c:ptCount val="6"/>
                <c:pt idx="0">
                  <c:v>45.44043253352951</c:v>
                </c:pt>
                <c:pt idx="1">
                  <c:v>27.704673245050621</c:v>
                </c:pt>
                <c:pt idx="2">
                  <c:v>28.446311608815058</c:v>
                </c:pt>
                <c:pt idx="3">
                  <c:v>47.707718333333332</c:v>
                </c:pt>
                <c:pt idx="4">
                  <c:v>39.019954999999996</c:v>
                </c:pt>
                <c:pt idx="5">
                  <c:v>244.347825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26990537771267"/>
                  <c:y val="-0.166833673450870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validation!$AE$20:$AE$25</c:f>
              <c:numCache>
                <c:formatCode>0.00</c:formatCode>
                <c:ptCount val="6"/>
                <c:pt idx="0">
                  <c:v>49.260837883196288</c:v>
                </c:pt>
                <c:pt idx="1">
                  <c:v>16.178763293074105</c:v>
                </c:pt>
                <c:pt idx="2">
                  <c:v>19.832581929011742</c:v>
                </c:pt>
                <c:pt idx="3">
                  <c:v>51.494025006246446</c:v>
                </c:pt>
                <c:pt idx="4">
                  <c:v>41.866420008767221</c:v>
                </c:pt>
                <c:pt idx="5">
                  <c:v>127.90766310578329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validation!$AF$20:$AF$22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validation!$AI$19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validation!$AI$20:$AI$25</c:f>
              <c:numCache>
                <c:formatCode>0.00</c:formatCode>
                <c:ptCount val="6"/>
                <c:pt idx="0">
                  <c:v>29.615074905839549</c:v>
                </c:pt>
                <c:pt idx="1">
                  <c:v>4.0920504938377666</c:v>
                </c:pt>
                <c:pt idx="2">
                  <c:v>4.7894005741147057</c:v>
                </c:pt>
                <c:pt idx="3">
                  <c:v>10.507670850767084</c:v>
                </c:pt>
                <c:pt idx="4">
                  <c:v>4.2315202231520219</c:v>
                </c:pt>
                <c:pt idx="5">
                  <c:v>90.702928870292894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215695827785504"/>
                  <c:y val="-0.2329257971865653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validation!$AJ$20:$AJ$25</c:f>
              <c:numCache>
                <c:formatCode>0.00</c:formatCode>
                <c:ptCount val="6"/>
                <c:pt idx="0">
                  <c:v>49.598324488129023</c:v>
                </c:pt>
                <c:pt idx="1">
                  <c:v>40.165890105190499</c:v>
                </c:pt>
                <c:pt idx="2">
                  <c:v>40.4236067757531</c:v>
                </c:pt>
                <c:pt idx="3">
                  <c:v>42.536883333333328</c:v>
                </c:pt>
                <c:pt idx="4">
                  <c:v>40.217433333333332</c:v>
                </c:pt>
                <c:pt idx="5">
                  <c:v>72.174299999999988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ser>
          <c:idx val="2"/>
          <c:order val="2"/>
          <c:tx>
            <c:strRef>
              <c:f>validation!$AK$19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805558241654704"/>
                  <c:y val="-0.2011498557318741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validation!$AK$20:$AK$25</c:f>
              <c:numCache>
                <c:formatCode>0.00</c:formatCode>
                <c:ptCount val="6"/>
                <c:pt idx="0">
                  <c:v>42.159524335536283</c:v>
                </c:pt>
                <c:pt idx="1">
                  <c:v>35.224946476263852</c:v>
                </c:pt>
                <c:pt idx="2">
                  <c:v>35.398326265143709</c:v>
                </c:pt>
                <c:pt idx="3">
                  <c:v>36.852613408536079</c:v>
                </c:pt>
                <c:pt idx="4">
                  <c:v>35.259554292731977</c:v>
                </c:pt>
                <c:pt idx="5">
                  <c:v>64.817558833022787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EF-4B00-AAF4-A7F30E8F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8999999294288179"/>
          <c:h val="6.5650658321276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validation!$AO$19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validation!$AO$20:$AO$25</c:f>
              <c:numCache>
                <c:formatCode>0.00</c:formatCode>
                <c:ptCount val="6"/>
                <c:pt idx="0">
                  <c:v>44.637690361172815</c:v>
                </c:pt>
                <c:pt idx="1">
                  <c:v>24.347826086956523</c:v>
                </c:pt>
                <c:pt idx="2">
                  <c:v>28.212560970711511</c:v>
                </c:pt>
                <c:pt idx="3">
                  <c:v>24.347826086956523</c:v>
                </c:pt>
                <c:pt idx="4">
                  <c:v>24.347826086956523</c:v>
                </c:pt>
                <c:pt idx="5">
                  <c:v>29.178743961352659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validation!$AP$20:$AP$25</c:f>
              <c:numCache>
                <c:formatCode>0.00</c:formatCode>
                <c:ptCount val="6"/>
                <c:pt idx="0">
                  <c:v>53.097644481017909</c:v>
                </c:pt>
                <c:pt idx="1">
                  <c:v>43.216999999999999</c:v>
                </c:pt>
                <c:pt idx="2">
                  <c:v>45.099026951175652</c:v>
                </c:pt>
                <c:pt idx="3">
                  <c:v>43.216999999999999</c:v>
                </c:pt>
                <c:pt idx="4">
                  <c:v>43.216999999999999</c:v>
                </c:pt>
                <c:pt idx="5">
                  <c:v>45.569533333333332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ser>
          <c:idx val="2"/>
          <c:order val="2"/>
          <c:tx>
            <c:strRef>
              <c:f>validation!$AQ$19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076771494949153"/>
                  <c:y val="-0.1253652895343331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validation!$AQ$20:$AQ$25</c:f>
              <c:numCache>
                <c:formatCode>0.00</c:formatCode>
                <c:ptCount val="6"/>
                <c:pt idx="0">
                  <c:v>45.769097662017188</c:v>
                </c:pt>
                <c:pt idx="1">
                  <c:v>38.631</c:v>
                </c:pt>
                <c:pt idx="2">
                  <c:v>39.898992296177823</c:v>
                </c:pt>
                <c:pt idx="3">
                  <c:v>38.631</c:v>
                </c:pt>
                <c:pt idx="4">
                  <c:v>38.631</c:v>
                </c:pt>
                <c:pt idx="5">
                  <c:v>40.222440567949768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E-4E55-BD16-159A5CB0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616613231237254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0.26383233552691271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validation!$AW$20:$AW$25</c:f>
              <c:numCache>
                <c:formatCode>0.00</c:formatCode>
                <c:ptCount val="6"/>
                <c:pt idx="0">
                  <c:v>97.695476093415863</c:v>
                </c:pt>
                <c:pt idx="1">
                  <c:v>42.55860423110196</c:v>
                </c:pt>
                <c:pt idx="2">
                  <c:v>92.468522601216051</c:v>
                </c:pt>
                <c:pt idx="3">
                  <c:v>54.677139393466177</c:v>
                </c:pt>
                <c:pt idx="4">
                  <c:v>53.115682853674762</c:v>
                </c:pt>
                <c:pt idx="5">
                  <c:v>108.98701945988103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65136985213077"/>
                  <c:y val="-0.1716459104234339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validation!$AX$20:$AX$25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42.558604231101967</c:v>
                </c:pt>
                <c:pt idx="2">
                  <c:v>92.468522601215938</c:v>
                </c:pt>
                <c:pt idx="3">
                  <c:v>54.677139393466206</c:v>
                </c:pt>
                <c:pt idx="4">
                  <c:v>53.115682853674762</c:v>
                </c:pt>
                <c:pt idx="5">
                  <c:v>108.9870194598809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8.7840069420271449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validation!$AY$20:$AY$25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42.558604231101945</c:v>
                </c:pt>
                <c:pt idx="2">
                  <c:v>92.468522601215994</c:v>
                </c:pt>
                <c:pt idx="3">
                  <c:v>54.677139393466177</c:v>
                </c:pt>
                <c:pt idx="4">
                  <c:v>53.115682853674741</c:v>
                </c:pt>
                <c:pt idx="5">
                  <c:v>108.9870194598811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901158600088688"/>
                  <c:y val="-0.1207477196727612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validation!$AZ$20:$AZ$25</c:f>
              <c:numCache>
                <c:formatCode>0.00</c:formatCode>
                <c:ptCount val="6"/>
                <c:pt idx="0">
                  <c:v>97.695819187166947</c:v>
                </c:pt>
                <c:pt idx="1">
                  <c:v>42.561160235106172</c:v>
                </c:pt>
                <c:pt idx="2">
                  <c:v>92.469075477977853</c:v>
                </c:pt>
                <c:pt idx="3">
                  <c:v>48.784451257564484</c:v>
                </c:pt>
                <c:pt idx="4">
                  <c:v>53.117815150879217</c:v>
                </c:pt>
                <c:pt idx="5">
                  <c:v>108.9869093691977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3588858025625"/>
                  <c:y val="-0.2070485991391754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validation!$BA$20:$BA$25</c:f>
              <c:numCache>
                <c:formatCode>0.00</c:formatCode>
                <c:ptCount val="6"/>
                <c:pt idx="0">
                  <c:v>97.20996129768622</c:v>
                </c:pt>
                <c:pt idx="1">
                  <c:v>44.072453848905766</c:v>
                </c:pt>
                <c:pt idx="2">
                  <c:v>92.172546755566742</c:v>
                </c:pt>
                <c:pt idx="3">
                  <c:v>50.070317612774126</c:v>
                </c:pt>
                <c:pt idx="4">
                  <c:v>50.95799155206047</c:v>
                </c:pt>
                <c:pt idx="5">
                  <c:v>108.09205252770886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836298084214814"/>
                  <c:y val="7.838485687843038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validation!$BB$20:$BB$25</c:f>
              <c:numCache>
                <c:formatCode>0.000</c:formatCode>
                <c:ptCount val="6"/>
                <c:pt idx="0">
                  <c:v>94.751502888379235</c:v>
                </c:pt>
                <c:pt idx="1">
                  <c:v>59.341999999999999</c:v>
                </c:pt>
                <c:pt idx="2">
                  <c:v>91.955652593155037</c:v>
                </c:pt>
                <c:pt idx="3">
                  <c:v>59.341999999999999</c:v>
                </c:pt>
                <c:pt idx="4">
                  <c:v>59.341999999999999</c:v>
                </c:pt>
                <c:pt idx="5">
                  <c:v>86.294423220422289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validation!$BF$20:$BF$25</c:f>
              <c:numCache>
                <c:formatCode>0.00</c:formatCode>
                <c:ptCount val="6"/>
                <c:pt idx="0">
                  <c:v>99.694232599765229</c:v>
                </c:pt>
                <c:pt idx="1">
                  <c:v>37.892011567978848</c:v>
                </c:pt>
                <c:pt idx="2">
                  <c:v>95.357755524747361</c:v>
                </c:pt>
                <c:pt idx="3">
                  <c:v>56.527835068229642</c:v>
                </c:pt>
                <c:pt idx="4">
                  <c:v>54.43610021489598</c:v>
                </c:pt>
                <c:pt idx="5">
                  <c:v>108.55559107528565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validation!$BG$20:$BG$25</c:f>
              <c:numCache>
                <c:formatCode>0.00</c:formatCode>
                <c:ptCount val="6"/>
                <c:pt idx="0">
                  <c:v>99.698564460136211</c:v>
                </c:pt>
                <c:pt idx="1">
                  <c:v>37.89365803135999</c:v>
                </c:pt>
                <c:pt idx="2">
                  <c:v>95.361898958840129</c:v>
                </c:pt>
                <c:pt idx="3">
                  <c:v>56.530291285426998</c:v>
                </c:pt>
                <c:pt idx="4">
                  <c:v>54.438465543151352</c:v>
                </c:pt>
                <c:pt idx="5">
                  <c:v>108.56030797465634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validation!$BH$20:$BH$25</c:f>
              <c:numCache>
                <c:formatCode>0.00</c:formatCode>
                <c:ptCount val="6"/>
                <c:pt idx="0">
                  <c:v>99.707475964800153</c:v>
                </c:pt>
                <c:pt idx="1">
                  <c:v>37.897045136401111</c:v>
                </c:pt>
                <c:pt idx="2">
                  <c:v>95.37042283289928</c:v>
                </c:pt>
                <c:pt idx="3">
                  <c:v>56.535344216300857</c:v>
                </c:pt>
                <c:pt idx="4">
                  <c:v>54.443331497262228</c:v>
                </c:pt>
                <c:pt idx="5">
                  <c:v>108.57001158168504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validation!$BI$20:$BI$25</c:f>
              <c:numCache>
                <c:formatCode>0.00</c:formatCode>
                <c:ptCount val="6"/>
                <c:pt idx="0">
                  <c:v>99.679486561846588</c:v>
                </c:pt>
                <c:pt idx="1">
                  <c:v>37.920313348849398</c:v>
                </c:pt>
                <c:pt idx="2">
                  <c:v>95.347571958453543</c:v>
                </c:pt>
                <c:pt idx="3">
                  <c:v>48.259709693663041</c:v>
                </c:pt>
                <c:pt idx="4">
                  <c:v>54.458511303586427</c:v>
                </c:pt>
                <c:pt idx="5">
                  <c:v>108.53098774822755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validation!$BP$20:$BP$25</c:f>
              <c:numCache>
                <c:formatCode>0.00</c:formatCode>
                <c:ptCount val="6"/>
                <c:pt idx="0">
                  <c:v>364.33260145892592</c:v>
                </c:pt>
                <c:pt idx="1">
                  <c:v>74.414803400430642</c:v>
                </c:pt>
                <c:pt idx="2">
                  <c:v>336.84850967372444</c:v>
                </c:pt>
                <c:pt idx="3">
                  <c:v>138.13584725544999</c:v>
                </c:pt>
                <c:pt idx="4">
                  <c:v>129.92547864928713</c:v>
                </c:pt>
                <c:pt idx="5">
                  <c:v>423.70520057304276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validation!$BQ$20:$BQ$25</c:f>
              <c:numCache>
                <c:formatCode>0.00</c:formatCode>
                <c:ptCount val="6"/>
                <c:pt idx="0">
                  <c:v>364.32728764642911</c:v>
                </c:pt>
                <c:pt idx="1">
                  <c:v>74.413915408439124</c:v>
                </c:pt>
                <c:pt idx="2">
                  <c:v>336.84361542724753</c:v>
                </c:pt>
                <c:pt idx="3">
                  <c:v>138.13398651220135</c:v>
                </c:pt>
                <c:pt idx="4">
                  <c:v>129.92374324369607</c:v>
                </c:pt>
                <c:pt idx="5">
                  <c:v>423.69898039167595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validation!$BR$20:$BR$25</c:f>
              <c:numCache>
                <c:formatCode>0.00</c:formatCode>
                <c:ptCount val="6"/>
                <c:pt idx="0">
                  <c:v>319.96390759037655</c:v>
                </c:pt>
                <c:pt idx="1">
                  <c:v>68.582835131746805</c:v>
                </c:pt>
                <c:pt idx="2">
                  <c:v>296.13308204333094</c:v>
                </c:pt>
                <c:pt idx="3">
                  <c:v>123.83389060239504</c:v>
                </c:pt>
                <c:pt idx="4">
                  <c:v>116.71486831635562</c:v>
                </c:pt>
                <c:pt idx="5">
                  <c:v>371.44452637236492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validation!$BS$20:$BS$25</c:f>
              <c:numCache>
                <c:formatCode>0.00</c:formatCode>
                <c:ptCount val="6"/>
                <c:pt idx="0">
                  <c:v>234.71949110814046</c:v>
                </c:pt>
                <c:pt idx="1">
                  <c:v>55.266300283589857</c:v>
                </c:pt>
                <c:pt idx="2">
                  <c:v>217.7074000920035</c:v>
                </c:pt>
                <c:pt idx="3">
                  <c:v>75.521969814092728</c:v>
                </c:pt>
                <c:pt idx="4">
                  <c:v>89.626273575822253</c:v>
                </c:pt>
                <c:pt idx="5">
                  <c:v>271.46991633186343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validation!$BY$20:$BY$25</c:f>
              <c:numCache>
                <c:formatCode>0.00</c:formatCode>
                <c:ptCount val="6"/>
                <c:pt idx="0">
                  <c:v>318.9670548214167</c:v>
                </c:pt>
                <c:pt idx="1">
                  <c:v>74.975956194233888</c:v>
                </c:pt>
                <c:pt idx="2">
                  <c:v>298.42645328901642</c:v>
                </c:pt>
                <c:pt idx="3">
                  <c:v>136.43689124312615</c:v>
                </c:pt>
                <c:pt idx="4">
                  <c:v>128.95013253278273</c:v>
                </c:pt>
                <c:pt idx="5">
                  <c:v>362.32589731034267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validation!$BZ$20:$BZ$25</c:f>
              <c:numCache>
                <c:formatCode>0.00</c:formatCode>
                <c:ptCount val="6"/>
                <c:pt idx="0">
                  <c:v>318.95677155946009</c:v>
                </c:pt>
                <c:pt idx="1">
                  <c:v>74.973539024854261</c:v>
                </c:pt>
                <c:pt idx="2">
                  <c:v>298.41683224086142</c:v>
                </c:pt>
                <c:pt idx="3">
                  <c:v>136.43249261865367</c:v>
                </c:pt>
                <c:pt idx="4">
                  <c:v>128.94597527587422</c:v>
                </c:pt>
                <c:pt idx="5">
                  <c:v>362.31421619136893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validation!$CA$21:$CA$26</c:f>
              <c:numCache>
                <c:formatCode>0.00</c:formatCode>
                <c:ptCount val="6"/>
                <c:pt idx="0">
                  <c:v>69.413766763516179</c:v>
                </c:pt>
                <c:pt idx="1">
                  <c:v>267.19719303270881</c:v>
                </c:pt>
                <c:pt idx="2">
                  <c:v>124.49685404636813</c:v>
                </c:pt>
                <c:pt idx="3">
                  <c:v>117.82622122727562</c:v>
                </c:pt>
                <c:pt idx="4">
                  <c:v>322.88900229882751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validation!$CB$20:$CB$25</c:f>
              <c:numCache>
                <c:formatCode>0.00</c:formatCode>
                <c:ptCount val="6"/>
                <c:pt idx="0">
                  <c:v>213.30081318545697</c:v>
                </c:pt>
                <c:pt idx="1">
                  <c:v>53.94458799502717</c:v>
                </c:pt>
                <c:pt idx="2">
                  <c:v>200.23729242898125</c:v>
                </c:pt>
                <c:pt idx="3">
                  <c:v>76.014270757012255</c:v>
                </c:pt>
                <c:pt idx="4">
                  <c:v>90.270550237634694</c:v>
                </c:pt>
                <c:pt idx="5">
                  <c:v>240.74020676375775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C-447C-86B2-766B04681BB4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DC-447C-86B2-766B04681BB4}"/>
            </c:ext>
          </c:extLst>
        </c:ser>
        <c:ser>
          <c:idx val="2"/>
          <c:order val="2"/>
          <c:tx>
            <c:strRef>
              <c:f>validation!$O$74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validation!$O$75:$O$80</c:f>
              <c:numCache>
                <c:formatCode>0.000</c:formatCode>
                <c:ptCount val="6"/>
                <c:pt idx="0">
                  <c:v>116.90913542084283</c:v>
                </c:pt>
                <c:pt idx="1">
                  <c:v>42.325861261741807</c:v>
                </c:pt>
                <c:pt idx="2">
                  <c:v>102.3415813265044</c:v>
                </c:pt>
                <c:pt idx="3">
                  <c:v>40.677598947644611</c:v>
                </c:pt>
                <c:pt idx="4">
                  <c:v>54.392287140951076</c:v>
                </c:pt>
                <c:pt idx="5">
                  <c:v>110.20913256007236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3-9568-269A7A08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0-4E2C-B39A-5A87E5F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B-4D56-A5AB-DC758007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validation!$R$75:$R$80</c:f>
              <c:numCache>
                <c:formatCode>0.00</c:formatCode>
                <c:ptCount val="6"/>
                <c:pt idx="0">
                  <c:v>108.03160497575749</c:v>
                </c:pt>
                <c:pt idx="1">
                  <c:v>82.631736044839428</c:v>
                </c:pt>
                <c:pt idx="2">
                  <c:v>108.64453530319376</c:v>
                </c:pt>
                <c:pt idx="3">
                  <c:v>-22.598555644979001</c:v>
                </c:pt>
                <c:pt idx="4">
                  <c:v>19.45293703996408</c:v>
                </c:pt>
                <c:pt idx="5">
                  <c:v>91.207897003848942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B-4B0B-989E-E5E5DA0A33AE}"/>
            </c:ext>
          </c:extLst>
        </c:ser>
        <c:ser>
          <c:idx val="1"/>
          <c:order val="1"/>
          <c:tx>
            <c:strRef>
              <c:f>validation!$S$74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validation!$S$75:$S$80</c:f>
              <c:numCache>
                <c:formatCode>0.00</c:formatCode>
                <c:ptCount val="6"/>
                <c:pt idx="0">
                  <c:v>88.28677908437983</c:v>
                </c:pt>
                <c:pt idx="1">
                  <c:v>73.60773763156152</c:v>
                </c:pt>
                <c:pt idx="2">
                  <c:v>88.641002553351143</c:v>
                </c:pt>
                <c:pt idx="3">
                  <c:v>12.793257918765036</c:v>
                </c:pt>
                <c:pt idx="4">
                  <c:v>37.09557246826197</c:v>
                </c:pt>
                <c:pt idx="5">
                  <c:v>78.564055420670371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B-4B0B-989E-E5E5DA0A33AE}"/>
            </c:ext>
          </c:extLst>
        </c:ser>
        <c:ser>
          <c:idx val="2"/>
          <c:order val="2"/>
          <c:tx>
            <c:strRef>
              <c:f>validation!$T$74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validation!$T$75:$T$80</c:f>
              <c:numCache>
                <c:formatCode>0.00</c:formatCode>
                <c:ptCount val="6"/>
                <c:pt idx="0">
                  <c:v>136.12849358890662</c:v>
                </c:pt>
                <c:pt idx="1">
                  <c:v>57.680453938178793</c:v>
                </c:pt>
                <c:pt idx="2">
                  <c:v>143.39149511170848</c:v>
                </c:pt>
                <c:pt idx="3">
                  <c:v>25.830536088725225</c:v>
                </c:pt>
                <c:pt idx="4">
                  <c:v>31.621393256387424</c:v>
                </c:pt>
                <c:pt idx="5">
                  <c:v>68.458296254959976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A-4573-85B4-FFBC71D5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80E-8F43-FB2FBFA6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3-4BFC-8776-C08BD480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validation!$Y$74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validation!$Y$75:$Y$80</c:f>
              <c:numCache>
                <c:formatCode>0.000</c:formatCode>
                <c:ptCount val="6"/>
                <c:pt idx="0">
                  <c:v>114.44561832326148</c:v>
                </c:pt>
                <c:pt idx="1">
                  <c:v>97.062981620254732</c:v>
                </c:pt>
                <c:pt idx="2">
                  <c:v>229.34663378511158</c:v>
                </c:pt>
                <c:pt idx="3">
                  <c:v>27.398194391633513</c:v>
                </c:pt>
                <c:pt idx="4">
                  <c:v>22.37367553379746</c:v>
                </c:pt>
                <c:pt idx="5">
                  <c:v>30.207906996492675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8F-43D5-85BB-E972F28D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B-4231-A04D-006AF504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4-4ABA-BCFA-CCBCA80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6-4BBF-A739-F33B316B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E-4B68-B30B-F02077CB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85-406D-BC08-B3186DD9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3-4535-B611-2354C488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7-481C-8A6A-BD979C4D0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C-4645-857C-4757FC04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1"/>
          <c:order val="0"/>
          <c:tx>
            <c:strRef>
              <c:f>validation!$AD$74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validation!$AD$75:$AD$80</c:f>
              <c:numCache>
                <c:formatCode>0.00</c:formatCode>
                <c:ptCount val="6"/>
                <c:pt idx="0">
                  <c:v>62.36109189931058</c:v>
                </c:pt>
                <c:pt idx="1">
                  <c:v>62.552020697288327</c:v>
                </c:pt>
                <c:pt idx="2">
                  <c:v>62.621411262109916</c:v>
                </c:pt>
                <c:pt idx="3">
                  <c:v>61.403690910553628</c:v>
                </c:pt>
                <c:pt idx="4">
                  <c:v>62.065181560993921</c:v>
                </c:pt>
                <c:pt idx="5">
                  <c:v>59.776405391577441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1E-4BF0-AD4B-86E196E3D380}"/>
            </c:ext>
          </c:extLst>
        </c:ser>
        <c:ser>
          <c:idx val="2"/>
          <c:order val="1"/>
          <c:tx>
            <c:strRef>
              <c:f>validation!$AE$74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validation!$AE$75:$AE$80</c:f>
              <c:numCache>
                <c:formatCode>0.00</c:formatCode>
                <c:ptCount val="6"/>
                <c:pt idx="0">
                  <c:v>43.002843805323621</c:v>
                </c:pt>
                <c:pt idx="1">
                  <c:v>36.637035051611903</c:v>
                </c:pt>
                <c:pt idx="2">
                  <c:v>30.673832251441233</c:v>
                </c:pt>
                <c:pt idx="3">
                  <c:v>53.503491561932265</c:v>
                </c:pt>
                <c:pt idx="4">
                  <c:v>47.775953927503508</c:v>
                </c:pt>
                <c:pt idx="5">
                  <c:v>60.637732603021483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validation!$AI$75:$AI$80</c:f>
              <c:numCache>
                <c:formatCode>0.00</c:formatCode>
                <c:ptCount val="6"/>
                <c:pt idx="0">
                  <c:v>-100.35322092238862</c:v>
                </c:pt>
                <c:pt idx="1">
                  <c:v>-132.71520261374724</c:v>
                </c:pt>
                <c:pt idx="2">
                  <c:v>-141.77102588485073</c:v>
                </c:pt>
                <c:pt idx="3">
                  <c:v>-95.989037650063992</c:v>
                </c:pt>
                <c:pt idx="4">
                  <c:v>-138.15871882020107</c:v>
                </c:pt>
                <c:pt idx="5">
                  <c:v>-19.25113341809282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1-4F06-9150-10B74D0EFAD1}"/>
            </c:ext>
          </c:extLst>
        </c:ser>
        <c:ser>
          <c:idx val="1"/>
          <c:order val="1"/>
          <c:tx>
            <c:strRef>
              <c:f>validation!$AJ$74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validation!$AJ$75:$AJ$80</c:f>
              <c:numCache>
                <c:formatCode>0.00</c:formatCode>
                <c:ptCount val="6"/>
                <c:pt idx="0">
                  <c:v>55.625326191966295</c:v>
                </c:pt>
                <c:pt idx="1">
                  <c:v>54.492604082738588</c:v>
                </c:pt>
                <c:pt idx="2">
                  <c:v>54.175635507258036</c:v>
                </c:pt>
                <c:pt idx="3">
                  <c:v>55.778079720116395</c:v>
                </c:pt>
                <c:pt idx="4">
                  <c:v>54.302072142581288</c:v>
                </c:pt>
                <c:pt idx="5">
                  <c:v>58.464031451019281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71-4F06-9150-10B74D0EFAD1}"/>
            </c:ext>
          </c:extLst>
        </c:ser>
        <c:ser>
          <c:idx val="2"/>
          <c:order val="2"/>
          <c:tx>
            <c:strRef>
              <c:f>validation!$AK$74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validation!$AO$75:$AO$80</c:f>
              <c:numCache>
                <c:formatCode>0.00</c:formatCode>
                <c:ptCount val="6"/>
                <c:pt idx="0">
                  <c:v>29.556057325059385</c:v>
                </c:pt>
                <c:pt idx="1">
                  <c:v>11.712962962962962</c:v>
                </c:pt>
                <c:pt idx="2">
                  <c:v>15.403003410332328</c:v>
                </c:pt>
                <c:pt idx="3">
                  <c:v>11.712962962962962</c:v>
                </c:pt>
                <c:pt idx="4">
                  <c:v>11.712962962962962</c:v>
                </c:pt>
                <c:pt idx="5">
                  <c:v>15.342271270760786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A-4C19-8C92-11E6F44CE740}"/>
            </c:ext>
          </c:extLst>
        </c:ser>
        <c:ser>
          <c:idx val="1"/>
          <c:order val="1"/>
          <c:tx>
            <c:strRef>
              <c:f>validation!$AP$74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validation!$AP$75:$AP$80</c:f>
              <c:numCache>
                <c:formatCode>0.00</c:formatCode>
                <c:ptCount val="6"/>
                <c:pt idx="0">
                  <c:v>53.245933148499503</c:v>
                </c:pt>
                <c:pt idx="1">
                  <c:v>48.722000000000001</c:v>
                </c:pt>
                <c:pt idx="2">
                  <c:v>49.657571821814706</c:v>
                </c:pt>
                <c:pt idx="3">
                  <c:v>48.722000000000001</c:v>
                </c:pt>
                <c:pt idx="4">
                  <c:v>48.722000000000001</c:v>
                </c:pt>
                <c:pt idx="5">
                  <c:v>49.642173812152734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A-4C19-8C92-11E6F44CE740}"/>
            </c:ext>
          </c:extLst>
        </c:ser>
        <c:ser>
          <c:idx val="2"/>
          <c:order val="2"/>
          <c:tx>
            <c:strRef>
              <c:f>validation!$AK$74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D-4AAC-BA59-E86D5F3D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4-45F5-AD8F-30037743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7-4FCF-BA02-A1968531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3143537440474"/>
                  <c:y val="-6.09747549778014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validation!$M$128:$M$133</c:f>
              <c:numCache>
                <c:formatCode>0.00</c:formatCode>
                <c:ptCount val="6"/>
                <c:pt idx="0">
                  <c:v>95.227895183972151</c:v>
                </c:pt>
                <c:pt idx="1">
                  <c:v>21.891251699587393</c:v>
                </c:pt>
                <c:pt idx="2">
                  <c:v>105.13474984565981</c:v>
                </c:pt>
                <c:pt idx="3">
                  <c:v>54.347206424674056</c:v>
                </c:pt>
                <c:pt idx="4">
                  <c:v>47.866775368612835</c:v>
                </c:pt>
                <c:pt idx="5">
                  <c:v>145.6390154749223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3-4975-9BF3-3E2EFC68DE76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46314072518657"/>
                  <c:y val="-3.735723065508499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validation!$N$128:$N$133</c:f>
              <c:numCache>
                <c:formatCode>0.00</c:formatCode>
                <c:ptCount val="6"/>
                <c:pt idx="0">
                  <c:v>78.907068495194437</c:v>
                </c:pt>
                <c:pt idx="1">
                  <c:v>40.807843233855095</c:v>
                </c:pt>
                <c:pt idx="2">
                  <c:v>84.053792826358517</c:v>
                </c:pt>
                <c:pt idx="3">
                  <c:v>57.669083009659673</c:v>
                </c:pt>
                <c:pt idx="4">
                  <c:v>54.302424939904583</c:v>
                </c:pt>
                <c:pt idx="5">
                  <c:v>105.09622218955917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3-4975-9BF3-3E2EFC68DE76}"/>
            </c:ext>
          </c:extLst>
        </c:ser>
        <c:ser>
          <c:idx val="2"/>
          <c:order val="2"/>
          <c:tx>
            <c:strRef>
              <c:f>validation!$O$127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436841463871912"/>
                  <c:y val="-0.1970776839611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validation!$O$128:$O$133</c:f>
              <c:numCache>
                <c:formatCode>0.000</c:formatCode>
                <c:ptCount val="6"/>
                <c:pt idx="0">
                  <c:v>82.59702247449286</c:v>
                </c:pt>
                <c:pt idx="1">
                  <c:v>33.537054468443031</c:v>
                </c:pt>
                <c:pt idx="2">
                  <c:v>87.599201607786554</c:v>
                </c:pt>
                <c:pt idx="3">
                  <c:v>59.012200349879429</c:v>
                </c:pt>
                <c:pt idx="4">
                  <c:v>54.635837614422663</c:v>
                </c:pt>
                <c:pt idx="5">
                  <c:v>106.2283162144093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Ch1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459972523426"/>
                  <c:y val="-0.251222681926909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2-4BC4-8431-C194014D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</a:t>
            </a:r>
            <a:r>
              <a:rPr lang="en-US" sz="1050" baseline="0"/>
              <a:t>Dmax </a:t>
            </a: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50" baseline="0"/>
              <a:t>(2)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043944691239879"/>
                  <c:y val="-7.249597107772282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7-4F93-ADAA-8CD82298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64682388095806"/>
                  <c:y val="0.127542374313803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0-45F5-82F6-B23E0C9B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520-A6E1-16099A6A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validation!$T$127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43864895020478"/>
                  <c:y val="-6.758937134475431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validation!$T$128:$T$133</c:f>
              <c:numCache>
                <c:formatCode>0.00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84.461527753027383</c:v>
                </c:pt>
                <c:pt idx="4">
                  <c:v>87.934081462076819</c:v>
                </c:pt>
                <c:pt idx="5">
                  <c:v>155.10541040664523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FE-4520-A6E1-16099A6A4A35}"/>
            </c:ext>
          </c:extLst>
        </c:ser>
        <c:ser>
          <c:idx val="0"/>
          <c:order val="2"/>
          <c:tx>
            <c:strRef>
              <c:f>validation!$U$127</c:f>
              <c:strCache>
                <c:ptCount val="1"/>
                <c:pt idx="0">
                  <c:v>Time Stamps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740421728145006"/>
                  <c:y val="-3.01124717282078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validation!$U$128:$U$133</c:f>
              <c:numCache>
                <c:formatCode>0.000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80.273877098790663</c:v>
                </c:pt>
                <c:pt idx="4">
                  <c:v>75.463396074733694</c:v>
                </c:pt>
                <c:pt idx="5">
                  <c:v>124.59799853071195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E-4BC2-99EF-18B78CE9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6683680792130169"/>
          <c:w val="0.80686775820808154"/>
          <c:h val="0.12955019856499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Ch2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D-4B2A-873A-B838309E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410101515390429"/>
                  <c:y val="-6.8724214052282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6-4FB2-BE86-FC233129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Ch2 </a:t>
            </a:r>
            <a:r>
              <a:rPr lang="en-US" sz="1000" b="1" baseline="0"/>
              <a:t>Dmax vs </a:t>
            </a: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="1" baseline="0"/>
              <a:t> (3) 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474837011483063"/>
                  <c:y val="0.3175703509955555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E-4A80-85A8-78A367F2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 / Max Amplitude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  <c:max val="5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validation!$W$128:$W$133</c:f>
              <c:numCache>
                <c:formatCode>0.00</c:formatCode>
                <c:ptCount val="6"/>
                <c:pt idx="0">
                  <c:v>61.217424542970299</c:v>
                </c:pt>
                <c:pt idx="1">
                  <c:v>25.457711340208132</c:v>
                </c:pt>
                <c:pt idx="2">
                  <c:v>31.826917969938059</c:v>
                </c:pt>
                <c:pt idx="3">
                  <c:v>68.787065020304397</c:v>
                </c:pt>
                <c:pt idx="4">
                  <c:v>129.21261045572717</c:v>
                </c:pt>
                <c:pt idx="5">
                  <c:v>763.63587392676732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A-4479-B2F3-7EA2F16A509D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validation!$X$128:$X$133</c:f>
              <c:numCache>
                <c:formatCode>0.00</c:formatCode>
                <c:ptCount val="6"/>
                <c:pt idx="0">
                  <c:v>61.310210416434721</c:v>
                </c:pt>
                <c:pt idx="1">
                  <c:v>37.090621540475539</c:v>
                </c:pt>
                <c:pt idx="2">
                  <c:v>41.404402391105435</c:v>
                </c:pt>
                <c:pt idx="3">
                  <c:v>66.437029506406901</c:v>
                </c:pt>
                <c:pt idx="4">
                  <c:v>107.3624658977281</c:v>
                </c:pt>
                <c:pt idx="5">
                  <c:v>537.04909474423846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A-4479-B2F3-7EA2F16A509D}"/>
            </c:ext>
          </c:extLst>
        </c:ser>
        <c:ser>
          <c:idx val="2"/>
          <c:order val="2"/>
          <c:tx>
            <c:strRef>
              <c:f>validation!$Y$127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validation!$Y$128:$Y$133</c:f>
              <c:numCache>
                <c:formatCode>0.00</c:formatCode>
                <c:ptCount val="6"/>
                <c:pt idx="0">
                  <c:v>68.957807295619332</c:v>
                </c:pt>
                <c:pt idx="1">
                  <c:v>23.324683235913156</c:v>
                </c:pt>
                <c:pt idx="2">
                  <c:v>40.962192851694532</c:v>
                </c:pt>
                <c:pt idx="3">
                  <c:v>73.355134355888808</c:v>
                </c:pt>
                <c:pt idx="4">
                  <c:v>97.558037849240151</c:v>
                </c:pt>
                <c:pt idx="5">
                  <c:v>187.0632193798823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Ch3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3-4F07-9526-8674AC59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555-91EA-9B7CFF9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6-49D9-B4A3-0BDA8D91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validation!$AC$128:$AC$133</c:f>
              <c:numCache>
                <c:formatCode>0.00</c:formatCode>
                <c:ptCount val="6"/>
                <c:pt idx="0">
                  <c:v>56.931180626895156</c:v>
                </c:pt>
                <c:pt idx="1">
                  <c:v>26.806773423575901</c:v>
                </c:pt>
                <c:pt idx="2">
                  <c:v>29.227988736251156</c:v>
                </c:pt>
                <c:pt idx="3">
                  <c:v>35.414243080597721</c:v>
                </c:pt>
                <c:pt idx="4">
                  <c:v>33.058866225645914</c:v>
                </c:pt>
                <c:pt idx="5">
                  <c:v>438.49120473331692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DF-4AC1-8564-5CB989CFD0F9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validation!$AD$128:$AD$133</c:f>
              <c:numCache>
                <c:formatCode>0.00</c:formatCode>
                <c:ptCount val="6"/>
                <c:pt idx="0">
                  <c:v>58.36712909719234</c:v>
                </c:pt>
                <c:pt idx="1">
                  <c:v>38.231128826651336</c:v>
                </c:pt>
                <c:pt idx="2">
                  <c:v>39.849537177793763</c:v>
                </c:pt>
                <c:pt idx="3">
                  <c:v>43.98460341530209</c:v>
                </c:pt>
                <c:pt idx="4">
                  <c:v>42.410203339362667</c:v>
                </c:pt>
                <c:pt idx="5">
                  <c:v>313.41257104660201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DF-4AC1-8564-5CB989CFD0F9}"/>
            </c:ext>
          </c:extLst>
        </c:ser>
        <c:ser>
          <c:idx val="2"/>
          <c:order val="2"/>
          <c:tx>
            <c:strRef>
              <c:f>validation!$AE$127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validation!$AE$128:$AE$133</c:f>
              <c:numCache>
                <c:formatCode>0.00</c:formatCode>
                <c:ptCount val="6"/>
                <c:pt idx="0">
                  <c:v>67.628114502869821</c:v>
                </c:pt>
                <c:pt idx="1">
                  <c:v>21.384864913798921</c:v>
                </c:pt>
                <c:pt idx="2">
                  <c:v>37.155894206812931</c:v>
                </c:pt>
                <c:pt idx="3">
                  <c:v>49.872932023099864</c:v>
                </c:pt>
                <c:pt idx="4">
                  <c:v>46.214645317182772</c:v>
                </c:pt>
                <c:pt idx="5">
                  <c:v>128.99674971720674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Ch4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F-4989-BE2F-8E8E3EC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8-497B-AB34-BDB81E8E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A-43F3-AF79-7550616B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validation!$AI$128:$AI$133</c:f>
              <c:numCache>
                <c:formatCode>0.00</c:formatCode>
                <c:ptCount val="6"/>
                <c:pt idx="0">
                  <c:v>48.085648593067866</c:v>
                </c:pt>
                <c:pt idx="1">
                  <c:v>22.738579971365379</c:v>
                </c:pt>
                <c:pt idx="2">
                  <c:v>24.254193234820722</c:v>
                </c:pt>
                <c:pt idx="3">
                  <c:v>24.449405501071524</c:v>
                </c:pt>
                <c:pt idx="4">
                  <c:v>22.973008210907455</c:v>
                </c:pt>
                <c:pt idx="5">
                  <c:v>120.6633178258692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A-41F7-8640-643ABE52E141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validation!$AJ$128:$AJ$133</c:f>
              <c:numCache>
                <c:formatCode>0.00</c:formatCode>
                <c:ptCount val="6"/>
                <c:pt idx="0">
                  <c:v>55.600917954266201</c:v>
                </c:pt>
                <c:pt idx="1">
                  <c:v>43.963875973493614</c:v>
                </c:pt>
                <c:pt idx="2">
                  <c:v>44.659706147652074</c:v>
                </c:pt>
                <c:pt idx="3">
                  <c:v>44.749329660785946</c:v>
                </c:pt>
                <c:pt idx="4">
                  <c:v>44.071503853693301</c:v>
                </c:pt>
                <c:pt idx="5">
                  <c:v>88.921906520399148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Ch5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8-4768-870B-5FF6E1CD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E-4C2A-89DC-EB9BC71F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7D7-A398-5ECAA32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validation!$AO$128:$AO$133</c:f>
              <c:numCache>
                <c:formatCode>0.00</c:formatCode>
                <c:ptCount val="6"/>
                <c:pt idx="0">
                  <c:v>52.757089481867645</c:v>
                </c:pt>
                <c:pt idx="1">
                  <c:v>32</c:v>
                </c:pt>
                <c:pt idx="2">
                  <c:v>35.641552988190917</c:v>
                </c:pt>
                <c:pt idx="3">
                  <c:v>32</c:v>
                </c:pt>
                <c:pt idx="4">
                  <c:v>32</c:v>
                </c:pt>
                <c:pt idx="5">
                  <c:v>37.785138919438999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C-4B45-A00B-005CFC281156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validation!$AP$128:$AP$133</c:f>
              <c:numCache>
                <c:formatCode>0.00</c:formatCode>
                <c:ptCount val="6"/>
                <c:pt idx="0">
                  <c:v>56.664046591065002</c:v>
                </c:pt>
                <c:pt idx="1">
                  <c:v>47.755000000000003</c:v>
                </c:pt>
                <c:pt idx="2">
                  <c:v>49.317972750296484</c:v>
                </c:pt>
                <c:pt idx="3">
                  <c:v>47.755000000000003</c:v>
                </c:pt>
                <c:pt idx="4">
                  <c:v>47.755000000000003</c:v>
                </c:pt>
                <c:pt idx="5">
                  <c:v>50.238010549917817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Ch6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7-47CA-B099-10EDA0C1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2-49C2-9594-7F8D50B6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3-4FF9-A04E-168281BE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43.xml"/><Relationship Id="rId21" Type="http://schemas.openxmlformats.org/officeDocument/2006/relationships/chart" Target="../charts/chart38.xml"/><Relationship Id="rId42" Type="http://schemas.openxmlformats.org/officeDocument/2006/relationships/chart" Target="../charts/chart59.xml"/><Relationship Id="rId47" Type="http://schemas.openxmlformats.org/officeDocument/2006/relationships/chart" Target="../charts/chart64.xml"/><Relationship Id="rId63" Type="http://schemas.openxmlformats.org/officeDocument/2006/relationships/chart" Target="../charts/chart80.xml"/><Relationship Id="rId68" Type="http://schemas.openxmlformats.org/officeDocument/2006/relationships/chart" Target="../charts/chart85.xml"/><Relationship Id="rId84" Type="http://schemas.openxmlformats.org/officeDocument/2006/relationships/chart" Target="../charts/chart101.xml"/><Relationship Id="rId16" Type="http://schemas.openxmlformats.org/officeDocument/2006/relationships/chart" Target="../charts/chart33.xml"/><Relationship Id="rId11" Type="http://schemas.openxmlformats.org/officeDocument/2006/relationships/chart" Target="../charts/chart28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53" Type="http://schemas.openxmlformats.org/officeDocument/2006/relationships/chart" Target="../charts/chart70.xml"/><Relationship Id="rId58" Type="http://schemas.openxmlformats.org/officeDocument/2006/relationships/chart" Target="../charts/chart75.xml"/><Relationship Id="rId74" Type="http://schemas.openxmlformats.org/officeDocument/2006/relationships/chart" Target="../charts/chart91.xml"/><Relationship Id="rId79" Type="http://schemas.openxmlformats.org/officeDocument/2006/relationships/chart" Target="../charts/chart96.xml"/><Relationship Id="rId5" Type="http://schemas.openxmlformats.org/officeDocument/2006/relationships/chart" Target="../charts/chart22.xml"/><Relationship Id="rId19" Type="http://schemas.openxmlformats.org/officeDocument/2006/relationships/chart" Target="../charts/chart3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43" Type="http://schemas.openxmlformats.org/officeDocument/2006/relationships/chart" Target="../charts/chart60.xml"/><Relationship Id="rId48" Type="http://schemas.openxmlformats.org/officeDocument/2006/relationships/chart" Target="../charts/chart65.xml"/><Relationship Id="rId56" Type="http://schemas.openxmlformats.org/officeDocument/2006/relationships/chart" Target="../charts/chart73.xml"/><Relationship Id="rId64" Type="http://schemas.openxmlformats.org/officeDocument/2006/relationships/chart" Target="../charts/chart81.xml"/><Relationship Id="rId69" Type="http://schemas.openxmlformats.org/officeDocument/2006/relationships/chart" Target="../charts/chart86.xml"/><Relationship Id="rId77" Type="http://schemas.openxmlformats.org/officeDocument/2006/relationships/chart" Target="../charts/chart94.xml"/><Relationship Id="rId8" Type="http://schemas.openxmlformats.org/officeDocument/2006/relationships/chart" Target="../charts/chart25.xml"/><Relationship Id="rId51" Type="http://schemas.openxmlformats.org/officeDocument/2006/relationships/chart" Target="../charts/chart68.xml"/><Relationship Id="rId72" Type="http://schemas.openxmlformats.org/officeDocument/2006/relationships/chart" Target="../charts/chart89.xml"/><Relationship Id="rId80" Type="http://schemas.openxmlformats.org/officeDocument/2006/relationships/chart" Target="../charts/chart97.xml"/><Relationship Id="rId85" Type="http://schemas.openxmlformats.org/officeDocument/2006/relationships/chart" Target="../charts/chart102.xml"/><Relationship Id="rId3" Type="http://schemas.openxmlformats.org/officeDocument/2006/relationships/chart" Target="../charts/chart20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46" Type="http://schemas.openxmlformats.org/officeDocument/2006/relationships/chart" Target="../charts/chart63.xml"/><Relationship Id="rId59" Type="http://schemas.openxmlformats.org/officeDocument/2006/relationships/chart" Target="../charts/chart76.xml"/><Relationship Id="rId67" Type="http://schemas.openxmlformats.org/officeDocument/2006/relationships/chart" Target="../charts/chart84.xml"/><Relationship Id="rId20" Type="http://schemas.openxmlformats.org/officeDocument/2006/relationships/chart" Target="../charts/chart37.xml"/><Relationship Id="rId41" Type="http://schemas.openxmlformats.org/officeDocument/2006/relationships/chart" Target="../charts/chart58.xml"/><Relationship Id="rId54" Type="http://schemas.openxmlformats.org/officeDocument/2006/relationships/chart" Target="../charts/chart71.xml"/><Relationship Id="rId62" Type="http://schemas.openxmlformats.org/officeDocument/2006/relationships/chart" Target="../charts/chart79.xml"/><Relationship Id="rId70" Type="http://schemas.openxmlformats.org/officeDocument/2006/relationships/chart" Target="../charts/chart87.xml"/><Relationship Id="rId75" Type="http://schemas.openxmlformats.org/officeDocument/2006/relationships/chart" Target="../charts/chart92.xml"/><Relationship Id="rId83" Type="http://schemas.openxmlformats.org/officeDocument/2006/relationships/chart" Target="../charts/chart100.xml"/><Relationship Id="rId88" Type="http://schemas.openxmlformats.org/officeDocument/2006/relationships/chart" Target="../charts/chart105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49" Type="http://schemas.openxmlformats.org/officeDocument/2006/relationships/chart" Target="../charts/chart66.xml"/><Relationship Id="rId57" Type="http://schemas.openxmlformats.org/officeDocument/2006/relationships/chart" Target="../charts/chart74.xml"/><Relationship Id="rId10" Type="http://schemas.openxmlformats.org/officeDocument/2006/relationships/chart" Target="../charts/chart27.xml"/><Relationship Id="rId31" Type="http://schemas.openxmlformats.org/officeDocument/2006/relationships/chart" Target="../charts/chart48.xml"/><Relationship Id="rId44" Type="http://schemas.openxmlformats.org/officeDocument/2006/relationships/chart" Target="../charts/chart61.xml"/><Relationship Id="rId52" Type="http://schemas.openxmlformats.org/officeDocument/2006/relationships/chart" Target="../charts/chart69.xml"/><Relationship Id="rId60" Type="http://schemas.openxmlformats.org/officeDocument/2006/relationships/chart" Target="../charts/chart77.xml"/><Relationship Id="rId65" Type="http://schemas.openxmlformats.org/officeDocument/2006/relationships/chart" Target="../charts/chart82.xml"/><Relationship Id="rId73" Type="http://schemas.openxmlformats.org/officeDocument/2006/relationships/chart" Target="../charts/chart90.xml"/><Relationship Id="rId78" Type="http://schemas.openxmlformats.org/officeDocument/2006/relationships/chart" Target="../charts/chart95.xml"/><Relationship Id="rId81" Type="http://schemas.openxmlformats.org/officeDocument/2006/relationships/chart" Target="../charts/chart98.xml"/><Relationship Id="rId86" Type="http://schemas.openxmlformats.org/officeDocument/2006/relationships/chart" Target="../charts/chart103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9" Type="http://schemas.openxmlformats.org/officeDocument/2006/relationships/chart" Target="../charts/chart56.xml"/><Relationship Id="rId34" Type="http://schemas.openxmlformats.org/officeDocument/2006/relationships/chart" Target="../charts/chart51.xml"/><Relationship Id="rId50" Type="http://schemas.openxmlformats.org/officeDocument/2006/relationships/chart" Target="../charts/chart67.xml"/><Relationship Id="rId55" Type="http://schemas.openxmlformats.org/officeDocument/2006/relationships/chart" Target="../charts/chart72.xml"/><Relationship Id="rId76" Type="http://schemas.openxmlformats.org/officeDocument/2006/relationships/chart" Target="../charts/chart93.xml"/><Relationship Id="rId7" Type="http://schemas.openxmlformats.org/officeDocument/2006/relationships/chart" Target="../charts/chart24.xml"/><Relationship Id="rId71" Type="http://schemas.openxmlformats.org/officeDocument/2006/relationships/chart" Target="../charts/chart88.xml"/><Relationship Id="rId2" Type="http://schemas.openxmlformats.org/officeDocument/2006/relationships/chart" Target="../charts/chart19.xml"/><Relationship Id="rId29" Type="http://schemas.openxmlformats.org/officeDocument/2006/relationships/chart" Target="../charts/chart46.xml"/><Relationship Id="rId24" Type="http://schemas.openxmlformats.org/officeDocument/2006/relationships/chart" Target="../charts/chart41.xml"/><Relationship Id="rId40" Type="http://schemas.openxmlformats.org/officeDocument/2006/relationships/chart" Target="../charts/chart57.xml"/><Relationship Id="rId45" Type="http://schemas.openxmlformats.org/officeDocument/2006/relationships/chart" Target="../charts/chart62.xml"/><Relationship Id="rId66" Type="http://schemas.openxmlformats.org/officeDocument/2006/relationships/chart" Target="../charts/chart83.xml"/><Relationship Id="rId87" Type="http://schemas.openxmlformats.org/officeDocument/2006/relationships/chart" Target="../charts/chart104.xml"/><Relationship Id="rId61" Type="http://schemas.openxmlformats.org/officeDocument/2006/relationships/chart" Target="../charts/chart78.xml"/><Relationship Id="rId82" Type="http://schemas.openxmlformats.org/officeDocument/2006/relationships/chart" Target="../charts/chart9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668254</xdr:colOff>
      <xdr:row>39</xdr:row>
      <xdr:rowOff>135484</xdr:rowOff>
    </xdr:from>
    <xdr:to>
      <xdr:col>3</xdr:col>
      <xdr:colOff>614950</xdr:colOff>
      <xdr:row>56</xdr:row>
      <xdr:rowOff>40147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39</xdr:row>
      <xdr:rowOff>106638</xdr:rowOff>
    </xdr:from>
    <xdr:to>
      <xdr:col>7</xdr:col>
      <xdr:colOff>13993</xdr:colOff>
      <xdr:row>56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39</xdr:row>
      <xdr:rowOff>114921</xdr:rowOff>
    </xdr:from>
    <xdr:to>
      <xdr:col>12</xdr:col>
      <xdr:colOff>402238</xdr:colOff>
      <xdr:row>56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56</xdr:row>
      <xdr:rowOff>91848</xdr:rowOff>
    </xdr:from>
    <xdr:to>
      <xdr:col>4</xdr:col>
      <xdr:colOff>1102179</xdr:colOff>
      <xdr:row>80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43823</xdr:colOff>
      <xdr:row>56</xdr:row>
      <xdr:rowOff>113459</xdr:rowOff>
    </xdr:from>
    <xdr:to>
      <xdr:col>12</xdr:col>
      <xdr:colOff>227237</xdr:colOff>
      <xdr:row>80</xdr:row>
      <xdr:rowOff>35218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707572</xdr:colOff>
      <xdr:row>80</xdr:row>
      <xdr:rowOff>108857</xdr:rowOff>
    </xdr:from>
    <xdr:to>
      <xdr:col>4</xdr:col>
      <xdr:colOff>1112384</xdr:colOff>
      <xdr:row>104</xdr:row>
      <xdr:rowOff>30616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68036</xdr:colOff>
      <xdr:row>80</xdr:row>
      <xdr:rowOff>108857</xdr:rowOff>
    </xdr:from>
    <xdr:to>
      <xdr:col>12</xdr:col>
      <xdr:colOff>251450</xdr:colOff>
      <xdr:row>104</xdr:row>
      <xdr:rowOff>30616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39</xdr:row>
      <xdr:rowOff>141876</xdr:rowOff>
    </xdr:from>
    <xdr:to>
      <xdr:col>17</xdr:col>
      <xdr:colOff>332446</xdr:colOff>
      <xdr:row>50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39</xdr:row>
      <xdr:rowOff>153866</xdr:rowOff>
    </xdr:from>
    <xdr:to>
      <xdr:col>21</xdr:col>
      <xdr:colOff>251849</xdr:colOff>
      <xdr:row>50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238125</xdr:colOff>
      <xdr:row>35</xdr:row>
      <xdr:rowOff>17008</xdr:rowOff>
    </xdr:from>
    <xdr:to>
      <xdr:col>67</xdr:col>
      <xdr:colOff>563366</xdr:colOff>
      <xdr:row>52</xdr:row>
      <xdr:rowOff>40970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68</xdr:col>
      <xdr:colOff>227919</xdr:colOff>
      <xdr:row>34</xdr:row>
      <xdr:rowOff>119061</xdr:rowOff>
    </xdr:from>
    <xdr:to>
      <xdr:col>77</xdr:col>
      <xdr:colOff>553160</xdr:colOff>
      <xdr:row>51</xdr:row>
      <xdr:rowOff>143023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270070</xdr:colOff>
      <xdr:row>52</xdr:row>
      <xdr:rowOff>118913</xdr:rowOff>
    </xdr:from>
    <xdr:to>
      <xdr:col>67</xdr:col>
      <xdr:colOff>595311</xdr:colOff>
      <xdr:row>69</xdr:row>
      <xdr:rowOff>142875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68</xdr:col>
      <xdr:colOff>187393</xdr:colOff>
      <xdr:row>52</xdr:row>
      <xdr:rowOff>83268</xdr:rowOff>
    </xdr:from>
    <xdr:to>
      <xdr:col>77</xdr:col>
      <xdr:colOff>512635</xdr:colOff>
      <xdr:row>69</xdr:row>
      <xdr:rowOff>107230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333376</xdr:colOff>
      <xdr:row>2</xdr:row>
      <xdr:rowOff>6803</xdr:rowOff>
    </xdr:from>
    <xdr:to>
      <xdr:col>68</xdr:col>
      <xdr:colOff>108562</xdr:colOff>
      <xdr:row>17</xdr:row>
      <xdr:rowOff>171864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3AAD5-46E0-9ABB-E271-68CEDE7F2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68</xdr:col>
      <xdr:colOff>227920</xdr:colOff>
      <xdr:row>2</xdr:row>
      <xdr:rowOff>3402</xdr:rowOff>
    </xdr:from>
    <xdr:to>
      <xdr:col>78</xdr:col>
      <xdr:colOff>3106</xdr:colOff>
      <xdr:row>17</xdr:row>
      <xdr:rowOff>168463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4F640-FA11-E895-2C60-E3B8DA47D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287081</xdr:colOff>
      <xdr:row>18</xdr:row>
      <xdr:rowOff>67888</xdr:rowOff>
    </xdr:from>
    <xdr:to>
      <xdr:col>68</xdr:col>
      <xdr:colOff>62267</xdr:colOff>
      <xdr:row>34</xdr:row>
      <xdr:rowOff>42449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C1B30D-8974-0300-37B9-1468F8B59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68</xdr:col>
      <xdr:colOff>248625</xdr:colOff>
      <xdr:row>18</xdr:row>
      <xdr:rowOff>42448</xdr:rowOff>
    </xdr:from>
    <xdr:to>
      <xdr:col>78</xdr:col>
      <xdr:colOff>23812</xdr:colOff>
      <xdr:row>34</xdr:row>
      <xdr:rowOff>17009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E33291D-8C36-8399-624A-147252324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47</xdr:row>
      <xdr:rowOff>135835</xdr:rowOff>
    </xdr:from>
    <xdr:to>
      <xdr:col>5</xdr:col>
      <xdr:colOff>95250</xdr:colOff>
      <xdr:row>58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274985</xdr:colOff>
      <xdr:row>25</xdr:row>
      <xdr:rowOff>144322</xdr:rowOff>
    </xdr:from>
    <xdr:to>
      <xdr:col>4</xdr:col>
      <xdr:colOff>339588</xdr:colOff>
      <xdr:row>41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47</xdr:row>
      <xdr:rowOff>107675</xdr:rowOff>
    </xdr:from>
    <xdr:to>
      <xdr:col>2</xdr:col>
      <xdr:colOff>657226</xdr:colOff>
      <xdr:row>58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58</xdr:row>
      <xdr:rowOff>128795</xdr:rowOff>
    </xdr:from>
    <xdr:to>
      <xdr:col>3</xdr:col>
      <xdr:colOff>571501</xdr:colOff>
      <xdr:row>69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47</xdr:row>
      <xdr:rowOff>152399</xdr:rowOff>
    </xdr:from>
    <xdr:to>
      <xdr:col>8</xdr:col>
      <xdr:colOff>19471</xdr:colOff>
      <xdr:row>58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47</xdr:row>
      <xdr:rowOff>176362</xdr:rowOff>
    </xdr:from>
    <xdr:to>
      <xdr:col>10</xdr:col>
      <xdr:colOff>190501</xdr:colOff>
      <xdr:row>58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58</xdr:row>
      <xdr:rowOff>185532</xdr:rowOff>
    </xdr:from>
    <xdr:to>
      <xdr:col>9</xdr:col>
      <xdr:colOff>276226</xdr:colOff>
      <xdr:row>69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25</xdr:row>
      <xdr:rowOff>115246</xdr:rowOff>
    </xdr:from>
    <xdr:to>
      <xdr:col>10</xdr:col>
      <xdr:colOff>20410</xdr:colOff>
      <xdr:row>40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47</xdr:row>
      <xdr:rowOff>136583</xdr:rowOff>
    </xdr:from>
    <xdr:to>
      <xdr:col>13</xdr:col>
      <xdr:colOff>44826</xdr:colOff>
      <xdr:row>58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47</xdr:row>
      <xdr:rowOff>135591</xdr:rowOff>
    </xdr:from>
    <xdr:to>
      <xdr:col>15</xdr:col>
      <xdr:colOff>359856</xdr:colOff>
      <xdr:row>58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58</xdr:row>
      <xdr:rowOff>161365</xdr:rowOff>
    </xdr:from>
    <xdr:to>
      <xdr:col>14</xdr:col>
      <xdr:colOff>228600</xdr:colOff>
      <xdr:row>69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25</xdr:row>
      <xdr:rowOff>75468</xdr:rowOff>
    </xdr:from>
    <xdr:to>
      <xdr:col>15</xdr:col>
      <xdr:colOff>140804</xdr:colOff>
      <xdr:row>41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47</xdr:row>
      <xdr:rowOff>181334</xdr:rowOff>
    </xdr:from>
    <xdr:to>
      <xdr:col>18</xdr:col>
      <xdr:colOff>233343</xdr:colOff>
      <xdr:row>58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47</xdr:row>
      <xdr:rowOff>178163</xdr:rowOff>
    </xdr:from>
    <xdr:to>
      <xdr:col>21</xdr:col>
      <xdr:colOff>66675</xdr:colOff>
      <xdr:row>58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59</xdr:row>
      <xdr:rowOff>34964</xdr:rowOff>
    </xdr:from>
    <xdr:to>
      <xdr:col>19</xdr:col>
      <xdr:colOff>511186</xdr:colOff>
      <xdr:row>70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25</xdr:row>
      <xdr:rowOff>95250</xdr:rowOff>
    </xdr:from>
    <xdr:to>
      <xdr:col>20</xdr:col>
      <xdr:colOff>247650</xdr:colOff>
      <xdr:row>41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47</xdr:row>
      <xdr:rowOff>176833</xdr:rowOff>
    </xdr:from>
    <xdr:to>
      <xdr:col>23</xdr:col>
      <xdr:colOff>705216</xdr:colOff>
      <xdr:row>58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48</xdr:row>
      <xdr:rowOff>15323</xdr:rowOff>
    </xdr:from>
    <xdr:to>
      <xdr:col>26</xdr:col>
      <xdr:colOff>581026</xdr:colOff>
      <xdr:row>58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59</xdr:row>
      <xdr:rowOff>50938</xdr:rowOff>
    </xdr:from>
    <xdr:to>
      <xdr:col>25</xdr:col>
      <xdr:colOff>76199</xdr:colOff>
      <xdr:row>70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25</xdr:row>
      <xdr:rowOff>125896</xdr:rowOff>
    </xdr:from>
    <xdr:to>
      <xdr:col>25</xdr:col>
      <xdr:colOff>256761</xdr:colOff>
      <xdr:row>41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47</xdr:row>
      <xdr:rowOff>168728</xdr:rowOff>
    </xdr:from>
    <xdr:to>
      <xdr:col>29</xdr:col>
      <xdr:colOff>68035</xdr:colOff>
      <xdr:row>58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48</xdr:row>
      <xdr:rowOff>22777</xdr:rowOff>
    </xdr:from>
    <xdr:to>
      <xdr:col>31</xdr:col>
      <xdr:colOff>389282</xdr:colOff>
      <xdr:row>58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58</xdr:row>
      <xdr:rowOff>188430</xdr:rowOff>
    </xdr:from>
    <xdr:to>
      <xdr:col>30</xdr:col>
      <xdr:colOff>165239</xdr:colOff>
      <xdr:row>69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25</xdr:row>
      <xdr:rowOff>163582</xdr:rowOff>
    </xdr:from>
    <xdr:to>
      <xdr:col>31</xdr:col>
      <xdr:colOff>33130</xdr:colOff>
      <xdr:row>41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48</xdr:row>
      <xdr:rowOff>9998</xdr:rowOff>
    </xdr:from>
    <xdr:to>
      <xdr:col>34</xdr:col>
      <xdr:colOff>590527</xdr:colOff>
      <xdr:row>58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48</xdr:row>
      <xdr:rowOff>8755</xdr:rowOff>
    </xdr:from>
    <xdr:to>
      <xdr:col>37</xdr:col>
      <xdr:colOff>657329</xdr:colOff>
      <xdr:row>58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59</xdr:row>
      <xdr:rowOff>11781</xdr:rowOff>
    </xdr:from>
    <xdr:to>
      <xdr:col>36</xdr:col>
      <xdr:colOff>454882</xdr:colOff>
      <xdr:row>69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25</xdr:row>
      <xdr:rowOff>158135</xdr:rowOff>
    </xdr:from>
    <xdr:to>
      <xdr:col>37</xdr:col>
      <xdr:colOff>244719</xdr:colOff>
      <xdr:row>41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48</xdr:row>
      <xdr:rowOff>9525</xdr:rowOff>
    </xdr:from>
    <xdr:to>
      <xdr:col>41</xdr:col>
      <xdr:colOff>257177</xdr:colOff>
      <xdr:row>58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48</xdr:row>
      <xdr:rowOff>28575</xdr:rowOff>
    </xdr:from>
    <xdr:to>
      <xdr:col>44</xdr:col>
      <xdr:colOff>381000</xdr:colOff>
      <xdr:row>59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59</xdr:row>
      <xdr:rowOff>85725</xdr:rowOff>
    </xdr:from>
    <xdr:to>
      <xdr:col>42</xdr:col>
      <xdr:colOff>447675</xdr:colOff>
      <xdr:row>70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25</xdr:row>
      <xdr:rowOff>133350</xdr:rowOff>
    </xdr:from>
    <xdr:to>
      <xdr:col>44</xdr:col>
      <xdr:colOff>66675</xdr:colOff>
      <xdr:row>41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164784</xdr:colOff>
      <xdr:row>39</xdr:row>
      <xdr:rowOff>76460</xdr:rowOff>
    </xdr:from>
    <xdr:to>
      <xdr:col>53</xdr:col>
      <xdr:colOff>451863</xdr:colOff>
      <xdr:row>55</xdr:row>
      <xdr:rowOff>76458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33064</xdr:colOff>
      <xdr:row>39</xdr:row>
      <xdr:rowOff>155281</xdr:rowOff>
    </xdr:from>
    <xdr:to>
      <xdr:col>61</xdr:col>
      <xdr:colOff>467446</xdr:colOff>
      <xdr:row>55</xdr:row>
      <xdr:rowOff>91432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25</xdr:row>
      <xdr:rowOff>135339</xdr:rowOff>
    </xdr:from>
    <xdr:to>
      <xdr:col>52</xdr:col>
      <xdr:colOff>309763</xdr:colOff>
      <xdr:row>41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25</xdr:row>
      <xdr:rowOff>129802</xdr:rowOff>
    </xdr:from>
    <xdr:to>
      <xdr:col>62</xdr:col>
      <xdr:colOff>257248</xdr:colOff>
      <xdr:row>41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41</xdr:row>
      <xdr:rowOff>181332</xdr:rowOff>
    </xdr:from>
    <xdr:to>
      <xdr:col>73</xdr:col>
      <xdr:colOff>314785</xdr:colOff>
      <xdr:row>57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42</xdr:row>
      <xdr:rowOff>1121</xdr:rowOff>
    </xdr:from>
    <xdr:to>
      <xdr:col>82</xdr:col>
      <xdr:colOff>511549</xdr:colOff>
      <xdr:row>57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26</xdr:row>
      <xdr:rowOff>11206</xdr:rowOff>
    </xdr:from>
    <xdr:to>
      <xdr:col>71</xdr:col>
      <xdr:colOff>479576</xdr:colOff>
      <xdr:row>41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25</xdr:row>
      <xdr:rowOff>100853</xdr:rowOff>
    </xdr:from>
    <xdr:to>
      <xdr:col>81</xdr:col>
      <xdr:colOff>311487</xdr:colOff>
      <xdr:row>41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843643</xdr:colOff>
      <xdr:row>80</xdr:row>
      <xdr:rowOff>145677</xdr:rowOff>
    </xdr:from>
    <xdr:to>
      <xdr:col>15</xdr:col>
      <xdr:colOff>31186</xdr:colOff>
      <xdr:row>92</xdr:row>
      <xdr:rowOff>128492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58192C1-FF7C-49A3-BF33-4F70D8F7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0</xdr:colOff>
      <xdr:row>100</xdr:row>
      <xdr:rowOff>992</xdr:rowOff>
    </xdr:from>
    <xdr:to>
      <xdr:col>13</xdr:col>
      <xdr:colOff>165377</xdr:colOff>
      <xdr:row>110</xdr:row>
      <xdr:rowOff>166645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8CCECBF-E2C9-4A05-9C5F-E433B3413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205716</xdr:colOff>
      <xdr:row>100</xdr:row>
      <xdr:rowOff>0</xdr:rowOff>
    </xdr:from>
    <xdr:to>
      <xdr:col>15</xdr:col>
      <xdr:colOff>480407</xdr:colOff>
      <xdr:row>110</xdr:row>
      <xdr:rowOff>165653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B8D2C96-57F1-4800-BD2D-6DAAA9BCF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</xdr:col>
      <xdr:colOff>786741</xdr:colOff>
      <xdr:row>111</xdr:row>
      <xdr:rowOff>25774</xdr:rowOff>
    </xdr:from>
    <xdr:to>
      <xdr:col>14</xdr:col>
      <xdr:colOff>349151</xdr:colOff>
      <xdr:row>122</xdr:row>
      <xdr:rowOff>927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430110D-07FC-4132-84C5-72F11BEE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122465</xdr:colOff>
      <xdr:row>80</xdr:row>
      <xdr:rowOff>81643</xdr:rowOff>
    </xdr:from>
    <xdr:to>
      <xdr:col>20</xdr:col>
      <xdr:colOff>68035</xdr:colOff>
      <xdr:row>92</xdr:row>
      <xdr:rowOff>64458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3AC4DA8-EA6B-4C94-9557-FF2976082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15</xdr:col>
      <xdr:colOff>653143</xdr:colOff>
      <xdr:row>99</xdr:row>
      <xdr:rowOff>177885</xdr:rowOff>
    </xdr:from>
    <xdr:to>
      <xdr:col>18</xdr:col>
      <xdr:colOff>151770</xdr:colOff>
      <xdr:row>110</xdr:row>
      <xdr:rowOff>153038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BE8457A-39C6-4821-A8F8-D077FBDE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192109</xdr:colOff>
      <xdr:row>99</xdr:row>
      <xdr:rowOff>176893</xdr:rowOff>
    </xdr:from>
    <xdr:to>
      <xdr:col>20</xdr:col>
      <xdr:colOff>126621</xdr:colOff>
      <xdr:row>110</xdr:row>
      <xdr:rowOff>152046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D654E15-1754-4BFE-A85D-35DE0892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16</xdr:col>
      <xdr:colOff>664277</xdr:colOff>
      <xdr:row>111</xdr:row>
      <xdr:rowOff>12167</xdr:rowOff>
    </xdr:from>
    <xdr:to>
      <xdr:col>19</xdr:col>
      <xdr:colOff>267508</xdr:colOff>
      <xdr:row>121</xdr:row>
      <xdr:rowOff>177820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500CB0D-0E71-4D4A-9DE0-959A32BE8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21</xdr:col>
      <xdr:colOff>95249</xdr:colOff>
      <xdr:row>80</xdr:row>
      <xdr:rowOff>108858</xdr:rowOff>
    </xdr:from>
    <xdr:to>
      <xdr:col>25</xdr:col>
      <xdr:colOff>285748</xdr:colOff>
      <xdr:row>92</xdr:row>
      <xdr:rowOff>91673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A1E7AA5-36CA-4E14-A543-1F6ABF3B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408215</xdr:colOff>
      <xdr:row>100</xdr:row>
      <xdr:rowOff>41813</xdr:rowOff>
    </xdr:from>
    <xdr:to>
      <xdr:col>22</xdr:col>
      <xdr:colOff>628021</xdr:colOff>
      <xdr:row>111</xdr:row>
      <xdr:rowOff>16966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447CE7E-81D0-4152-8272-865A4795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22</xdr:col>
      <xdr:colOff>668360</xdr:colOff>
      <xdr:row>100</xdr:row>
      <xdr:rowOff>40821</xdr:rowOff>
    </xdr:from>
    <xdr:to>
      <xdr:col>25</xdr:col>
      <xdr:colOff>126622</xdr:colOff>
      <xdr:row>111</xdr:row>
      <xdr:rowOff>15974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BF7FF3D-F84A-48FA-A241-2AAA13747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21</xdr:col>
      <xdr:colOff>419349</xdr:colOff>
      <xdr:row>111</xdr:row>
      <xdr:rowOff>66595</xdr:rowOff>
    </xdr:from>
    <xdr:to>
      <xdr:col>24</xdr:col>
      <xdr:colOff>63402</xdr:colOff>
      <xdr:row>122</xdr:row>
      <xdr:rowOff>41748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329C409-2E4F-4558-9D4A-2B64A06E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27</xdr:col>
      <xdr:colOff>553811</xdr:colOff>
      <xdr:row>100</xdr:row>
      <xdr:rowOff>150671</xdr:rowOff>
    </xdr:from>
    <xdr:to>
      <xdr:col>29</xdr:col>
      <xdr:colOff>410306</xdr:colOff>
      <xdr:row>111</xdr:row>
      <xdr:rowOff>125824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C6A2F9C-598D-4469-AD29-FE3B8B5F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29</xdr:col>
      <xdr:colOff>450645</xdr:colOff>
      <xdr:row>100</xdr:row>
      <xdr:rowOff>149679</xdr:rowOff>
    </xdr:from>
    <xdr:to>
      <xdr:col>31</xdr:col>
      <xdr:colOff>254529</xdr:colOff>
      <xdr:row>111</xdr:row>
      <xdr:rowOff>124832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1ACCE6D-87E6-48B3-82B0-8DCA0B3D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28</xdr:col>
      <xdr:colOff>407102</xdr:colOff>
      <xdr:row>111</xdr:row>
      <xdr:rowOff>175453</xdr:rowOff>
    </xdr:from>
    <xdr:to>
      <xdr:col>30</xdr:col>
      <xdr:colOff>383170</xdr:colOff>
      <xdr:row>122</xdr:row>
      <xdr:rowOff>150606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D78F3E1-F9C0-4ECB-817F-1D2CC4B8B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33</xdr:col>
      <xdr:colOff>435428</xdr:colOff>
      <xdr:row>99</xdr:row>
      <xdr:rowOff>177885</xdr:rowOff>
    </xdr:from>
    <xdr:to>
      <xdr:col>35</xdr:col>
      <xdr:colOff>713745</xdr:colOff>
      <xdr:row>110</xdr:row>
      <xdr:rowOff>153038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A2311F0-276B-476D-B909-5818F5508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35</xdr:col>
      <xdr:colOff>754084</xdr:colOff>
      <xdr:row>99</xdr:row>
      <xdr:rowOff>176893</xdr:rowOff>
    </xdr:from>
    <xdr:to>
      <xdr:col>37</xdr:col>
      <xdr:colOff>530753</xdr:colOff>
      <xdr:row>110</xdr:row>
      <xdr:rowOff>152046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446538B-76F3-4530-8361-4BADFDCF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34</xdr:col>
      <xdr:colOff>615291</xdr:colOff>
      <xdr:row>111</xdr:row>
      <xdr:rowOff>12167</xdr:rowOff>
    </xdr:from>
    <xdr:to>
      <xdr:col>36</xdr:col>
      <xdr:colOff>645787</xdr:colOff>
      <xdr:row>121</xdr:row>
      <xdr:rowOff>177820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61535E65-C22E-41DA-B2CC-9F36A17A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27</xdr:col>
      <xdr:colOff>446314</xdr:colOff>
      <xdr:row>80</xdr:row>
      <xdr:rowOff>108858</xdr:rowOff>
    </xdr:from>
    <xdr:to>
      <xdr:col>30</xdr:col>
      <xdr:colOff>854527</xdr:colOff>
      <xdr:row>92</xdr:row>
      <xdr:rowOff>91673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5DB8F79-5978-41DD-8F54-4C2586660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32</xdr:col>
      <xdr:colOff>598714</xdr:colOff>
      <xdr:row>80</xdr:row>
      <xdr:rowOff>76199</xdr:rowOff>
    </xdr:from>
    <xdr:to>
      <xdr:col>36</xdr:col>
      <xdr:colOff>832756</xdr:colOff>
      <xdr:row>92</xdr:row>
      <xdr:rowOff>59014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7412962-E3D7-44BE-856D-A760ACE0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39</xdr:col>
      <xdr:colOff>43542</xdr:colOff>
      <xdr:row>80</xdr:row>
      <xdr:rowOff>54429</xdr:rowOff>
    </xdr:from>
    <xdr:to>
      <xdr:col>43</xdr:col>
      <xdr:colOff>59870</xdr:colOff>
      <xdr:row>92</xdr:row>
      <xdr:rowOff>37244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A2D9127-A34A-46DF-9A8B-A0B8E846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38</xdr:col>
      <xdr:colOff>522514</xdr:colOff>
      <xdr:row>99</xdr:row>
      <xdr:rowOff>175163</xdr:rowOff>
    </xdr:from>
    <xdr:to>
      <xdr:col>41</xdr:col>
      <xdr:colOff>169460</xdr:colOff>
      <xdr:row>110</xdr:row>
      <xdr:rowOff>150316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892ED8B-D6FB-4C1D-AAB3-4F7EF949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41</xdr:col>
      <xdr:colOff>209799</xdr:colOff>
      <xdr:row>99</xdr:row>
      <xdr:rowOff>174171</xdr:rowOff>
    </xdr:from>
    <xdr:to>
      <xdr:col>43</xdr:col>
      <xdr:colOff>204182</xdr:colOff>
      <xdr:row>110</xdr:row>
      <xdr:rowOff>149324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F91764F-5FA1-4A27-BB49-3E49CE060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40</xdr:col>
      <xdr:colOff>92777</xdr:colOff>
      <xdr:row>111</xdr:row>
      <xdr:rowOff>9445</xdr:rowOff>
    </xdr:from>
    <xdr:to>
      <xdr:col>42</xdr:col>
      <xdr:colOff>221244</xdr:colOff>
      <xdr:row>121</xdr:row>
      <xdr:rowOff>175098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B0A05607-2B5D-4443-BC4E-5DD5EE4E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10</xdr:col>
      <xdr:colOff>560294</xdr:colOff>
      <xdr:row>134</xdr:row>
      <xdr:rowOff>22412</xdr:rowOff>
    </xdr:from>
    <xdr:to>
      <xdr:col>14</xdr:col>
      <xdr:colOff>593911</xdr:colOff>
      <xdr:row>149</xdr:row>
      <xdr:rowOff>89647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ADB7710-0BD1-46FE-9962-7A13A5B6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</xdr:col>
      <xdr:colOff>324971</xdr:colOff>
      <xdr:row>156</xdr:row>
      <xdr:rowOff>79433</xdr:rowOff>
    </xdr:from>
    <xdr:to>
      <xdr:col>12</xdr:col>
      <xdr:colOff>411906</xdr:colOff>
      <xdr:row>167</xdr:row>
      <xdr:rowOff>54586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5CF2DCE-3D74-433A-97AB-4F973F04B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12</xdr:col>
      <xdr:colOff>452245</xdr:colOff>
      <xdr:row>156</xdr:row>
      <xdr:rowOff>78441</xdr:rowOff>
    </xdr:from>
    <xdr:to>
      <xdr:col>14</xdr:col>
      <xdr:colOff>659701</xdr:colOff>
      <xdr:row>167</xdr:row>
      <xdr:rowOff>53594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4790321-51D5-4C7A-A8CC-B3C48DBA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215241</xdr:colOff>
      <xdr:row>167</xdr:row>
      <xdr:rowOff>104215</xdr:rowOff>
    </xdr:from>
    <xdr:to>
      <xdr:col>13</xdr:col>
      <xdr:colOff>584475</xdr:colOff>
      <xdr:row>178</xdr:row>
      <xdr:rowOff>79368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94FE698D-4AC4-4B79-8937-E06710CAE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</xdr:col>
      <xdr:colOff>770281</xdr:colOff>
      <xdr:row>134</xdr:row>
      <xdr:rowOff>24848</xdr:rowOff>
    </xdr:from>
    <xdr:to>
      <xdr:col>20</xdr:col>
      <xdr:colOff>24847</xdr:colOff>
      <xdr:row>149</xdr:row>
      <xdr:rowOff>92083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30F663C-7EDA-4485-8B21-F7323A17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496957</xdr:colOff>
      <xdr:row>156</xdr:row>
      <xdr:rowOff>92102</xdr:rowOff>
    </xdr:from>
    <xdr:to>
      <xdr:col>17</xdr:col>
      <xdr:colOff>799240</xdr:colOff>
      <xdr:row>167</xdr:row>
      <xdr:rowOff>67255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7EC8C45B-CA4A-41D3-B9FA-300203B5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18</xdr:col>
      <xdr:colOff>36166</xdr:colOff>
      <xdr:row>156</xdr:row>
      <xdr:rowOff>91110</xdr:rowOff>
    </xdr:from>
    <xdr:to>
      <xdr:col>19</xdr:col>
      <xdr:colOff>989057</xdr:colOff>
      <xdr:row>167</xdr:row>
      <xdr:rowOff>66263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458DA2B-C21E-4ECD-BECA-0CC30DF35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15</xdr:col>
      <xdr:colOff>683656</xdr:colOff>
      <xdr:row>167</xdr:row>
      <xdr:rowOff>136936</xdr:rowOff>
    </xdr:from>
    <xdr:to>
      <xdr:col>19</xdr:col>
      <xdr:colOff>606592</xdr:colOff>
      <xdr:row>181</xdr:row>
      <xdr:rowOff>150395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B3D283B-195C-4037-9D9A-D47800A79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20</xdr:col>
      <xdr:colOff>695739</xdr:colOff>
      <xdr:row>133</xdr:row>
      <xdr:rowOff>190499</xdr:rowOff>
    </xdr:from>
    <xdr:to>
      <xdr:col>25</xdr:col>
      <xdr:colOff>49696</xdr:colOff>
      <xdr:row>149</xdr:row>
      <xdr:rowOff>67234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338D415-379B-42E6-9D9A-7DB0F995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438977</xdr:colOff>
      <xdr:row>156</xdr:row>
      <xdr:rowOff>150079</xdr:rowOff>
    </xdr:from>
    <xdr:to>
      <xdr:col>22</xdr:col>
      <xdr:colOff>658434</xdr:colOff>
      <xdr:row>167</xdr:row>
      <xdr:rowOff>125232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B2BA3CB6-D458-40B3-8927-AA3DF7286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22</xdr:col>
      <xdr:colOff>698773</xdr:colOff>
      <xdr:row>156</xdr:row>
      <xdr:rowOff>149087</xdr:rowOff>
    </xdr:from>
    <xdr:to>
      <xdr:col>25</xdr:col>
      <xdr:colOff>160795</xdr:colOff>
      <xdr:row>167</xdr:row>
      <xdr:rowOff>124240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288AE0D-9625-4316-AF19-514D7CA87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21</xdr:col>
      <xdr:colOff>445204</xdr:colOff>
      <xdr:row>167</xdr:row>
      <xdr:rowOff>174861</xdr:rowOff>
    </xdr:from>
    <xdr:to>
      <xdr:col>24</xdr:col>
      <xdr:colOff>93852</xdr:colOff>
      <xdr:row>178</xdr:row>
      <xdr:rowOff>150014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1370B79-058A-480D-B07B-A4C6A5BB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27</xdr:col>
      <xdr:colOff>248478</xdr:colOff>
      <xdr:row>133</xdr:row>
      <xdr:rowOff>157370</xdr:rowOff>
    </xdr:from>
    <xdr:to>
      <xdr:col>30</xdr:col>
      <xdr:colOff>588065</xdr:colOff>
      <xdr:row>149</xdr:row>
      <xdr:rowOff>34105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084A1BF-46C0-47D2-83AC-5B5923222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27</xdr:col>
      <xdr:colOff>74543</xdr:colOff>
      <xdr:row>156</xdr:row>
      <xdr:rowOff>17557</xdr:rowOff>
    </xdr:from>
    <xdr:to>
      <xdr:col>28</xdr:col>
      <xdr:colOff>956609</xdr:colOff>
      <xdr:row>166</xdr:row>
      <xdr:rowOff>183210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13902C5-C0C2-4707-9290-7621A4B3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28</xdr:col>
      <xdr:colOff>996948</xdr:colOff>
      <xdr:row>156</xdr:row>
      <xdr:rowOff>16565</xdr:rowOff>
    </xdr:from>
    <xdr:to>
      <xdr:col>30</xdr:col>
      <xdr:colOff>781991</xdr:colOff>
      <xdr:row>166</xdr:row>
      <xdr:rowOff>182218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381E360-B2CA-4E15-9AE3-AA655301F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27</xdr:col>
      <xdr:colOff>859335</xdr:colOff>
      <xdr:row>167</xdr:row>
      <xdr:rowOff>42339</xdr:rowOff>
    </xdr:from>
    <xdr:to>
      <xdr:col>29</xdr:col>
      <xdr:colOff>913831</xdr:colOff>
      <xdr:row>178</xdr:row>
      <xdr:rowOff>17492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D8B40EAB-38DE-470F-B672-A107F5F30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33</xdr:col>
      <xdr:colOff>107674</xdr:colOff>
      <xdr:row>133</xdr:row>
      <xdr:rowOff>140804</xdr:rowOff>
    </xdr:from>
    <xdr:to>
      <xdr:col>36</xdr:col>
      <xdr:colOff>836543</xdr:colOff>
      <xdr:row>149</xdr:row>
      <xdr:rowOff>17539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0281706-C995-485D-80E7-6050D4BEC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32</xdr:col>
      <xdr:colOff>455544</xdr:colOff>
      <xdr:row>156</xdr:row>
      <xdr:rowOff>17557</xdr:rowOff>
    </xdr:from>
    <xdr:to>
      <xdr:col>35</xdr:col>
      <xdr:colOff>120066</xdr:colOff>
      <xdr:row>166</xdr:row>
      <xdr:rowOff>183210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E1E378B-DF7C-4A27-BD48-6F1DE9E64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35</xdr:col>
      <xdr:colOff>160405</xdr:colOff>
      <xdr:row>156</xdr:row>
      <xdr:rowOff>16565</xdr:rowOff>
    </xdr:from>
    <xdr:to>
      <xdr:col>36</xdr:col>
      <xdr:colOff>939361</xdr:colOff>
      <xdr:row>166</xdr:row>
      <xdr:rowOff>182218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D2EA3DB-C905-4FDC-80FC-B91F3A08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34</xdr:col>
      <xdr:colOff>14510</xdr:colOff>
      <xdr:row>167</xdr:row>
      <xdr:rowOff>42339</xdr:rowOff>
    </xdr:from>
    <xdr:to>
      <xdr:col>36</xdr:col>
      <xdr:colOff>52440</xdr:colOff>
      <xdr:row>178</xdr:row>
      <xdr:rowOff>17492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633ECD9D-33E5-4696-BB97-F7FC469C8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39</xdr:col>
      <xdr:colOff>157370</xdr:colOff>
      <xdr:row>133</xdr:row>
      <xdr:rowOff>165653</xdr:rowOff>
    </xdr:from>
    <xdr:to>
      <xdr:col>43</xdr:col>
      <xdr:colOff>91109</xdr:colOff>
      <xdr:row>149</xdr:row>
      <xdr:rowOff>42388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85606281-A2F5-4F6C-91A0-148A09B9F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38</xdr:col>
      <xdr:colOff>356152</xdr:colOff>
      <xdr:row>156</xdr:row>
      <xdr:rowOff>9275</xdr:rowOff>
    </xdr:from>
    <xdr:to>
      <xdr:col>41</xdr:col>
      <xdr:colOff>4109</xdr:colOff>
      <xdr:row>166</xdr:row>
      <xdr:rowOff>174928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EAAC29B2-6A3F-459C-B445-E97241F0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41</xdr:col>
      <xdr:colOff>44448</xdr:colOff>
      <xdr:row>156</xdr:row>
      <xdr:rowOff>8283</xdr:rowOff>
    </xdr:from>
    <xdr:to>
      <xdr:col>43</xdr:col>
      <xdr:colOff>44839</xdr:colOff>
      <xdr:row>166</xdr:row>
      <xdr:rowOff>173936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D0849E7F-E310-454B-A62D-B5C0F3A8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39</xdr:col>
      <xdr:colOff>528031</xdr:colOff>
      <xdr:row>167</xdr:row>
      <xdr:rowOff>34057</xdr:rowOff>
    </xdr:from>
    <xdr:to>
      <xdr:col>42</xdr:col>
      <xdr:colOff>52440</xdr:colOff>
      <xdr:row>178</xdr:row>
      <xdr:rowOff>9210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3BC985B-7A06-405D-980C-6F4127764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3"/>
  <sheetViews>
    <sheetView topLeftCell="AC1" zoomScale="115" zoomScaleNormal="115" workbookViewId="0">
      <selection activeCell="AI31" sqref="AI31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9.5703125" customWidth="1"/>
  </cols>
  <sheetData>
    <row r="1" spans="1:58" x14ac:dyDescent="0.25">
      <c r="AC1" s="68" t="s">
        <v>153</v>
      </c>
      <c r="AD1" s="68"/>
      <c r="AE1" s="68"/>
      <c r="AF1" s="68"/>
      <c r="AG1" s="68"/>
      <c r="AH1" s="68"/>
      <c r="AJ1" s="68" t="s">
        <v>154</v>
      </c>
      <c r="AK1" s="68"/>
      <c r="AL1" s="68"/>
      <c r="AM1" s="68"/>
      <c r="AN1" s="68"/>
      <c r="AO1" s="68"/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102</v>
      </c>
      <c r="M2" s="1" t="s">
        <v>101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C2" s="1" t="s">
        <v>60</v>
      </c>
      <c r="AD2" s="1" t="s">
        <v>59</v>
      </c>
      <c r="AE2" s="1" t="s">
        <v>58</v>
      </c>
      <c r="AF2" s="1" t="s">
        <v>57</v>
      </c>
      <c r="AG2" s="1" t="s">
        <v>56</v>
      </c>
      <c r="AH2" s="1" t="s">
        <v>55</v>
      </c>
      <c r="AJ2" s="1" t="s">
        <v>60</v>
      </c>
      <c r="AK2" s="1" t="s">
        <v>59</v>
      </c>
      <c r="AL2" s="1" t="s">
        <v>58</v>
      </c>
      <c r="AM2" s="1" t="s">
        <v>57</v>
      </c>
      <c r="AN2" s="1" t="s">
        <v>56</v>
      </c>
      <c r="AO2" s="1" t="s">
        <v>55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</row>
    <row r="3" spans="1:58" x14ac:dyDescent="0.25">
      <c r="A3" s="2">
        <v>167</v>
      </c>
      <c r="B3" s="2">
        <v>128</v>
      </c>
      <c r="C3" s="2">
        <v>41</v>
      </c>
      <c r="D3" s="2">
        <v>48</v>
      </c>
      <c r="E3" s="5">
        <v>0.104819100180613</v>
      </c>
      <c r="F3" s="5">
        <v>3.3154403752457901E-2</v>
      </c>
      <c r="G3" s="5">
        <v>2.2914216154744201E-2</v>
      </c>
      <c r="H3" s="16">
        <f t="shared" ref="H3:M3" si="0">BA3/($D3-$C3)</f>
        <v>0.8571428571428571</v>
      </c>
      <c r="I3" s="16">
        <f t="shared" si="0"/>
        <v>2.2857142857142856</v>
      </c>
      <c r="J3" s="16">
        <f t="shared" si="0"/>
        <v>13.714285714285714</v>
      </c>
      <c r="K3" s="16">
        <f t="shared" si="0"/>
        <v>37.714285714285715</v>
      </c>
      <c r="L3" s="16">
        <f t="shared" si="0"/>
        <v>86.285714285714292</v>
      </c>
      <c r="M3" s="16">
        <f t="shared" si="0"/>
        <v>139.71428571428572</v>
      </c>
      <c r="N3" s="33"/>
      <c r="O3">
        <v>6.4069250048013796E-2</v>
      </c>
      <c r="P3">
        <v>0.17940701762775299</v>
      </c>
      <c r="Q3">
        <v>0.59727911911144405</v>
      </c>
      <c r="R3">
        <v>2.1218818406845701</v>
      </c>
      <c r="S3">
        <v>8.4875273627382803</v>
      </c>
      <c r="T3">
        <v>33.9501094509531</v>
      </c>
      <c r="V3">
        <v>0.104819100180613</v>
      </c>
      <c r="W3">
        <v>0.41927640072245398</v>
      </c>
      <c r="X3">
        <v>1.6771056028898099</v>
      </c>
      <c r="Y3">
        <v>6.7084224115592699</v>
      </c>
      <c r="Z3">
        <v>26.833689646237001</v>
      </c>
      <c r="AA3">
        <v>107.33475858494801</v>
      </c>
      <c r="AC3" s="1">
        <f>H3/$E3</f>
        <v>8.1773537042955038</v>
      </c>
      <c r="AD3" s="1">
        <f>I3/$E3</f>
        <v>21.806276544788009</v>
      </c>
      <c r="AE3" s="1">
        <f>J3/$E3</f>
        <v>130.83765926872806</v>
      </c>
      <c r="AF3" s="1">
        <f t="shared" ref="AF3:AH3" si="1">K3/$E3</f>
        <v>359.80356298900216</v>
      </c>
      <c r="AG3" s="1">
        <f t="shared" si="1"/>
        <v>823.18693956574737</v>
      </c>
      <c r="AH3" s="1">
        <f t="shared" si="1"/>
        <v>1332.908653800167</v>
      </c>
      <c r="AJ3" s="13">
        <f>H3*$E3</f>
        <v>8.984494301195399E-2</v>
      </c>
      <c r="AK3" s="13">
        <f>I3*$E3</f>
        <v>0.23958651469854397</v>
      </c>
      <c r="AL3" s="13">
        <f t="shared" ref="AK3:AO18" si="2">J3*$E3</f>
        <v>1.4375190881912638</v>
      </c>
      <c r="AM3" s="13">
        <f t="shared" si="2"/>
        <v>3.9531774925259757</v>
      </c>
      <c r="AN3" s="13">
        <f t="shared" si="2"/>
        <v>9.0443909298700369</v>
      </c>
      <c r="AO3" s="13">
        <f>M3*$E3</f>
        <v>14.644725710948503</v>
      </c>
      <c r="BA3" s="1">
        <v>6</v>
      </c>
      <c r="BB3" s="1">
        <v>16</v>
      </c>
      <c r="BC3" s="1">
        <v>96</v>
      </c>
      <c r="BD3" s="1">
        <v>264</v>
      </c>
      <c r="BE3" s="1">
        <v>604</v>
      </c>
      <c r="BF3" s="1">
        <v>978</v>
      </c>
    </row>
    <row r="4" spans="1:58" x14ac:dyDescent="0.25">
      <c r="A4" s="2">
        <v>6</v>
      </c>
      <c r="B4" s="2">
        <v>128</v>
      </c>
      <c r="C4" s="2">
        <v>80</v>
      </c>
      <c r="D4" s="2">
        <v>90</v>
      </c>
      <c r="E4" s="5">
        <v>5.1422303101187901E-2</v>
      </c>
      <c r="F4" s="5">
        <v>1.43345982575964E-2</v>
      </c>
      <c r="G4" s="5">
        <v>7.2966466530169603E-3</v>
      </c>
      <c r="H4" s="16">
        <f t="shared" ref="H4:H38" si="3">BA4/(D4-C4)</f>
        <v>0.2</v>
      </c>
      <c r="I4" s="16">
        <f t="shared" ref="I4:I38" si="4">BB4/($D4-$C4)</f>
        <v>0.8</v>
      </c>
      <c r="J4" s="16">
        <f t="shared" ref="J4:J38" si="5">BC4/($D4-$C4)</f>
        <v>6.5</v>
      </c>
      <c r="K4" s="16">
        <f t="shared" ref="K4:K38" si="6">BD4/($D4-$C4)</f>
        <v>19.5</v>
      </c>
      <c r="L4" s="16">
        <f t="shared" ref="L4:L38" si="7">BE4/($D4-$C4)</f>
        <v>62.8</v>
      </c>
      <c r="M4" s="16">
        <f t="shared" ref="M4:M38" si="8">BF4/($D4-$C4)</f>
        <v>169</v>
      </c>
      <c r="N4" s="33"/>
      <c r="O4">
        <v>5.1422303616638097E-2</v>
      </c>
      <c r="P4">
        <v>0.136504884052633</v>
      </c>
      <c r="Q4">
        <v>0.26754282688021702</v>
      </c>
      <c r="R4">
        <v>0.98750358289623297</v>
      </c>
      <c r="S4">
        <v>3.6696571758817198</v>
      </c>
      <c r="T4">
        <v>14.678628703526799</v>
      </c>
      <c r="V4">
        <v>5.1422303101187901E-2</v>
      </c>
      <c r="W4">
        <v>0.20568921240475099</v>
      </c>
      <c r="X4">
        <v>0.82275684961900697</v>
      </c>
      <c r="Y4">
        <v>3.2910273984760301</v>
      </c>
      <c r="Z4">
        <v>13.164109593904101</v>
      </c>
      <c r="AA4">
        <v>52.656438375616403</v>
      </c>
      <c r="AC4" s="1">
        <f t="shared" ref="AC4:AC38" si="9">H4/E4</f>
        <v>3.8893629405599266</v>
      </c>
      <c r="AD4" s="1">
        <f t="shared" ref="AD4:AD38" si="10">I4/$E4</f>
        <v>15.557451762239706</v>
      </c>
      <c r="AE4" s="1">
        <f t="shared" ref="AE4:AE38" si="11">J4/$E4</f>
        <v>126.40429556819761</v>
      </c>
      <c r="AF4" s="1">
        <f t="shared" ref="AF4:AF38" si="12">K4/$E4</f>
        <v>379.21288670459285</v>
      </c>
      <c r="AG4" s="1">
        <f t="shared" ref="AG4:AG38" si="13">L4/$E4</f>
        <v>1221.2599633358168</v>
      </c>
      <c r="AH4" s="1">
        <f t="shared" ref="AH4:AH38" si="14">M4/$E4</f>
        <v>3286.5116847731379</v>
      </c>
      <c r="AJ4" s="13">
        <f t="shared" ref="AJ4:AJ38" si="15">H4*$E4</f>
        <v>1.0284460620237581E-2</v>
      </c>
      <c r="AK4" s="13">
        <f t="shared" si="2"/>
        <v>4.1137842480950322E-2</v>
      </c>
      <c r="AL4" s="13">
        <f t="shared" si="2"/>
        <v>0.33424497015772137</v>
      </c>
      <c r="AM4" s="13">
        <f t="shared" si="2"/>
        <v>1.002734910473164</v>
      </c>
      <c r="AN4" s="13">
        <f t="shared" si="2"/>
        <v>3.2293206347546</v>
      </c>
      <c r="AO4" s="13">
        <f t="shared" si="2"/>
        <v>8.6903692241007544</v>
      </c>
      <c r="BA4" s="1">
        <v>2</v>
      </c>
      <c r="BB4" s="1">
        <v>8</v>
      </c>
      <c r="BC4" s="1">
        <v>65</v>
      </c>
      <c r="BD4" s="1">
        <v>195</v>
      </c>
      <c r="BE4" s="1">
        <v>628</v>
      </c>
      <c r="BF4" s="1">
        <v>1690</v>
      </c>
    </row>
    <row r="5" spans="1:58" x14ac:dyDescent="0.25">
      <c r="A5" s="2">
        <v>8</v>
      </c>
      <c r="B5" s="2">
        <v>128</v>
      </c>
      <c r="C5" s="2">
        <v>115</v>
      </c>
      <c r="D5" s="2">
        <v>125</v>
      </c>
      <c r="E5" s="5">
        <v>0.161944718485239</v>
      </c>
      <c r="F5" s="5">
        <v>3.2526116479269097E-2</v>
      </c>
      <c r="G5" s="5">
        <v>7.7989329746457701E-3</v>
      </c>
      <c r="H5" s="16">
        <f t="shared" si="3"/>
        <v>1</v>
      </c>
      <c r="I5" s="16">
        <f t="shared" si="4"/>
        <v>3.1</v>
      </c>
      <c r="J5" s="16">
        <f t="shared" si="5"/>
        <v>8.9</v>
      </c>
      <c r="K5" s="16">
        <f t="shared" si="6"/>
        <v>23</v>
      </c>
      <c r="L5" s="16">
        <f t="shared" si="7"/>
        <v>50.9</v>
      </c>
      <c r="M5" s="16">
        <f t="shared" si="8"/>
        <v>149.30000000000001</v>
      </c>
      <c r="N5" s="33"/>
      <c r="O5">
        <v>9.4968206718967205E-2</v>
      </c>
      <c r="P5">
        <v>0.31788484763340902</v>
      </c>
      <c r="Q5">
        <v>0.78149567271952003</v>
      </c>
      <c r="R5">
        <v>2.2740324054836099</v>
      </c>
      <c r="S5">
        <v>8.3266858207082599</v>
      </c>
      <c r="T5">
        <v>33.306743282832997</v>
      </c>
      <c r="V5">
        <v>0.161944718485239</v>
      </c>
      <c r="W5">
        <v>0.64777887394095901</v>
      </c>
      <c r="X5">
        <v>2.5911154957638298</v>
      </c>
      <c r="Y5">
        <v>10.3644619830553</v>
      </c>
      <c r="Z5">
        <v>41.457847932221398</v>
      </c>
      <c r="AA5">
        <v>165.831391728885</v>
      </c>
      <c r="AC5" s="1">
        <f t="shared" si="9"/>
        <v>6.1749466691693833</v>
      </c>
      <c r="AD5" s="1">
        <f t="shared" si="10"/>
        <v>19.142334674425086</v>
      </c>
      <c r="AE5" s="1">
        <f t="shared" si="11"/>
        <v>54.957025355607513</v>
      </c>
      <c r="AF5" s="1">
        <f t="shared" si="12"/>
        <v>142.0237733908958</v>
      </c>
      <c r="AG5" s="1">
        <f t="shared" si="13"/>
        <v>314.30478546072158</v>
      </c>
      <c r="AH5" s="1">
        <f t="shared" si="14"/>
        <v>921.91953770698899</v>
      </c>
      <c r="AJ5" s="13">
        <f t="shared" si="15"/>
        <v>0.161944718485239</v>
      </c>
      <c r="AK5" s="13">
        <f t="shared" si="2"/>
        <v>0.50202862730424092</v>
      </c>
      <c r="AL5" s="13">
        <f t="shared" si="2"/>
        <v>1.4413079945186271</v>
      </c>
      <c r="AM5" s="13">
        <f t="shared" si="2"/>
        <v>3.7247285251604971</v>
      </c>
      <c r="AN5" s="13">
        <f t="shared" si="2"/>
        <v>8.2429861708986643</v>
      </c>
      <c r="AO5" s="13">
        <f t="shared" si="2"/>
        <v>24.178346469846186</v>
      </c>
      <c r="BA5" s="1">
        <v>10</v>
      </c>
      <c r="BB5" s="1">
        <v>31</v>
      </c>
      <c r="BC5" s="1">
        <v>89</v>
      </c>
      <c r="BD5" s="1">
        <v>230</v>
      </c>
      <c r="BE5" s="1">
        <v>509</v>
      </c>
      <c r="BF5" s="1">
        <v>1493</v>
      </c>
    </row>
    <row r="6" spans="1:58" x14ac:dyDescent="0.25">
      <c r="A6" s="2">
        <v>168</v>
      </c>
      <c r="B6" s="2">
        <v>128</v>
      </c>
      <c r="C6" s="2">
        <v>150</v>
      </c>
      <c r="D6" s="2">
        <v>160</v>
      </c>
      <c r="E6" s="5">
        <v>8.9416636847151898E-2</v>
      </c>
      <c r="F6" s="5">
        <v>2.1060905578879598E-2</v>
      </c>
      <c r="G6" s="5">
        <v>9.6694169987568603E-3</v>
      </c>
      <c r="H6" s="16">
        <f t="shared" si="3"/>
        <v>0.4</v>
      </c>
      <c r="I6" s="16">
        <f t="shared" si="4"/>
        <v>1.6</v>
      </c>
      <c r="J6" s="16">
        <f t="shared" si="5"/>
        <v>11</v>
      </c>
      <c r="K6" s="16">
        <f t="shared" si="6"/>
        <v>25.5</v>
      </c>
      <c r="L6" s="16">
        <f t="shared" si="7"/>
        <v>48.9</v>
      </c>
      <c r="M6" s="16">
        <f t="shared" si="8"/>
        <v>135.1</v>
      </c>
      <c r="N6" s="33"/>
      <c r="O6">
        <v>5.6005964760614799E-2</v>
      </c>
      <c r="P6">
        <v>0.16309275016740199</v>
      </c>
      <c r="Q6">
        <v>0.449858505678978</v>
      </c>
      <c r="R6">
        <v>1.61414237742101</v>
      </c>
      <c r="S6">
        <v>5.3915917727487104</v>
      </c>
      <c r="T6">
        <v>21.566367090994799</v>
      </c>
      <c r="V6">
        <v>8.9416636847151898E-2</v>
      </c>
      <c r="W6">
        <v>0.35766654738860698</v>
      </c>
      <c r="X6">
        <v>1.4306661895544299</v>
      </c>
      <c r="Y6">
        <v>5.7226647582177197</v>
      </c>
      <c r="Z6">
        <v>22.890659032870801</v>
      </c>
      <c r="AA6">
        <v>91.562636131483501</v>
      </c>
      <c r="AC6" s="1">
        <f t="shared" si="9"/>
        <v>4.4734404480427612</v>
      </c>
      <c r="AD6" s="1">
        <f t="shared" si="10"/>
        <v>17.893761792171045</v>
      </c>
      <c r="AE6" s="1">
        <f t="shared" si="11"/>
        <v>123.01961232117591</v>
      </c>
      <c r="AF6" s="1">
        <f t="shared" si="12"/>
        <v>285.18182856272597</v>
      </c>
      <c r="AG6" s="1">
        <f t="shared" si="13"/>
        <v>546.87809477322742</v>
      </c>
      <c r="AH6" s="1">
        <f t="shared" si="14"/>
        <v>1510.9045113264424</v>
      </c>
      <c r="AJ6" s="13">
        <f t="shared" si="15"/>
        <v>3.5766654738860759E-2</v>
      </c>
      <c r="AK6" s="13">
        <f t="shared" si="2"/>
        <v>0.14306661895544304</v>
      </c>
      <c r="AL6" s="13">
        <f t="shared" si="2"/>
        <v>0.98358300531867093</v>
      </c>
      <c r="AM6" s="13">
        <f t="shared" si="2"/>
        <v>2.2801242396023733</v>
      </c>
      <c r="AN6" s="13">
        <f t="shared" si="2"/>
        <v>4.3724735418257277</v>
      </c>
      <c r="AO6" s="13">
        <f t="shared" si="2"/>
        <v>12.080187638050221</v>
      </c>
      <c r="BA6" s="1">
        <v>4</v>
      </c>
      <c r="BB6" s="1">
        <v>16</v>
      </c>
      <c r="BC6" s="1">
        <v>110</v>
      </c>
      <c r="BD6" s="1">
        <v>255</v>
      </c>
      <c r="BE6" s="1">
        <v>489</v>
      </c>
      <c r="BF6" s="1">
        <v>1351</v>
      </c>
    </row>
    <row r="7" spans="1:58" x14ac:dyDescent="0.25">
      <c r="A7" s="2">
        <v>150</v>
      </c>
      <c r="B7" s="2">
        <v>90</v>
      </c>
      <c r="C7" s="2">
        <v>194</v>
      </c>
      <c r="D7" s="2">
        <v>199</v>
      </c>
      <c r="E7" s="5">
        <v>4.68499378365069E-2</v>
      </c>
      <c r="F7" s="5">
        <v>1.9737041545963101E-2</v>
      </c>
      <c r="G7" s="5">
        <v>1.1301251811562101E-2</v>
      </c>
      <c r="H7" s="16">
        <f t="shared" si="3"/>
        <v>0.4</v>
      </c>
      <c r="I7" s="16">
        <f t="shared" si="4"/>
        <v>3.2</v>
      </c>
      <c r="J7" s="16">
        <f t="shared" si="5"/>
        <v>8.1999999999999993</v>
      </c>
      <c r="K7" s="16">
        <f t="shared" si="6"/>
        <v>27.8</v>
      </c>
      <c r="L7" s="16">
        <f t="shared" si="7"/>
        <v>82.8</v>
      </c>
      <c r="M7" s="16">
        <f t="shared" si="8"/>
        <v>176.4</v>
      </c>
      <c r="N7" s="33"/>
      <c r="O7">
        <v>4.6849938207403699E-2</v>
      </c>
      <c r="P7">
        <v>0.12535462962986799</v>
      </c>
      <c r="Q7">
        <v>0.44063655773576799</v>
      </c>
      <c r="R7">
        <v>1.4715502319528799</v>
      </c>
      <c r="S7">
        <v>5.0526826474058097</v>
      </c>
      <c r="T7">
        <v>20.2107305896232</v>
      </c>
      <c r="V7">
        <v>4.68499378365069E-2</v>
      </c>
      <c r="W7">
        <v>0.18739975134602699</v>
      </c>
      <c r="X7">
        <v>0.74959900538411095</v>
      </c>
      <c r="Y7">
        <v>2.9983960215364398</v>
      </c>
      <c r="Z7">
        <v>11.993584086145701</v>
      </c>
      <c r="AA7">
        <v>47.974336344583101</v>
      </c>
      <c r="AC7" s="1">
        <f t="shared" si="9"/>
        <v>8.5378982016131477</v>
      </c>
      <c r="AD7" s="1">
        <f t="shared" si="10"/>
        <v>68.303185612905182</v>
      </c>
      <c r="AE7" s="1">
        <f t="shared" si="11"/>
        <v>175.02691313306951</v>
      </c>
      <c r="AF7" s="1">
        <f t="shared" si="12"/>
        <v>593.38392501211376</v>
      </c>
      <c r="AG7" s="1">
        <f t="shared" si="13"/>
        <v>1767.3449277339214</v>
      </c>
      <c r="AH7" s="1">
        <f t="shared" si="14"/>
        <v>3765.213106911398</v>
      </c>
      <c r="AJ7" s="13">
        <f t="shared" si="15"/>
        <v>1.8739975134602762E-2</v>
      </c>
      <c r="AK7" s="13">
        <f t="shared" si="2"/>
        <v>0.1499198010768221</v>
      </c>
      <c r="AL7" s="13">
        <f t="shared" si="2"/>
        <v>0.38416949025935654</v>
      </c>
      <c r="AM7" s="13">
        <f t="shared" si="2"/>
        <v>1.3024282718548919</v>
      </c>
      <c r="AN7" s="13">
        <f t="shared" si="2"/>
        <v>3.879174852862771</v>
      </c>
      <c r="AO7" s="13">
        <f t="shared" si="2"/>
        <v>8.2643290343598181</v>
      </c>
      <c r="BA7" s="1">
        <v>2</v>
      </c>
      <c r="BB7" s="1">
        <v>16</v>
      </c>
      <c r="BC7" s="1">
        <v>41</v>
      </c>
      <c r="BD7" s="1">
        <v>139</v>
      </c>
      <c r="BE7" s="1">
        <v>414</v>
      </c>
      <c r="BF7" s="1">
        <v>882</v>
      </c>
    </row>
    <row r="8" spans="1:58" x14ac:dyDescent="0.25">
      <c r="A8" s="2">
        <v>11</v>
      </c>
      <c r="B8" s="2">
        <v>90</v>
      </c>
      <c r="C8" s="2">
        <v>226</v>
      </c>
      <c r="D8" s="2">
        <v>234</v>
      </c>
      <c r="E8" s="5">
        <v>5.1754391722476999E-2</v>
      </c>
      <c r="F8" s="5">
        <v>2.3629413923689099E-2</v>
      </c>
      <c r="G8" s="5">
        <v>3.0143536797057099E-2</v>
      </c>
      <c r="H8" s="16">
        <f t="shared" si="3"/>
        <v>0.75</v>
      </c>
      <c r="I8" s="16">
        <f t="shared" si="4"/>
        <v>3.625</v>
      </c>
      <c r="J8" s="16">
        <f t="shared" si="5"/>
        <v>12.75</v>
      </c>
      <c r="K8" s="16">
        <f t="shared" si="6"/>
        <v>30.75</v>
      </c>
      <c r="L8" s="16">
        <f t="shared" si="7"/>
        <v>61.625</v>
      </c>
      <c r="M8" s="16">
        <f t="shared" si="8"/>
        <v>166.125</v>
      </c>
      <c r="N8" s="33"/>
      <c r="O8">
        <v>3.9406083818281298E-2</v>
      </c>
      <c r="P8">
        <v>0.15393753693111001</v>
      </c>
      <c r="Q8">
        <v>0.46926879178815301</v>
      </c>
      <c r="R8">
        <v>1.6679355265670801</v>
      </c>
      <c r="S8">
        <v>6.0491299651584196</v>
      </c>
      <c r="T8">
        <v>24.1965198606337</v>
      </c>
      <c r="V8">
        <v>5.1754391722476999E-2</v>
      </c>
      <c r="W8">
        <v>0.20701756688990799</v>
      </c>
      <c r="X8">
        <v>0.82807026755963298</v>
      </c>
      <c r="Y8">
        <v>3.3122810702385301</v>
      </c>
      <c r="Z8">
        <v>13.249124280954099</v>
      </c>
      <c r="AA8">
        <v>52.996497123816503</v>
      </c>
      <c r="AC8" s="1">
        <f t="shared" si="9"/>
        <v>14.491523811577792</v>
      </c>
      <c r="AD8" s="1">
        <f t="shared" si="10"/>
        <v>70.042365089292659</v>
      </c>
      <c r="AE8" s="1">
        <f t="shared" si="11"/>
        <v>246.35590479682247</v>
      </c>
      <c r="AF8" s="1">
        <f t="shared" si="12"/>
        <v>594.15247627468943</v>
      </c>
      <c r="AG8" s="1">
        <f t="shared" si="13"/>
        <v>1190.7202065179752</v>
      </c>
      <c r="AH8" s="1">
        <f t="shared" si="14"/>
        <v>3209.8725242644809</v>
      </c>
      <c r="AJ8" s="13">
        <f t="shared" si="15"/>
        <v>3.8815793791857747E-2</v>
      </c>
      <c r="AK8" s="13">
        <f t="shared" si="2"/>
        <v>0.18760966999397913</v>
      </c>
      <c r="AL8" s="13">
        <f t="shared" si="2"/>
        <v>0.65986849446158169</v>
      </c>
      <c r="AM8" s="13">
        <f t="shared" si="2"/>
        <v>1.5914475454661676</v>
      </c>
      <c r="AN8" s="13">
        <f t="shared" si="2"/>
        <v>3.1893643898976451</v>
      </c>
      <c r="AO8" s="13">
        <f t="shared" si="2"/>
        <v>8.5976983248964913</v>
      </c>
      <c r="BA8" s="1">
        <v>6</v>
      </c>
      <c r="BB8" s="1">
        <v>29</v>
      </c>
      <c r="BC8" s="1">
        <v>102</v>
      </c>
      <c r="BD8" s="1">
        <v>246</v>
      </c>
      <c r="BE8" s="1">
        <v>493</v>
      </c>
      <c r="BF8" s="1">
        <v>1329</v>
      </c>
    </row>
    <row r="9" spans="1:58" x14ac:dyDescent="0.25">
      <c r="A9" s="2">
        <v>22</v>
      </c>
      <c r="B9" s="2">
        <v>90</v>
      </c>
      <c r="C9" s="2">
        <v>265</v>
      </c>
      <c r="D9" s="2">
        <v>275</v>
      </c>
      <c r="E9" s="5">
        <v>6.2688332148029005E-2</v>
      </c>
      <c r="F9" s="5">
        <v>1.8357479777712401E-2</v>
      </c>
      <c r="G9" s="5">
        <v>5.3392743586913897E-3</v>
      </c>
      <c r="H9" s="16">
        <f t="shared" si="3"/>
        <v>0.3</v>
      </c>
      <c r="I9" s="16">
        <f t="shared" si="4"/>
        <v>2.1</v>
      </c>
      <c r="J9" s="16">
        <f t="shared" si="5"/>
        <v>9.1</v>
      </c>
      <c r="K9" s="16">
        <f t="shared" si="6"/>
        <v>21.2</v>
      </c>
      <c r="L9" s="16">
        <f t="shared" si="7"/>
        <v>66</v>
      </c>
      <c r="M9" s="16">
        <f t="shared" si="8"/>
        <v>158.1</v>
      </c>
      <c r="N9" s="33"/>
      <c r="O9">
        <v>4.5463397559226001E-2</v>
      </c>
      <c r="P9">
        <v>0.16338445100562901</v>
      </c>
      <c r="Q9">
        <v>0.426009200925964</v>
      </c>
      <c r="R9">
        <v>1.2687679005852299</v>
      </c>
      <c r="S9">
        <v>4.6995148199797203</v>
      </c>
      <c r="T9">
        <v>18.7980592799188</v>
      </c>
      <c r="V9">
        <v>4.5463397884194803E-2</v>
      </c>
      <c r="W9">
        <v>0.25075332859211602</v>
      </c>
      <c r="X9">
        <v>1.0030133143684601</v>
      </c>
      <c r="Y9">
        <v>4.0120532574738599</v>
      </c>
      <c r="Z9">
        <v>16.0482130298954</v>
      </c>
      <c r="AA9">
        <v>64.192852119581701</v>
      </c>
      <c r="AC9" s="1">
        <f t="shared" si="9"/>
        <v>4.7855795443974394</v>
      </c>
      <c r="AD9" s="1">
        <f t="shared" si="10"/>
        <v>33.499056810782079</v>
      </c>
      <c r="AE9" s="1">
        <f t="shared" si="11"/>
        <v>145.16257951338898</v>
      </c>
      <c r="AF9" s="1">
        <f t="shared" si="12"/>
        <v>338.1809544707524</v>
      </c>
      <c r="AG9" s="1">
        <f t="shared" si="13"/>
        <v>1052.8274997674366</v>
      </c>
      <c r="AH9" s="1">
        <f t="shared" si="14"/>
        <v>2522.0004198974507</v>
      </c>
      <c r="AJ9" s="13">
        <f t="shared" si="15"/>
        <v>1.8806499644408701E-2</v>
      </c>
      <c r="AK9" s="13">
        <f t="shared" si="2"/>
        <v>0.13164549751086091</v>
      </c>
      <c r="AL9" s="13">
        <f t="shared" si="2"/>
        <v>0.57046382254706396</v>
      </c>
      <c r="AM9" s="13">
        <f t="shared" si="2"/>
        <v>1.3289926415382149</v>
      </c>
      <c r="AN9" s="13">
        <f t="shared" si="2"/>
        <v>4.1374299217699146</v>
      </c>
      <c r="AO9" s="13">
        <f t="shared" si="2"/>
        <v>9.9110253126033854</v>
      </c>
      <c r="BA9" s="1">
        <v>3</v>
      </c>
      <c r="BB9" s="1">
        <v>21</v>
      </c>
      <c r="BC9" s="1">
        <v>91</v>
      </c>
      <c r="BD9" s="1">
        <v>212</v>
      </c>
      <c r="BE9" s="1">
        <v>660</v>
      </c>
      <c r="BF9" s="1">
        <v>1581</v>
      </c>
    </row>
    <row r="10" spans="1:58" x14ac:dyDescent="0.25">
      <c r="A10" s="2">
        <v>152</v>
      </c>
      <c r="B10" s="2">
        <v>90</v>
      </c>
      <c r="C10" s="2">
        <v>310</v>
      </c>
      <c r="D10" s="2">
        <v>320</v>
      </c>
      <c r="E10" s="5">
        <v>0.10293183462706799</v>
      </c>
      <c r="F10" s="5">
        <v>2.3869849132825499E-2</v>
      </c>
      <c r="G10" s="5">
        <v>8.4624680045280194E-3</v>
      </c>
      <c r="H10" s="16">
        <f t="shared" si="3"/>
        <v>0.9</v>
      </c>
      <c r="I10" s="16">
        <f t="shared" si="4"/>
        <v>3.2</v>
      </c>
      <c r="J10" s="16">
        <f t="shared" si="5"/>
        <v>7.5</v>
      </c>
      <c r="K10" s="16">
        <f t="shared" si="6"/>
        <v>23.3</v>
      </c>
      <c r="L10" s="16">
        <f t="shared" si="7"/>
        <v>70</v>
      </c>
      <c r="M10" s="16">
        <f t="shared" si="8"/>
        <v>163.9</v>
      </c>
      <c r="N10" s="33"/>
      <c r="O10">
        <v>9.5743592288179996E-2</v>
      </c>
      <c r="P10">
        <v>0.18723147718286101</v>
      </c>
      <c r="Q10">
        <v>0.64667150537108198</v>
      </c>
      <c r="R10">
        <v>1.81287477386409</v>
      </c>
      <c r="S10">
        <v>6.1106814199081896</v>
      </c>
      <c r="T10">
        <v>24.442725679632701</v>
      </c>
      <c r="V10">
        <v>0.10293183462706799</v>
      </c>
      <c r="W10">
        <v>0.41172733850827198</v>
      </c>
      <c r="X10">
        <v>1.6469093540330899</v>
      </c>
      <c r="Y10">
        <v>6.5876374161323596</v>
      </c>
      <c r="Z10">
        <v>26.3505496645294</v>
      </c>
      <c r="AA10">
        <v>105.402198658117</v>
      </c>
      <c r="AC10" s="1">
        <f t="shared" si="9"/>
        <v>8.7436506233546414</v>
      </c>
      <c r="AD10" s="1">
        <f t="shared" si="10"/>
        <v>31.088535549705394</v>
      </c>
      <c r="AE10" s="1">
        <f t="shared" si="11"/>
        <v>72.863755194622016</v>
      </c>
      <c r="AF10" s="1">
        <f t="shared" si="12"/>
        <v>226.36339947129241</v>
      </c>
      <c r="AG10" s="1">
        <f t="shared" si="13"/>
        <v>680.06171514980554</v>
      </c>
      <c r="AH10" s="1">
        <f t="shared" si="14"/>
        <v>1592.3159301864732</v>
      </c>
      <c r="AJ10" s="13">
        <f t="shared" si="15"/>
        <v>9.2638651164361194E-2</v>
      </c>
      <c r="AK10" s="13">
        <f t="shared" si="2"/>
        <v>0.32938187080661763</v>
      </c>
      <c r="AL10" s="13">
        <f t="shared" si="2"/>
        <v>0.77198875970300995</v>
      </c>
      <c r="AM10" s="13">
        <f t="shared" si="2"/>
        <v>2.3983117468106845</v>
      </c>
      <c r="AN10" s="13">
        <f t="shared" si="2"/>
        <v>7.2052284238947593</v>
      </c>
      <c r="AO10" s="13">
        <f t="shared" si="2"/>
        <v>16.870527695376445</v>
      </c>
      <c r="BA10" s="1">
        <v>9</v>
      </c>
      <c r="BB10" s="1">
        <v>32</v>
      </c>
      <c r="BC10" s="1">
        <v>75</v>
      </c>
      <c r="BD10" s="1">
        <v>233</v>
      </c>
      <c r="BE10" s="1">
        <v>700</v>
      </c>
      <c r="BF10" s="1">
        <v>1639</v>
      </c>
    </row>
    <row r="11" spans="1:58" x14ac:dyDescent="0.25">
      <c r="A11" s="2">
        <v>12</v>
      </c>
      <c r="B11" s="2">
        <v>64</v>
      </c>
      <c r="C11" s="2">
        <v>357</v>
      </c>
      <c r="D11" s="2">
        <v>360</v>
      </c>
      <c r="E11" s="5">
        <v>4.4543546788178297E-2</v>
      </c>
      <c r="F11" s="5">
        <v>2.3352349155409499E-2</v>
      </c>
      <c r="G11" s="5">
        <v>2.1759151907210301E-2</v>
      </c>
      <c r="H11" s="16">
        <f t="shared" si="3"/>
        <v>1</v>
      </c>
      <c r="I11" s="16">
        <f t="shared" si="4"/>
        <v>4.666666666666667</v>
      </c>
      <c r="J11" s="16">
        <f t="shared" si="5"/>
        <v>13.666666666666666</v>
      </c>
      <c r="K11" s="16">
        <f t="shared" si="6"/>
        <v>34.333333333333336</v>
      </c>
      <c r="L11" s="16">
        <f t="shared" si="7"/>
        <v>107.66666666666667</v>
      </c>
      <c r="M11" s="16">
        <f t="shared" si="8"/>
        <v>186.33333333333334</v>
      </c>
      <c r="N11" s="33"/>
      <c r="O11">
        <v>3.8585276164057498E-2</v>
      </c>
      <c r="P11">
        <v>0.117415800187244</v>
      </c>
      <c r="Q11">
        <v>0.46966320074897699</v>
      </c>
      <c r="R11">
        <v>1.4945503386105301</v>
      </c>
      <c r="S11">
        <v>5.97820135444214</v>
      </c>
      <c r="T11">
        <v>23.912805417768499</v>
      </c>
      <c r="V11">
        <v>4.4543546788178297E-2</v>
      </c>
      <c r="W11">
        <v>0.17817418715271299</v>
      </c>
      <c r="X11">
        <v>0.71269674861085297</v>
      </c>
      <c r="Y11">
        <v>2.8507869944434101</v>
      </c>
      <c r="Z11">
        <v>11.4031479777736</v>
      </c>
      <c r="AA11">
        <v>45.612591911094597</v>
      </c>
      <c r="AC11" s="1">
        <f t="shared" si="9"/>
        <v>22.449941060045909</v>
      </c>
      <c r="AD11" s="1">
        <f t="shared" si="10"/>
        <v>104.76639161354758</v>
      </c>
      <c r="AE11" s="1">
        <f t="shared" si="11"/>
        <v>306.81586115396073</v>
      </c>
      <c r="AF11" s="1">
        <f t="shared" si="12"/>
        <v>770.78130972824295</v>
      </c>
      <c r="AG11" s="1">
        <f t="shared" si="13"/>
        <v>2417.1103207982765</v>
      </c>
      <c r="AH11" s="1">
        <f t="shared" si="14"/>
        <v>4183.1723508552213</v>
      </c>
      <c r="AJ11" s="13">
        <f t="shared" si="15"/>
        <v>4.4543546788178297E-2</v>
      </c>
      <c r="AK11" s="13">
        <f t="shared" si="2"/>
        <v>0.20786988501149872</v>
      </c>
      <c r="AL11" s="13">
        <f t="shared" si="2"/>
        <v>0.60876180610510333</v>
      </c>
      <c r="AM11" s="13">
        <f t="shared" si="2"/>
        <v>1.5293284397274549</v>
      </c>
      <c r="AN11" s="13">
        <f t="shared" si="2"/>
        <v>4.7958552041938631</v>
      </c>
      <c r="AO11" s="13">
        <f t="shared" si="2"/>
        <v>8.2999475515305559</v>
      </c>
      <c r="BA11" s="1">
        <v>3</v>
      </c>
      <c r="BB11" s="1">
        <v>14</v>
      </c>
      <c r="BC11" s="1">
        <v>41</v>
      </c>
      <c r="BD11" s="1">
        <v>103</v>
      </c>
      <c r="BE11" s="1">
        <v>323</v>
      </c>
      <c r="BF11" s="1">
        <v>559</v>
      </c>
    </row>
    <row r="12" spans="1:58" x14ac:dyDescent="0.25">
      <c r="A12" s="2">
        <v>96</v>
      </c>
      <c r="B12" s="2">
        <v>64</v>
      </c>
      <c r="C12" s="2">
        <v>392</v>
      </c>
      <c r="D12" s="2">
        <v>400</v>
      </c>
      <c r="E12" s="5">
        <v>9.5639162401153693E-2</v>
      </c>
      <c r="F12" s="5">
        <v>1.9277468694701001E-2</v>
      </c>
      <c r="G12" s="5">
        <v>5.1627678565697001E-3</v>
      </c>
      <c r="H12" s="16">
        <f t="shared" si="3"/>
        <v>0.375</v>
      </c>
      <c r="I12" s="16">
        <f t="shared" si="4"/>
        <v>2.75</v>
      </c>
      <c r="J12" s="16">
        <f t="shared" si="5"/>
        <v>7.25</v>
      </c>
      <c r="K12" s="16">
        <f t="shared" si="6"/>
        <v>20.625</v>
      </c>
      <c r="L12" s="16">
        <f t="shared" si="7"/>
        <v>69.875</v>
      </c>
      <c r="M12" s="16">
        <f t="shared" si="8"/>
        <v>173</v>
      </c>
      <c r="N12" s="33"/>
      <c r="O12">
        <v>9.5639162709086803E-2</v>
      </c>
      <c r="P12">
        <v>0.18581760283662399</v>
      </c>
      <c r="Q12">
        <v>0.60536126077852104</v>
      </c>
      <c r="R12">
        <v>1.2337579982911999</v>
      </c>
      <c r="S12">
        <v>4.9350319931648103</v>
      </c>
      <c r="T12">
        <v>19.740127972659199</v>
      </c>
      <c r="V12">
        <v>9.5639162401153693E-2</v>
      </c>
      <c r="W12">
        <v>0.382556649604614</v>
      </c>
      <c r="X12">
        <v>1.53022659841845</v>
      </c>
      <c r="Y12">
        <v>6.1209063936738302</v>
      </c>
      <c r="Z12">
        <v>24.483625574695299</v>
      </c>
      <c r="AA12">
        <v>97.934502298781396</v>
      </c>
      <c r="AC12" s="1">
        <f t="shared" si="9"/>
        <v>3.9209879152546443</v>
      </c>
      <c r="AD12" s="1">
        <f t="shared" si="10"/>
        <v>28.75391137853406</v>
      </c>
      <c r="AE12" s="1">
        <f t="shared" si="11"/>
        <v>75.805766361589789</v>
      </c>
      <c r="AF12" s="1">
        <f t="shared" si="12"/>
        <v>215.65433533900546</v>
      </c>
      <c r="AG12" s="1">
        <f t="shared" si="13"/>
        <v>730.6107482091154</v>
      </c>
      <c r="AH12" s="1">
        <f t="shared" si="14"/>
        <v>1808.8824249041427</v>
      </c>
      <c r="AJ12" s="13">
        <f t="shared" si="15"/>
        <v>3.5864685900432638E-2</v>
      </c>
      <c r="AK12" s="13">
        <f t="shared" si="2"/>
        <v>0.26300769660317264</v>
      </c>
      <c r="AL12" s="13">
        <f t="shared" si="2"/>
        <v>0.6933839274083643</v>
      </c>
      <c r="AM12" s="13">
        <f t="shared" si="2"/>
        <v>1.9725577245237949</v>
      </c>
      <c r="AN12" s="13">
        <f t="shared" si="2"/>
        <v>6.6827864727806139</v>
      </c>
      <c r="AO12" s="13">
        <f t="shared" si="2"/>
        <v>16.545575095399588</v>
      </c>
      <c r="BA12" s="1">
        <v>3</v>
      </c>
      <c r="BB12" s="1">
        <v>22</v>
      </c>
      <c r="BC12" s="1">
        <v>58</v>
      </c>
      <c r="BD12" s="1">
        <v>165</v>
      </c>
      <c r="BE12" s="1">
        <v>559</v>
      </c>
      <c r="BF12" s="1">
        <v>1384</v>
      </c>
    </row>
    <row r="13" spans="1:58" x14ac:dyDescent="0.25">
      <c r="A13" s="2">
        <v>101</v>
      </c>
      <c r="B13" s="2">
        <v>64</v>
      </c>
      <c r="C13" s="2">
        <v>432</v>
      </c>
      <c r="D13" s="2">
        <v>438</v>
      </c>
      <c r="E13" s="5">
        <v>3.00794247374499E-2</v>
      </c>
      <c r="F13" s="5">
        <v>1.50358559887077E-2</v>
      </c>
      <c r="G13" s="5">
        <v>9.2196022769056602E-3</v>
      </c>
      <c r="H13" s="16">
        <f t="shared" si="3"/>
        <v>0.33333333333333331</v>
      </c>
      <c r="I13" s="16">
        <f t="shared" si="4"/>
        <v>1.5</v>
      </c>
      <c r="J13" s="16">
        <f t="shared" si="5"/>
        <v>8.1666666666666661</v>
      </c>
      <c r="K13" s="16">
        <f t="shared" si="6"/>
        <v>22</v>
      </c>
      <c r="L13" s="16">
        <f t="shared" si="7"/>
        <v>90.666666666666671</v>
      </c>
      <c r="M13" s="16">
        <f t="shared" si="8"/>
        <v>173.5</v>
      </c>
      <c r="N13" s="33"/>
      <c r="O13">
        <v>2.85197693561322E-2</v>
      </c>
      <c r="P13">
        <v>0.101347429024516</v>
      </c>
      <c r="Q13">
        <v>0.24057369702033901</v>
      </c>
      <c r="R13">
        <v>0.96229478808135804</v>
      </c>
      <c r="S13">
        <v>3.84917915232543</v>
      </c>
      <c r="T13">
        <v>15.3967166093017</v>
      </c>
      <c r="V13">
        <v>3.00794247374499E-2</v>
      </c>
      <c r="W13">
        <v>0.120317698949799</v>
      </c>
      <c r="X13">
        <v>0.48127079579919901</v>
      </c>
      <c r="Y13">
        <v>1.9250831831967901</v>
      </c>
      <c r="Z13">
        <v>7.7003327327871904</v>
      </c>
      <c r="AA13">
        <v>30.801330931148701</v>
      </c>
      <c r="AC13" s="1">
        <f t="shared" si="9"/>
        <v>11.08177221615286</v>
      </c>
      <c r="AD13" s="1">
        <f t="shared" si="10"/>
        <v>49.867974972687868</v>
      </c>
      <c r="AE13" s="1">
        <f t="shared" si="11"/>
        <v>271.50341929574506</v>
      </c>
      <c r="AF13" s="1">
        <f t="shared" si="12"/>
        <v>731.39696626608873</v>
      </c>
      <c r="AG13" s="1">
        <f t="shared" si="13"/>
        <v>3014.2420427935781</v>
      </c>
      <c r="AH13" s="1">
        <f t="shared" si="14"/>
        <v>5768.0624385075635</v>
      </c>
      <c r="AJ13" s="13">
        <f t="shared" si="15"/>
        <v>1.0026474912483299E-2</v>
      </c>
      <c r="AK13" s="13">
        <f t="shared" si="2"/>
        <v>4.511913710617485E-2</v>
      </c>
      <c r="AL13" s="13">
        <f t="shared" si="2"/>
        <v>0.24564863535584083</v>
      </c>
      <c r="AM13" s="13">
        <f t="shared" si="2"/>
        <v>0.6617473442238978</v>
      </c>
      <c r="AN13" s="13">
        <f t="shared" si="2"/>
        <v>2.7272011761954578</v>
      </c>
      <c r="AO13" s="13">
        <f t="shared" si="2"/>
        <v>5.218780191947558</v>
      </c>
      <c r="BA13" s="1">
        <v>2</v>
      </c>
      <c r="BB13" s="1">
        <v>9</v>
      </c>
      <c r="BC13" s="1">
        <v>49</v>
      </c>
      <c r="BD13" s="1">
        <v>132</v>
      </c>
      <c r="BE13" s="1">
        <v>544</v>
      </c>
      <c r="BF13" s="1">
        <v>1041</v>
      </c>
    </row>
    <row r="14" spans="1:58" x14ac:dyDescent="0.25">
      <c r="A14" s="2">
        <v>24</v>
      </c>
      <c r="B14" s="2">
        <v>64</v>
      </c>
      <c r="C14" s="2">
        <v>468</v>
      </c>
      <c r="D14" s="2">
        <v>478</v>
      </c>
      <c r="E14" s="5">
        <v>0.10538288704710901</v>
      </c>
      <c r="F14" s="5">
        <v>1.6430974908246999E-2</v>
      </c>
      <c r="G14" s="5">
        <v>6.0105568763227698E-3</v>
      </c>
      <c r="H14" s="16">
        <f t="shared" si="3"/>
        <v>0.5</v>
      </c>
      <c r="I14" s="16">
        <f t="shared" si="4"/>
        <v>1.8</v>
      </c>
      <c r="J14" s="16">
        <f t="shared" si="5"/>
        <v>4.3</v>
      </c>
      <c r="K14" s="16">
        <f t="shared" si="6"/>
        <v>13.9</v>
      </c>
      <c r="L14" s="16">
        <f t="shared" si="7"/>
        <v>58.6</v>
      </c>
      <c r="M14" s="16">
        <f t="shared" si="8"/>
        <v>173</v>
      </c>
      <c r="N14" s="33"/>
      <c r="O14">
        <v>0.10538288717717199</v>
      </c>
      <c r="P14">
        <v>0.15056990486005101</v>
      </c>
      <c r="Q14">
        <v>0.50129083006757003</v>
      </c>
      <c r="R14">
        <v>1.0515823951961401</v>
      </c>
      <c r="S14">
        <v>4.2063295807845602</v>
      </c>
      <c r="T14">
        <v>16.825318323138202</v>
      </c>
      <c r="V14">
        <v>0.10538288704710901</v>
      </c>
      <c r="W14">
        <v>0.42153154818843802</v>
      </c>
      <c r="X14">
        <v>1.6861261927537501</v>
      </c>
      <c r="Y14">
        <v>6.7445047710150003</v>
      </c>
      <c r="Z14">
        <v>26.978019084060001</v>
      </c>
      <c r="AA14">
        <v>107.91207633624001</v>
      </c>
      <c r="AC14" s="1">
        <f t="shared" si="9"/>
        <v>4.744603360282647</v>
      </c>
      <c r="AD14" s="1">
        <f>I14/$E14</f>
        <v>17.08057209701753</v>
      </c>
      <c r="AE14" s="1">
        <f t="shared" si="11"/>
        <v>40.80358889843076</v>
      </c>
      <c r="AF14" s="1">
        <f t="shared" si="12"/>
        <v>131.89997341585757</v>
      </c>
      <c r="AG14" s="1">
        <f t="shared" si="13"/>
        <v>556.06751382512618</v>
      </c>
      <c r="AH14" s="1">
        <f t="shared" si="14"/>
        <v>1641.6327626577959</v>
      </c>
      <c r="AJ14" s="13">
        <f t="shared" si="15"/>
        <v>5.2691443523554503E-2</v>
      </c>
      <c r="AK14" s="13">
        <f t="shared" si="2"/>
        <v>0.18968919668479622</v>
      </c>
      <c r="AL14" s="13">
        <f t="shared" si="2"/>
        <v>0.45314641430256869</v>
      </c>
      <c r="AM14" s="13">
        <f t="shared" si="2"/>
        <v>1.4648221299548152</v>
      </c>
      <c r="AN14" s="13">
        <f t="shared" si="2"/>
        <v>6.1754371809605875</v>
      </c>
      <c r="AO14" s="13">
        <f t="shared" si="2"/>
        <v>18.231239459149858</v>
      </c>
      <c r="BA14" s="1">
        <v>5</v>
      </c>
      <c r="BB14" s="1">
        <v>18</v>
      </c>
      <c r="BC14" s="1">
        <v>43</v>
      </c>
      <c r="BD14" s="1">
        <v>139</v>
      </c>
      <c r="BE14" s="1">
        <v>586</v>
      </c>
      <c r="BF14" s="1">
        <v>1730</v>
      </c>
    </row>
    <row r="15" spans="1:58" x14ac:dyDescent="0.25">
      <c r="A15" s="2">
        <v>107</v>
      </c>
      <c r="B15" s="2">
        <v>45</v>
      </c>
      <c r="C15" s="2">
        <v>515</v>
      </c>
      <c r="D15" s="2">
        <v>520</v>
      </c>
      <c r="E15" s="5">
        <v>2.7724885205644801E-2</v>
      </c>
      <c r="F15" s="5">
        <v>1.4478880481023E-2</v>
      </c>
      <c r="G15" s="5">
        <v>1.4642800293065399E-2</v>
      </c>
      <c r="H15" s="16">
        <f t="shared" si="3"/>
        <v>0.2</v>
      </c>
      <c r="I15" s="16">
        <f t="shared" si="4"/>
        <v>2.6</v>
      </c>
      <c r="J15" s="16">
        <f t="shared" si="5"/>
        <v>7.8</v>
      </c>
      <c r="K15" s="16">
        <f t="shared" si="6"/>
        <v>15.6</v>
      </c>
      <c r="L15" s="16">
        <f t="shared" si="7"/>
        <v>69</v>
      </c>
      <c r="M15" s="16">
        <f t="shared" si="8"/>
        <v>188.6</v>
      </c>
      <c r="N15" s="33"/>
      <c r="O15">
        <v>2.77248857374158E-2</v>
      </c>
      <c r="P15">
        <v>7.8677957752448305E-2</v>
      </c>
      <c r="Q15">
        <v>0.26510584610390098</v>
      </c>
      <c r="R15">
        <v>0.92664835919294097</v>
      </c>
      <c r="S15">
        <v>3.7065934367717599</v>
      </c>
      <c r="T15">
        <v>14.826373747087001</v>
      </c>
      <c r="V15">
        <v>2.7724885205644801E-2</v>
      </c>
      <c r="W15">
        <v>0.110899540822579</v>
      </c>
      <c r="X15">
        <v>0.44359816329031698</v>
      </c>
      <c r="Y15">
        <v>1.7743926531612599</v>
      </c>
      <c r="Z15">
        <v>7.0975706126450699</v>
      </c>
      <c r="AA15">
        <v>28.390282450580202</v>
      </c>
      <c r="AC15" s="1">
        <f t="shared" si="9"/>
        <v>7.2137359096902554</v>
      </c>
      <c r="AD15" s="1">
        <f t="shared" si="10"/>
        <v>93.778566825973328</v>
      </c>
      <c r="AE15" s="1">
        <f t="shared" si="11"/>
        <v>281.33570047791994</v>
      </c>
      <c r="AF15" s="1">
        <f t="shared" si="12"/>
        <v>562.67140095583989</v>
      </c>
      <c r="AG15" s="1">
        <f t="shared" si="13"/>
        <v>2488.7388888431383</v>
      </c>
      <c r="AH15" s="1">
        <f t="shared" si="14"/>
        <v>6802.5529628379109</v>
      </c>
      <c r="AJ15" s="13">
        <f t="shared" si="15"/>
        <v>5.5449770411289609E-3</v>
      </c>
      <c r="AK15" s="13">
        <f t="shared" si="2"/>
        <v>7.2084701534676485E-2</v>
      </c>
      <c r="AL15" s="13">
        <f t="shared" si="2"/>
        <v>0.21625410460402944</v>
      </c>
      <c r="AM15" s="13">
        <f t="shared" si="2"/>
        <v>0.43250820920805888</v>
      </c>
      <c r="AN15" s="13">
        <f t="shared" si="2"/>
        <v>1.9130170791894914</v>
      </c>
      <c r="AO15" s="13">
        <f t="shared" si="2"/>
        <v>5.2289133497846096</v>
      </c>
      <c r="BA15" s="1">
        <v>1</v>
      </c>
      <c r="BB15" s="1">
        <v>13</v>
      </c>
      <c r="BC15" s="1">
        <v>39</v>
      </c>
      <c r="BD15" s="1">
        <v>78</v>
      </c>
      <c r="BE15" s="1">
        <v>345</v>
      </c>
      <c r="BF15" s="1">
        <v>943</v>
      </c>
    </row>
    <row r="16" spans="1:58" x14ac:dyDescent="0.25">
      <c r="A16" s="2">
        <v>162</v>
      </c>
      <c r="B16" s="2">
        <v>45</v>
      </c>
      <c r="C16" s="2">
        <v>550</v>
      </c>
      <c r="D16" s="2">
        <v>560</v>
      </c>
      <c r="E16" s="5">
        <v>2.2481115003792299E-2</v>
      </c>
      <c r="F16" s="5">
        <v>9.1860908476934702E-3</v>
      </c>
      <c r="G16" s="5">
        <v>5.26397191560033E-3</v>
      </c>
      <c r="H16" s="16">
        <f t="shared" si="3"/>
        <v>0</v>
      </c>
      <c r="I16" s="16">
        <f t="shared" si="4"/>
        <v>0.8</v>
      </c>
      <c r="J16" s="16">
        <f t="shared" si="5"/>
        <v>4</v>
      </c>
      <c r="K16" s="16">
        <f t="shared" si="6"/>
        <v>12.1</v>
      </c>
      <c r="L16" s="16">
        <f t="shared" si="7"/>
        <v>63.1</v>
      </c>
      <c r="M16" s="16">
        <f t="shared" si="8"/>
        <v>188.1</v>
      </c>
      <c r="N16" s="33"/>
      <c r="P16">
        <v>7.7959153032395798E-2</v>
      </c>
      <c r="Q16">
        <v>0.24135454645261201</v>
      </c>
      <c r="R16">
        <v>0.62231226944989104</v>
      </c>
      <c r="S16">
        <v>2.3516392566763402</v>
      </c>
      <c r="T16">
        <v>9.4065570267053804</v>
      </c>
      <c r="W16">
        <v>8.9924460015169197E-2</v>
      </c>
      <c r="X16">
        <v>0.35969784006067601</v>
      </c>
      <c r="Y16">
        <v>1.4387913602427</v>
      </c>
      <c r="Z16">
        <v>5.7551654409708304</v>
      </c>
      <c r="AA16">
        <v>23.0206617638833</v>
      </c>
      <c r="AC16" s="1">
        <f t="shared" si="9"/>
        <v>0</v>
      </c>
      <c r="AD16" s="1">
        <f t="shared" si="10"/>
        <v>35.585423581750703</v>
      </c>
      <c r="AE16" s="1">
        <f t="shared" si="11"/>
        <v>177.9271179087535</v>
      </c>
      <c r="AF16" s="1">
        <f t="shared" si="12"/>
        <v>538.2295316739793</v>
      </c>
      <c r="AG16" s="1">
        <f t="shared" si="13"/>
        <v>2806.8002850105868</v>
      </c>
      <c r="AH16" s="1">
        <f t="shared" si="14"/>
        <v>8367.0227196591331</v>
      </c>
      <c r="AJ16" s="13">
        <f t="shared" si="15"/>
        <v>0</v>
      </c>
      <c r="AK16" s="13">
        <f t="shared" si="2"/>
        <v>1.7984892003033839E-2</v>
      </c>
      <c r="AL16" s="13">
        <f t="shared" si="2"/>
        <v>8.9924460015169197E-2</v>
      </c>
      <c r="AM16" s="13">
        <f t="shared" si="2"/>
        <v>0.27202149154588684</v>
      </c>
      <c r="AN16" s="13">
        <f t="shared" si="2"/>
        <v>1.4185583567392941</v>
      </c>
      <c r="AO16" s="13">
        <f t="shared" si="2"/>
        <v>4.2286977322133312</v>
      </c>
      <c r="BA16" s="1">
        <v>0</v>
      </c>
      <c r="BB16" s="1">
        <v>8</v>
      </c>
      <c r="BC16" s="1">
        <v>40</v>
      </c>
      <c r="BD16" s="1">
        <v>121</v>
      </c>
      <c r="BE16" s="1">
        <v>631</v>
      </c>
      <c r="BF16" s="1">
        <v>1881</v>
      </c>
    </row>
    <row r="17" spans="1:58" x14ac:dyDescent="0.25">
      <c r="A17" s="2">
        <v>159</v>
      </c>
      <c r="B17" s="2">
        <v>45</v>
      </c>
      <c r="C17" s="2">
        <v>595</v>
      </c>
      <c r="D17" s="2">
        <v>610</v>
      </c>
      <c r="E17" s="5">
        <v>1.09573532088619E-2</v>
      </c>
      <c r="F17" s="5">
        <v>4.9905746416529098E-3</v>
      </c>
      <c r="G17" s="5">
        <v>4.5767283517164602E-3</v>
      </c>
      <c r="H17" s="16">
        <f t="shared" si="3"/>
        <v>0</v>
      </c>
      <c r="I17" s="16">
        <f t="shared" si="4"/>
        <v>0</v>
      </c>
      <c r="J17" s="16">
        <f t="shared" si="5"/>
        <v>0.73333333333333328</v>
      </c>
      <c r="K17" s="16">
        <f t="shared" si="6"/>
        <v>4.8</v>
      </c>
      <c r="L17" s="16">
        <f t="shared" si="7"/>
        <v>51.8</v>
      </c>
      <c r="M17" s="16">
        <f t="shared" si="8"/>
        <v>188</v>
      </c>
      <c r="N17" s="33"/>
      <c r="Q17">
        <v>0.12254395097085501</v>
      </c>
      <c r="R17">
        <v>0.35900970208783201</v>
      </c>
      <c r="S17">
        <v>1.2775871078584</v>
      </c>
      <c r="T17">
        <v>5.1103484314336303</v>
      </c>
      <c r="X17">
        <v>0.175317651341791</v>
      </c>
      <c r="Y17">
        <v>0.70127060536716501</v>
      </c>
      <c r="Z17">
        <v>2.80508242146866</v>
      </c>
      <c r="AA17">
        <v>11.220329685874599</v>
      </c>
      <c r="AC17" s="1">
        <f t="shared" si="9"/>
        <v>0</v>
      </c>
      <c r="AD17" s="1">
        <f t="shared" si="10"/>
        <v>0</v>
      </c>
      <c r="AE17" s="1">
        <f t="shared" si="11"/>
        <v>66.926138033064461</v>
      </c>
      <c r="AF17" s="1">
        <f t="shared" si="12"/>
        <v>438.06199439824013</v>
      </c>
      <c r="AG17" s="1">
        <f t="shared" si="13"/>
        <v>4727.4190228810075</v>
      </c>
      <c r="AH17" s="1">
        <f t="shared" si="14"/>
        <v>17157.428113931073</v>
      </c>
      <c r="AJ17" s="13">
        <f t="shared" si="15"/>
        <v>0</v>
      </c>
      <c r="AK17" s="13">
        <f t="shared" si="2"/>
        <v>0</v>
      </c>
      <c r="AL17" s="13">
        <f t="shared" si="2"/>
        <v>8.0353923531653916E-3</v>
      </c>
      <c r="AM17" s="13">
        <f t="shared" si="2"/>
        <v>5.2595295402537115E-2</v>
      </c>
      <c r="AN17" s="13">
        <f t="shared" si="2"/>
        <v>0.56759089621904635</v>
      </c>
      <c r="AO17" s="13">
        <f t="shared" si="2"/>
        <v>2.0599824032660372</v>
      </c>
      <c r="BA17" s="1">
        <v>0</v>
      </c>
      <c r="BB17" s="1">
        <v>0</v>
      </c>
      <c r="BC17" s="1">
        <v>11</v>
      </c>
      <c r="BD17" s="1">
        <v>72</v>
      </c>
      <c r="BE17" s="1">
        <v>777</v>
      </c>
      <c r="BF17" s="1">
        <v>2820</v>
      </c>
    </row>
    <row r="18" spans="1:58" x14ac:dyDescent="0.25">
      <c r="A18" s="2">
        <v>35</v>
      </c>
      <c r="B18" s="2">
        <v>45</v>
      </c>
      <c r="C18" s="2">
        <v>642</v>
      </c>
      <c r="D18" s="2">
        <v>648</v>
      </c>
      <c r="E18" s="5">
        <v>2.2279504588702301E-2</v>
      </c>
      <c r="F18" s="5">
        <v>9.4453501582737708E-3</v>
      </c>
      <c r="G18" s="5">
        <v>6.3512880877902899E-3</v>
      </c>
      <c r="H18" s="16">
        <f t="shared" si="3"/>
        <v>0</v>
      </c>
      <c r="I18" s="16">
        <f t="shared" si="4"/>
        <v>1</v>
      </c>
      <c r="J18" s="16">
        <f t="shared" si="5"/>
        <v>4</v>
      </c>
      <c r="K18" s="16">
        <f t="shared" si="6"/>
        <v>17.166666666666668</v>
      </c>
      <c r="L18" s="16">
        <f t="shared" si="7"/>
        <v>69.666666666666671</v>
      </c>
      <c r="M18" s="16">
        <f t="shared" si="8"/>
        <v>189.83333333333334</v>
      </c>
      <c r="N18" s="33"/>
      <c r="P18">
        <v>7.2703926665255297E-2</v>
      </c>
      <c r="Q18">
        <v>0.21382124817687001</v>
      </c>
      <c r="R18">
        <v>0.60450240905165797</v>
      </c>
      <c r="S18">
        <v>2.4180096362066301</v>
      </c>
      <c r="T18">
        <v>9.6720385448265294</v>
      </c>
      <c r="W18">
        <v>8.9118018354809397E-2</v>
      </c>
      <c r="X18">
        <v>0.35647207341923698</v>
      </c>
      <c r="Y18">
        <v>1.4258882936769499</v>
      </c>
      <c r="Z18">
        <v>5.7035531747077997</v>
      </c>
      <c r="AA18">
        <v>22.814212698831199</v>
      </c>
      <c r="AC18" s="1">
        <f t="shared" si="9"/>
        <v>0</v>
      </c>
      <c r="AD18" s="1">
        <f t="shared" si="10"/>
        <v>44.884301444794666</v>
      </c>
      <c r="AE18" s="1">
        <f t="shared" si="11"/>
        <v>179.53720577917866</v>
      </c>
      <c r="AF18" s="1">
        <f t="shared" si="12"/>
        <v>770.5138414689751</v>
      </c>
      <c r="AG18" s="1">
        <f t="shared" si="13"/>
        <v>3126.9396673206952</v>
      </c>
      <c r="AH18" s="1">
        <f t="shared" si="14"/>
        <v>8520.5365576035201</v>
      </c>
      <c r="AJ18" s="13">
        <f t="shared" si="15"/>
        <v>0</v>
      </c>
      <c r="AK18" s="13">
        <f t="shared" si="2"/>
        <v>2.2279504588702301E-2</v>
      </c>
      <c r="AL18" s="13">
        <f t="shared" si="2"/>
        <v>8.9118018354809203E-2</v>
      </c>
      <c r="AM18" s="13">
        <f t="shared" si="2"/>
        <v>0.38246482877272286</v>
      </c>
      <c r="AN18" s="13">
        <f t="shared" si="2"/>
        <v>1.5521388196795938</v>
      </c>
      <c r="AO18" s="13">
        <f t="shared" si="2"/>
        <v>4.2293926210886532</v>
      </c>
      <c r="BA18" s="1">
        <v>0</v>
      </c>
      <c r="BB18" s="1">
        <v>6</v>
      </c>
      <c r="BC18" s="1">
        <v>24</v>
      </c>
      <c r="BD18" s="1">
        <v>103</v>
      </c>
      <c r="BE18" s="1">
        <v>418</v>
      </c>
      <c r="BF18" s="1">
        <v>1139</v>
      </c>
    </row>
    <row r="19" spans="1:58" x14ac:dyDescent="0.25">
      <c r="A19" s="2">
        <v>69</v>
      </c>
      <c r="B19" s="2">
        <v>32</v>
      </c>
      <c r="C19" s="2">
        <v>685</v>
      </c>
      <c r="D19" s="2">
        <v>689</v>
      </c>
      <c r="E19" s="5">
        <v>1.0897008883362201E-2</v>
      </c>
      <c r="F19" s="5">
        <v>7.27047978157239E-3</v>
      </c>
      <c r="G19" s="5">
        <v>6.8585843273274603E-3</v>
      </c>
      <c r="H19" s="16">
        <f t="shared" si="3"/>
        <v>0</v>
      </c>
      <c r="I19" s="16">
        <f t="shared" si="4"/>
        <v>0.25</v>
      </c>
      <c r="J19" s="16">
        <f t="shared" si="5"/>
        <v>3</v>
      </c>
      <c r="K19" s="16">
        <f t="shared" si="6"/>
        <v>14.25</v>
      </c>
      <c r="L19" s="16">
        <f t="shared" si="7"/>
        <v>68.75</v>
      </c>
      <c r="M19" s="16">
        <f t="shared" si="8"/>
        <v>207.5</v>
      </c>
      <c r="N19" s="33"/>
      <c r="P19">
        <v>4.3588035701968897E-2</v>
      </c>
      <c r="Q19">
        <v>0.13106034882425699</v>
      </c>
      <c r="R19">
        <v>0.52424139529702896</v>
      </c>
      <c r="S19">
        <v>1.86124282879616</v>
      </c>
      <c r="T19">
        <v>7.4449713151846701</v>
      </c>
      <c r="W19">
        <v>4.3588035533449102E-2</v>
      </c>
      <c r="X19">
        <v>0.17435214213379599</v>
      </c>
      <c r="Y19">
        <v>0.69740856853518496</v>
      </c>
      <c r="Z19">
        <v>2.7896342741407398</v>
      </c>
      <c r="AA19">
        <v>11.158537096562901</v>
      </c>
      <c r="AC19" s="1">
        <f t="shared" si="9"/>
        <v>0</v>
      </c>
      <c r="AD19" s="1">
        <f t="shared" si="10"/>
        <v>22.942075451705435</v>
      </c>
      <c r="AE19" s="1">
        <f t="shared" si="11"/>
        <v>275.30490542046522</v>
      </c>
      <c r="AF19" s="1">
        <f t="shared" si="12"/>
        <v>1307.6983007472097</v>
      </c>
      <c r="AG19" s="1">
        <f t="shared" si="13"/>
        <v>6309.0707492189949</v>
      </c>
      <c r="AH19" s="1">
        <f t="shared" si="14"/>
        <v>19041.922624915511</v>
      </c>
      <c r="AJ19" s="13">
        <f t="shared" si="15"/>
        <v>0</v>
      </c>
      <c r="AK19" s="13">
        <f t="shared" ref="AK19:AK38" si="16">I19*$E19</f>
        <v>2.7242522208405502E-3</v>
      </c>
      <c r="AL19" s="13">
        <f t="shared" ref="AL19:AL38" si="17">J19*$E19</f>
        <v>3.2691026650086601E-2</v>
      </c>
      <c r="AM19" s="13">
        <f t="shared" ref="AM19:AM38" si="18">K19*$E19</f>
        <v>0.15528237658791136</v>
      </c>
      <c r="AN19" s="13">
        <f t="shared" ref="AN19:AN38" si="19">L19*$E19</f>
        <v>0.74916936073115126</v>
      </c>
      <c r="AO19" s="13">
        <f t="shared" ref="AO19:AO38" si="20">M19*$E19</f>
        <v>2.2611293432976565</v>
      </c>
      <c r="BA19" s="1">
        <v>0</v>
      </c>
      <c r="BB19" s="1">
        <v>1</v>
      </c>
      <c r="BC19" s="1">
        <v>12</v>
      </c>
      <c r="BD19" s="1">
        <v>57</v>
      </c>
      <c r="BE19" s="1">
        <v>275</v>
      </c>
      <c r="BF19" s="1">
        <v>830</v>
      </c>
    </row>
    <row r="20" spans="1:58" x14ac:dyDescent="0.25">
      <c r="A20" s="2">
        <v>85</v>
      </c>
      <c r="B20" s="2">
        <v>32</v>
      </c>
      <c r="C20" s="2">
        <v>730</v>
      </c>
      <c r="D20" s="2">
        <v>736</v>
      </c>
      <c r="E20" s="5">
        <v>1.13162316396569E-2</v>
      </c>
      <c r="F20" s="5">
        <v>6.77105129691932E-3</v>
      </c>
      <c r="G20" s="5">
        <v>5.0494700428746703E-3</v>
      </c>
      <c r="H20" s="16">
        <f t="shared" si="3"/>
        <v>0</v>
      </c>
      <c r="I20" s="16">
        <f t="shared" si="4"/>
        <v>0.16666666666666666</v>
      </c>
      <c r="J20" s="16">
        <f t="shared" si="5"/>
        <v>2.8333333333333335</v>
      </c>
      <c r="K20" s="16">
        <f t="shared" si="6"/>
        <v>12.666666666666666</v>
      </c>
      <c r="L20" s="16">
        <f t="shared" si="7"/>
        <v>54.666666666666664</v>
      </c>
      <c r="M20" s="16">
        <f t="shared" si="8"/>
        <v>204.66666666666666</v>
      </c>
      <c r="N20" s="33"/>
      <c r="P20">
        <v>4.5264926352280903E-2</v>
      </c>
      <c r="Q20">
        <v>0.12707267062271299</v>
      </c>
      <c r="R20">
        <v>0.43334728234498898</v>
      </c>
      <c r="S20">
        <v>1.7333891293799499</v>
      </c>
      <c r="T20">
        <v>6.9335565175198299</v>
      </c>
      <c r="W20">
        <v>4.5264926558627801E-2</v>
      </c>
      <c r="X20">
        <v>0.18105970623451101</v>
      </c>
      <c r="Y20">
        <v>0.72423882493804503</v>
      </c>
      <c r="Z20">
        <v>2.8969552997521801</v>
      </c>
      <c r="AA20">
        <v>11.587821199008699</v>
      </c>
      <c r="AC20" s="1">
        <f t="shared" si="9"/>
        <v>0</v>
      </c>
      <c r="AD20" s="1">
        <f t="shared" si="10"/>
        <v>14.728106667823553</v>
      </c>
      <c r="AE20" s="1">
        <f t="shared" si="11"/>
        <v>250.37781335300045</v>
      </c>
      <c r="AF20" s="1">
        <f t="shared" si="12"/>
        <v>1119.3361067545902</v>
      </c>
      <c r="AG20" s="1">
        <f t="shared" si="13"/>
        <v>4830.8189870461256</v>
      </c>
      <c r="AH20" s="1">
        <f t="shared" si="14"/>
        <v>18086.114988087324</v>
      </c>
      <c r="AJ20" s="13">
        <f t="shared" si="15"/>
        <v>0</v>
      </c>
      <c r="AK20" s="13">
        <f t="shared" si="16"/>
        <v>1.8860386066094832E-3</v>
      </c>
      <c r="AL20" s="13">
        <f t="shared" si="17"/>
        <v>3.2062656312361215E-2</v>
      </c>
      <c r="AM20" s="13">
        <f t="shared" si="18"/>
        <v>0.14333893410232074</v>
      </c>
      <c r="AN20" s="13">
        <f t="shared" si="19"/>
        <v>0.61862066296791052</v>
      </c>
      <c r="AO20" s="13">
        <f t="shared" si="20"/>
        <v>2.3160554089164456</v>
      </c>
      <c r="BA20" s="1">
        <v>0</v>
      </c>
      <c r="BB20" s="1">
        <v>1</v>
      </c>
      <c r="BC20" s="1">
        <v>17</v>
      </c>
      <c r="BD20" s="1">
        <v>76</v>
      </c>
      <c r="BE20" s="1">
        <v>328</v>
      </c>
      <c r="BF20" s="1">
        <v>1228</v>
      </c>
    </row>
    <row r="21" spans="1:58" x14ac:dyDescent="0.25">
      <c r="A21" s="2">
        <v>61</v>
      </c>
      <c r="B21" s="2">
        <v>32</v>
      </c>
      <c r="C21" s="2">
        <v>782</v>
      </c>
      <c r="D21" s="2">
        <v>788</v>
      </c>
      <c r="E21" s="5">
        <v>2.4554138346802101E-2</v>
      </c>
      <c r="F21" s="5">
        <v>8.2745106205033593E-3</v>
      </c>
      <c r="G21" s="5">
        <v>4.2829956428710502E-3</v>
      </c>
      <c r="H21" s="16">
        <f t="shared" si="3"/>
        <v>0</v>
      </c>
      <c r="I21" s="16">
        <f t="shared" si="4"/>
        <v>1</v>
      </c>
      <c r="J21" s="16">
        <f t="shared" si="5"/>
        <v>4.5</v>
      </c>
      <c r="K21" s="16">
        <f t="shared" si="6"/>
        <v>10.666666666666666</v>
      </c>
      <c r="L21" s="16">
        <f t="shared" si="7"/>
        <v>60.666666666666664</v>
      </c>
      <c r="M21" s="16">
        <f t="shared" si="8"/>
        <v>200.16666666666666</v>
      </c>
      <c r="N21" s="33"/>
      <c r="P21">
        <v>6.4224427234734496E-2</v>
      </c>
      <c r="Q21">
        <v>0.22893530246709601</v>
      </c>
      <c r="R21">
        <v>0.58198300914003198</v>
      </c>
      <c r="S21">
        <v>2.1182747223488398</v>
      </c>
      <c r="T21">
        <v>8.4730988893953594</v>
      </c>
      <c r="W21">
        <v>9.8216553387208499E-2</v>
      </c>
      <c r="X21">
        <v>0.392866213548834</v>
      </c>
      <c r="Y21">
        <v>1.57146485419533</v>
      </c>
      <c r="Z21">
        <v>6.2858594167813404</v>
      </c>
      <c r="AA21">
        <v>25.143437667125301</v>
      </c>
      <c r="AC21" s="1">
        <f t="shared" si="9"/>
        <v>0</v>
      </c>
      <c r="AD21" s="1">
        <f t="shared" si="10"/>
        <v>40.726332395624006</v>
      </c>
      <c r="AE21" s="1">
        <f t="shared" si="11"/>
        <v>183.26849578030803</v>
      </c>
      <c r="AF21" s="1">
        <f t="shared" si="12"/>
        <v>434.41421221998934</v>
      </c>
      <c r="AG21" s="1">
        <f t="shared" si="13"/>
        <v>2470.7308320011894</v>
      </c>
      <c r="AH21" s="1">
        <f t="shared" si="14"/>
        <v>8152.0542011907373</v>
      </c>
      <c r="AJ21" s="13">
        <f t="shared" si="15"/>
        <v>0</v>
      </c>
      <c r="AK21" s="13">
        <f t="shared" si="16"/>
        <v>2.4554138346802101E-2</v>
      </c>
      <c r="AL21" s="13">
        <f t="shared" si="17"/>
        <v>0.11049362256060945</v>
      </c>
      <c r="AM21" s="13">
        <f t="shared" si="18"/>
        <v>0.2619108090325557</v>
      </c>
      <c r="AN21" s="13">
        <f t="shared" si="19"/>
        <v>1.4896177263726607</v>
      </c>
      <c r="AO21" s="13">
        <f t="shared" si="20"/>
        <v>4.9149200257515533</v>
      </c>
      <c r="BA21" s="1">
        <v>0</v>
      </c>
      <c r="BB21" s="1">
        <v>6</v>
      </c>
      <c r="BC21" s="1">
        <v>27</v>
      </c>
      <c r="BD21" s="1">
        <v>64</v>
      </c>
      <c r="BE21" s="1">
        <v>364</v>
      </c>
      <c r="BF21" s="1">
        <v>1201</v>
      </c>
    </row>
    <row r="22" spans="1:58" x14ac:dyDescent="0.25">
      <c r="A22" s="2">
        <v>52</v>
      </c>
      <c r="B22" s="2">
        <v>32</v>
      </c>
      <c r="C22" s="2">
        <v>820</v>
      </c>
      <c r="D22" s="2">
        <v>825</v>
      </c>
      <c r="E22" s="5">
        <v>1.6195175632876601E-2</v>
      </c>
      <c r="F22" s="5">
        <v>8.7837172608482301E-3</v>
      </c>
      <c r="G22" s="5">
        <v>7.5116788153303899E-3</v>
      </c>
      <c r="H22" s="16">
        <f t="shared" si="3"/>
        <v>0</v>
      </c>
      <c r="I22" s="16">
        <f t="shared" si="4"/>
        <v>0.6</v>
      </c>
      <c r="J22" s="16">
        <f t="shared" si="5"/>
        <v>4.2</v>
      </c>
      <c r="K22" s="16">
        <f t="shared" si="6"/>
        <v>14.8</v>
      </c>
      <c r="L22" s="16">
        <f t="shared" si="7"/>
        <v>79</v>
      </c>
      <c r="M22" s="16">
        <f t="shared" si="8"/>
        <v>198</v>
      </c>
      <c r="N22" s="33"/>
      <c r="P22">
        <v>5.66060042990124E-2</v>
      </c>
      <c r="Q22">
        <v>0.173305439270318</v>
      </c>
      <c r="R22">
        <v>0.56215790367475604</v>
      </c>
      <c r="S22">
        <v>2.2486316146990202</v>
      </c>
      <c r="T22">
        <v>8.9945264587960896</v>
      </c>
      <c r="W22">
        <v>6.4780702531506598E-2</v>
      </c>
      <c r="X22">
        <v>0.259122810126026</v>
      </c>
      <c r="Y22">
        <v>1.0364912405041</v>
      </c>
      <c r="Z22">
        <v>4.1459649620164196</v>
      </c>
      <c r="AA22">
        <v>16.5838598480656</v>
      </c>
      <c r="AC22" s="1">
        <f t="shared" si="9"/>
        <v>0</v>
      </c>
      <c r="AD22" s="1">
        <f t="shared" si="10"/>
        <v>37.048069968564306</v>
      </c>
      <c r="AE22" s="1">
        <f t="shared" si="11"/>
        <v>259.33648977995011</v>
      </c>
      <c r="AF22" s="1">
        <f t="shared" si="12"/>
        <v>913.85239255791953</v>
      </c>
      <c r="AG22" s="1">
        <f t="shared" si="13"/>
        <v>4877.9958791943</v>
      </c>
      <c r="AH22" s="1">
        <f t="shared" si="14"/>
        <v>12225.86308962622</v>
      </c>
      <c r="AJ22" s="13">
        <f t="shared" si="15"/>
        <v>0</v>
      </c>
      <c r="AK22" s="13">
        <f t="shared" si="16"/>
        <v>9.7171053797259609E-3</v>
      </c>
      <c r="AL22" s="13">
        <f t="shared" si="17"/>
        <v>6.8019737658081725E-2</v>
      </c>
      <c r="AM22" s="13">
        <f t="shared" si="18"/>
        <v>0.23968859936657372</v>
      </c>
      <c r="AN22" s="13">
        <f t="shared" si="19"/>
        <v>1.2794188749972515</v>
      </c>
      <c r="AO22" s="13">
        <f t="shared" si="20"/>
        <v>3.206644775309567</v>
      </c>
      <c r="BA22" s="1">
        <v>0</v>
      </c>
      <c r="BB22" s="1">
        <v>3</v>
      </c>
      <c r="BC22" s="1">
        <v>21</v>
      </c>
      <c r="BD22" s="1">
        <v>74</v>
      </c>
      <c r="BE22" s="1">
        <v>395</v>
      </c>
      <c r="BF22" s="1">
        <v>990</v>
      </c>
    </row>
    <row r="23" spans="1:58" x14ac:dyDescent="0.25">
      <c r="A23" s="2">
        <v>165</v>
      </c>
      <c r="B23" s="2">
        <v>16</v>
      </c>
      <c r="C23" s="2">
        <v>865</v>
      </c>
      <c r="D23" s="2">
        <v>875</v>
      </c>
      <c r="E23" s="5">
        <v>1.06254875376059E-2</v>
      </c>
      <c r="F23" s="5">
        <v>5.3979442955963304E-3</v>
      </c>
      <c r="G23" s="5">
        <v>5.0606462291010196E-3</v>
      </c>
      <c r="H23" s="16">
        <f t="shared" si="3"/>
        <v>0</v>
      </c>
      <c r="I23" s="16">
        <f t="shared" si="4"/>
        <v>0.1</v>
      </c>
      <c r="J23" s="16">
        <f t="shared" si="5"/>
        <v>1.1000000000000001</v>
      </c>
      <c r="K23" s="16">
        <f t="shared" si="6"/>
        <v>6.2</v>
      </c>
      <c r="L23" s="16">
        <f t="shared" si="7"/>
        <v>60.7</v>
      </c>
      <c r="M23" s="16">
        <f t="shared" si="8"/>
        <v>191.1</v>
      </c>
      <c r="N23" s="33"/>
      <c r="P23">
        <v>4.2501949944915698E-2</v>
      </c>
      <c r="Q23">
        <v>0.116374533955678</v>
      </c>
      <c r="R23">
        <v>0.36853445483851999</v>
      </c>
      <c r="S23">
        <v>1.38187374013061</v>
      </c>
      <c r="T23">
        <v>5.5274949605224499</v>
      </c>
      <c r="W23">
        <v>4.2501950150423698E-2</v>
      </c>
      <c r="X23">
        <v>0.17000780060169399</v>
      </c>
      <c r="Y23">
        <v>0.68003120240677895</v>
      </c>
      <c r="Z23">
        <v>2.72012480962711</v>
      </c>
      <c r="AA23">
        <v>10.880499238508399</v>
      </c>
      <c r="AC23" s="1">
        <f t="shared" si="9"/>
        <v>0</v>
      </c>
      <c r="AD23" s="1">
        <f t="shared" si="10"/>
        <v>9.4113328584762215</v>
      </c>
      <c r="AE23" s="1">
        <f t="shared" si="11"/>
        <v>103.52466144323844</v>
      </c>
      <c r="AF23" s="1">
        <f t="shared" si="12"/>
        <v>583.50263722552575</v>
      </c>
      <c r="AG23" s="1">
        <f t="shared" si="13"/>
        <v>5712.6790450950666</v>
      </c>
      <c r="AH23" s="1">
        <f t="shared" si="14"/>
        <v>17985.057092548057</v>
      </c>
      <c r="AJ23" s="13">
        <f t="shared" si="15"/>
        <v>0</v>
      </c>
      <c r="AK23" s="13">
        <f t="shared" si="16"/>
        <v>1.0625487537605902E-3</v>
      </c>
      <c r="AL23" s="13">
        <f t="shared" si="17"/>
        <v>1.1688036291366491E-2</v>
      </c>
      <c r="AM23" s="13">
        <f t="shared" si="18"/>
        <v>6.5878022733156585E-2</v>
      </c>
      <c r="AN23" s="13">
        <f t="shared" si="19"/>
        <v>0.64496709353267823</v>
      </c>
      <c r="AO23" s="13">
        <f t="shared" si="20"/>
        <v>2.0305306684364877</v>
      </c>
      <c r="BA23" s="1">
        <v>0</v>
      </c>
      <c r="BB23" s="1">
        <v>1</v>
      </c>
      <c r="BC23" s="1">
        <v>11</v>
      </c>
      <c r="BD23" s="1">
        <v>62</v>
      </c>
      <c r="BE23" s="1">
        <v>607</v>
      </c>
      <c r="BF23" s="1">
        <v>1911</v>
      </c>
    </row>
    <row r="24" spans="1:58" x14ac:dyDescent="0.25">
      <c r="A24" s="2">
        <v>166</v>
      </c>
      <c r="B24" s="2">
        <v>16</v>
      </c>
      <c r="C24" s="2">
        <v>920</v>
      </c>
      <c r="D24" s="2">
        <v>930</v>
      </c>
      <c r="E24" s="5">
        <v>5.4104257016193398E-3</v>
      </c>
      <c r="F24" s="5">
        <v>4.2237913969842902E-3</v>
      </c>
      <c r="G24" s="5">
        <v>4.0412722569313003E-3</v>
      </c>
      <c r="H24" s="16">
        <f t="shared" si="3"/>
        <v>0</v>
      </c>
      <c r="I24" s="16">
        <f t="shared" si="4"/>
        <v>0</v>
      </c>
      <c r="J24" s="16">
        <f t="shared" si="5"/>
        <v>0.2</v>
      </c>
      <c r="K24" s="16">
        <f t="shared" si="6"/>
        <v>3.2</v>
      </c>
      <c r="L24" s="16">
        <f t="shared" si="7"/>
        <v>53.6</v>
      </c>
      <c r="M24" s="16">
        <f t="shared" si="8"/>
        <v>202</v>
      </c>
      <c r="N24" s="33"/>
      <c r="Q24">
        <v>7.8663658425102104E-2</v>
      </c>
      <c r="R24">
        <v>0.286033381784213</v>
      </c>
      <c r="S24">
        <v>1.08129059920596</v>
      </c>
      <c r="T24">
        <v>4.3251623968238597</v>
      </c>
      <c r="X24">
        <v>8.56390953438151E-2</v>
      </c>
      <c r="Y24">
        <v>0.34626724490363803</v>
      </c>
      <c r="Z24">
        <v>1.3850689796145501</v>
      </c>
      <c r="AA24">
        <v>5.5402759184582102</v>
      </c>
      <c r="AC24" s="1">
        <f t="shared" si="9"/>
        <v>0</v>
      </c>
      <c r="AD24" s="1">
        <f t="shared" si="10"/>
        <v>0</v>
      </c>
      <c r="AE24" s="1">
        <f t="shared" si="11"/>
        <v>36.965667958463975</v>
      </c>
      <c r="AF24" s="1">
        <f t="shared" si="12"/>
        <v>591.45068733542359</v>
      </c>
      <c r="AG24" s="1">
        <f t="shared" si="13"/>
        <v>9906.799012868345</v>
      </c>
      <c r="AH24" s="1">
        <f t="shared" si="14"/>
        <v>37335.324638048616</v>
      </c>
      <c r="AJ24" s="13">
        <f t="shared" si="15"/>
        <v>0</v>
      </c>
      <c r="AK24" s="13">
        <f t="shared" si="16"/>
        <v>0</v>
      </c>
      <c r="AL24" s="13">
        <f t="shared" si="17"/>
        <v>1.082085140323868E-3</v>
      </c>
      <c r="AM24" s="13">
        <f t="shared" si="18"/>
        <v>1.7313362245181887E-2</v>
      </c>
      <c r="AN24" s="13">
        <f t="shared" si="19"/>
        <v>0.28999881760679663</v>
      </c>
      <c r="AO24" s="13">
        <f t="shared" si="20"/>
        <v>1.0929059917271067</v>
      </c>
      <c r="BA24" s="1">
        <v>0</v>
      </c>
      <c r="BB24" s="1">
        <v>0</v>
      </c>
      <c r="BC24" s="1">
        <v>2</v>
      </c>
      <c r="BD24" s="1">
        <v>32</v>
      </c>
      <c r="BE24" s="1">
        <v>536</v>
      </c>
      <c r="BF24" s="1">
        <v>2020</v>
      </c>
    </row>
    <row r="25" spans="1:58" x14ac:dyDescent="0.25">
      <c r="A25" s="2">
        <v>53</v>
      </c>
      <c r="B25" s="2">
        <v>22.6</v>
      </c>
      <c r="C25" s="2">
        <v>970</v>
      </c>
      <c r="D25" s="2">
        <v>985</v>
      </c>
      <c r="E25" s="5">
        <v>5.4074185586351197E-3</v>
      </c>
      <c r="F25" s="5">
        <v>3.7739188928974099E-3</v>
      </c>
      <c r="G25" s="5">
        <v>3.5257352179030601E-3</v>
      </c>
      <c r="H25" s="16">
        <f t="shared" si="3"/>
        <v>0</v>
      </c>
      <c r="I25" s="16">
        <f t="shared" si="4"/>
        <v>0</v>
      </c>
      <c r="J25" s="16">
        <f t="shared" si="5"/>
        <v>0.13333333333333333</v>
      </c>
      <c r="K25" s="16">
        <f t="shared" si="6"/>
        <v>2</v>
      </c>
      <c r="L25" s="16">
        <f t="shared" si="7"/>
        <v>40.06666666666667</v>
      </c>
      <c r="M25" s="16">
        <f t="shared" si="8"/>
        <v>200.2</v>
      </c>
      <c r="N25" s="33"/>
      <c r="Q25">
        <v>8.5713068849887802E-2</v>
      </c>
      <c r="R25">
        <v>0.28274257889141102</v>
      </c>
      <c r="S25">
        <v>0.96612323561066804</v>
      </c>
      <c r="T25">
        <v>3.8644929424426699</v>
      </c>
      <c r="X25">
        <v>8.5713069200916994E-2</v>
      </c>
      <c r="Y25">
        <v>0.346074787752647</v>
      </c>
      <c r="Z25">
        <v>1.38429915101059</v>
      </c>
      <c r="AA25">
        <v>5.5371966040423599</v>
      </c>
      <c r="AC25" s="1">
        <f t="shared" si="9"/>
        <v>0</v>
      </c>
      <c r="AD25" s="1">
        <f t="shared" si="10"/>
        <v>0</v>
      </c>
      <c r="AE25" s="1">
        <f t="shared" si="11"/>
        <v>24.657483397584048</v>
      </c>
      <c r="AF25" s="1">
        <f t="shared" si="12"/>
        <v>369.86225096376074</v>
      </c>
      <c r="AG25" s="1">
        <f t="shared" si="13"/>
        <v>7409.5737609740072</v>
      </c>
      <c r="AH25" s="1">
        <f t="shared" si="14"/>
        <v>37023.211321472445</v>
      </c>
      <c r="AJ25" s="13">
        <f t="shared" si="15"/>
        <v>0</v>
      </c>
      <c r="AK25" s="13">
        <f t="shared" si="16"/>
        <v>0</v>
      </c>
      <c r="AL25" s="13">
        <f t="shared" si="17"/>
        <v>7.2098914115134929E-4</v>
      </c>
      <c r="AM25" s="13">
        <f t="shared" si="18"/>
        <v>1.0814837117270239E-2</v>
      </c>
      <c r="AN25" s="13">
        <f t="shared" si="19"/>
        <v>0.21665723691598049</v>
      </c>
      <c r="AO25" s="13">
        <f t="shared" si="20"/>
        <v>1.082565195438751</v>
      </c>
      <c r="BA25" s="1">
        <v>0</v>
      </c>
      <c r="BB25" s="1">
        <v>0</v>
      </c>
      <c r="BC25" s="1">
        <v>2</v>
      </c>
      <c r="BD25" s="1">
        <v>30</v>
      </c>
      <c r="BE25" s="1">
        <v>601</v>
      </c>
      <c r="BF25" s="1">
        <v>3003</v>
      </c>
    </row>
    <row r="26" spans="1:58" x14ac:dyDescent="0.25">
      <c r="A26" s="2">
        <v>45</v>
      </c>
      <c r="B26" s="2">
        <v>22.6</v>
      </c>
      <c r="C26" s="2">
        <v>1020</v>
      </c>
      <c r="D26" s="2">
        <v>1030</v>
      </c>
      <c r="E26" s="5">
        <v>6.9634801117522301E-3</v>
      </c>
      <c r="F26" s="5">
        <v>4.7306891897243297E-3</v>
      </c>
      <c r="G26" s="5">
        <v>4.5595536316889104E-3</v>
      </c>
      <c r="H26" s="16">
        <f t="shared" si="3"/>
        <v>0</v>
      </c>
      <c r="I26" s="16">
        <f t="shared" si="4"/>
        <v>0.1</v>
      </c>
      <c r="J26" s="16">
        <f t="shared" si="5"/>
        <v>0.4</v>
      </c>
      <c r="K26" s="16">
        <f t="shared" si="6"/>
        <v>5.0999999999999996</v>
      </c>
      <c r="L26" s="16">
        <f t="shared" si="7"/>
        <v>49.4</v>
      </c>
      <c r="M26" s="16">
        <f t="shared" si="8"/>
        <v>193.1</v>
      </c>
      <c r="N26" s="33"/>
      <c r="P26">
        <v>2.7853920384742901E-2</v>
      </c>
      <c r="Q26">
        <v>0.102227488893629</v>
      </c>
      <c r="R26">
        <v>0.312084224737535</v>
      </c>
      <c r="S26">
        <v>1.21105643309446</v>
      </c>
      <c r="T26">
        <v>4.8442257323778604</v>
      </c>
      <c r="W26">
        <v>2.7853920447008899E-2</v>
      </c>
      <c r="X26">
        <v>0.111415681788035</v>
      </c>
      <c r="Y26">
        <v>0.445662727152142</v>
      </c>
      <c r="Z26">
        <v>1.78265090860857</v>
      </c>
      <c r="AA26">
        <v>7.13060363443428</v>
      </c>
      <c r="AC26" s="1">
        <f t="shared" si="9"/>
        <v>0</v>
      </c>
      <c r="AD26" s="1">
        <f t="shared" si="10"/>
        <v>14.360635543602761</v>
      </c>
      <c r="AE26" s="1">
        <f t="shared" si="11"/>
        <v>57.442542174411045</v>
      </c>
      <c r="AF26" s="1">
        <f t="shared" si="12"/>
        <v>732.39241272374079</v>
      </c>
      <c r="AG26" s="1">
        <f t="shared" si="13"/>
        <v>7094.1539585397641</v>
      </c>
      <c r="AH26" s="1">
        <f t="shared" si="14"/>
        <v>27730.387234696929</v>
      </c>
      <c r="AJ26" s="13">
        <f t="shared" si="15"/>
        <v>0</v>
      </c>
      <c r="AK26" s="13">
        <f t="shared" si="16"/>
        <v>6.9634801117522303E-4</v>
      </c>
      <c r="AL26" s="13">
        <f t="shared" si="17"/>
        <v>2.7853920447008921E-3</v>
      </c>
      <c r="AM26" s="13">
        <f t="shared" si="18"/>
        <v>3.5513748569936374E-2</v>
      </c>
      <c r="AN26" s="13">
        <f t="shared" si="19"/>
        <v>0.34399591752056013</v>
      </c>
      <c r="AO26" s="13">
        <f t="shared" si="20"/>
        <v>1.3446480095793556</v>
      </c>
      <c r="BA26" s="1">
        <v>0</v>
      </c>
      <c r="BB26" s="1">
        <v>1</v>
      </c>
      <c r="BC26" s="1">
        <v>4</v>
      </c>
      <c r="BD26" s="1">
        <v>51</v>
      </c>
      <c r="BE26" s="1">
        <v>494</v>
      </c>
      <c r="BF26" s="1">
        <v>1931</v>
      </c>
    </row>
    <row r="27" spans="1:58" x14ac:dyDescent="0.25">
      <c r="A27" s="3">
        <v>1.1000000000000001</v>
      </c>
      <c r="B27" s="3">
        <v>32</v>
      </c>
      <c r="C27" s="4">
        <v>50</v>
      </c>
      <c r="D27" s="4">
        <v>70</v>
      </c>
      <c r="E27" s="5">
        <v>1.40031756933689E-2</v>
      </c>
      <c r="F27" s="5">
        <v>5.6784984243662398E-3</v>
      </c>
      <c r="G27" s="5">
        <v>4.6667095589632999E-3</v>
      </c>
      <c r="H27" s="16">
        <f t="shared" si="3"/>
        <v>0</v>
      </c>
      <c r="I27" s="16">
        <f t="shared" si="4"/>
        <v>0.05</v>
      </c>
      <c r="J27" s="16">
        <f t="shared" si="5"/>
        <v>0.9</v>
      </c>
      <c r="K27" s="16">
        <f t="shared" si="6"/>
        <v>7.55</v>
      </c>
      <c r="L27" s="16">
        <f t="shared" si="7"/>
        <v>59.8</v>
      </c>
      <c r="M27" s="16">
        <f t="shared" si="8"/>
        <v>180.85</v>
      </c>
      <c r="N27" s="33"/>
      <c r="P27">
        <v>5.6012702773475899E-2</v>
      </c>
      <c r="Q27">
        <v>0.17662425401843199</v>
      </c>
      <c r="R27">
        <v>0.371998081424883</v>
      </c>
      <c r="S27">
        <v>1.4536955966377501</v>
      </c>
      <c r="T27">
        <v>5.8147823865510198</v>
      </c>
      <c r="W27">
        <v>5.6012702773475899E-2</v>
      </c>
      <c r="X27">
        <v>0.22405081109390301</v>
      </c>
      <c r="Y27">
        <v>0.89620324437561405</v>
      </c>
      <c r="Z27">
        <v>3.58481297750245</v>
      </c>
      <c r="AA27">
        <v>14.3392519100098</v>
      </c>
      <c r="AC27" s="1">
        <f t="shared" si="9"/>
        <v>0</v>
      </c>
      <c r="AD27" s="1">
        <f t="shared" si="10"/>
        <v>3.5706186292925777</v>
      </c>
      <c r="AE27" s="1">
        <f t="shared" si="11"/>
        <v>64.271135327266393</v>
      </c>
      <c r="AF27" s="1">
        <f t="shared" si="12"/>
        <v>539.16341302317915</v>
      </c>
      <c r="AG27" s="1">
        <f t="shared" si="13"/>
        <v>4270.4598806339227</v>
      </c>
      <c r="AH27" s="1">
        <f t="shared" si="14"/>
        <v>12914.927582151253</v>
      </c>
      <c r="AJ27" s="13">
        <f t="shared" si="15"/>
        <v>0</v>
      </c>
      <c r="AK27" s="13">
        <f t="shared" si="16"/>
        <v>7.0015878466844501E-4</v>
      </c>
      <c r="AL27" s="13">
        <f t="shared" si="17"/>
        <v>1.260285812403201E-2</v>
      </c>
      <c r="AM27" s="13">
        <f t="shared" si="18"/>
        <v>0.1057239764849352</v>
      </c>
      <c r="AN27" s="13">
        <f t="shared" si="19"/>
        <v>0.83738990646346023</v>
      </c>
      <c r="AO27" s="13">
        <f t="shared" si="20"/>
        <v>2.5324743241457655</v>
      </c>
      <c r="BA27" s="1">
        <v>0</v>
      </c>
      <c r="BB27" s="1">
        <v>1</v>
      </c>
      <c r="BC27" s="1">
        <v>18</v>
      </c>
      <c r="BD27" s="1">
        <v>151</v>
      </c>
      <c r="BE27" s="1">
        <v>1196</v>
      </c>
      <c r="BF27" s="1">
        <v>3617</v>
      </c>
    </row>
    <row r="28" spans="1:58" x14ac:dyDescent="0.25">
      <c r="A28" s="3">
        <v>1.2</v>
      </c>
      <c r="B28" s="3">
        <v>32</v>
      </c>
      <c r="C28" s="4">
        <v>70</v>
      </c>
      <c r="D28" s="4">
        <v>90</v>
      </c>
      <c r="E28" s="5">
        <v>1.0890800850407899E-2</v>
      </c>
      <c r="F28" s="5">
        <v>4.8212415579803897E-3</v>
      </c>
      <c r="G28" s="5">
        <v>4.1135640493545804E-3</v>
      </c>
      <c r="H28" s="16">
        <f t="shared" si="3"/>
        <v>0</v>
      </c>
      <c r="I28" s="16">
        <f t="shared" si="4"/>
        <v>0.05</v>
      </c>
      <c r="J28" s="16">
        <f t="shared" si="5"/>
        <v>0.55000000000000004</v>
      </c>
      <c r="K28" s="16">
        <f t="shared" si="6"/>
        <v>5.15</v>
      </c>
      <c r="L28" s="16">
        <f t="shared" si="7"/>
        <v>48.6</v>
      </c>
      <c r="M28" s="16">
        <f t="shared" si="8"/>
        <v>175.05</v>
      </c>
      <c r="N28" s="33"/>
      <c r="P28">
        <v>4.3563203401631702E-2</v>
      </c>
      <c r="Q28">
        <v>0.14678489544762599</v>
      </c>
      <c r="R28">
        <v>0.32808884276820199</v>
      </c>
      <c r="S28">
        <v>1.23423783884298</v>
      </c>
      <c r="T28">
        <v>4.93695135537192</v>
      </c>
      <c r="W28">
        <v>4.3563203401631702E-2</v>
      </c>
      <c r="X28">
        <v>0.174252813606527</v>
      </c>
      <c r="Y28">
        <v>0.69701125442610801</v>
      </c>
      <c r="Z28">
        <v>2.7880450177044298</v>
      </c>
      <c r="AA28">
        <v>11.1521800708177</v>
      </c>
      <c r="AC28" s="1">
        <f t="shared" si="9"/>
        <v>0</v>
      </c>
      <c r="AD28" s="1">
        <f t="shared" si="10"/>
        <v>4.5910306034222748</v>
      </c>
      <c r="AE28" s="1">
        <f t="shared" si="11"/>
        <v>50.501336637645025</v>
      </c>
      <c r="AF28" s="1">
        <f t="shared" si="12"/>
        <v>472.87615215249434</v>
      </c>
      <c r="AG28" s="1">
        <f t="shared" si="13"/>
        <v>4462.4817465264514</v>
      </c>
      <c r="AH28" s="1">
        <f t="shared" si="14"/>
        <v>16073.198142581385</v>
      </c>
      <c r="AJ28" s="13">
        <f t="shared" si="15"/>
        <v>0</v>
      </c>
      <c r="AK28" s="13">
        <f t="shared" si="16"/>
        <v>5.4454004252039502E-4</v>
      </c>
      <c r="AL28" s="13">
        <f t="shared" si="17"/>
        <v>5.9899404677243454E-3</v>
      </c>
      <c r="AM28" s="13">
        <f t="shared" si="18"/>
        <v>5.6087624379600687E-2</v>
      </c>
      <c r="AN28" s="13">
        <f t="shared" si="19"/>
        <v>0.52929292132982397</v>
      </c>
      <c r="AO28" s="13">
        <f t="shared" si="20"/>
        <v>1.906434688863903</v>
      </c>
      <c r="BA28" s="1">
        <v>0</v>
      </c>
      <c r="BB28" s="1">
        <v>1</v>
      </c>
      <c r="BC28" s="1">
        <v>11</v>
      </c>
      <c r="BD28" s="1">
        <v>103</v>
      </c>
      <c r="BE28" s="1">
        <v>972</v>
      </c>
      <c r="BF28" s="1">
        <v>3501</v>
      </c>
    </row>
    <row r="29" spans="1:58" x14ac:dyDescent="0.25">
      <c r="A29" s="3">
        <v>1.3</v>
      </c>
      <c r="B29" s="3">
        <v>32</v>
      </c>
      <c r="C29" s="4">
        <v>90</v>
      </c>
      <c r="D29" s="4">
        <v>100</v>
      </c>
      <c r="E29" s="5">
        <v>2.3197934886697399E-2</v>
      </c>
      <c r="F29" s="5">
        <v>9.1426900455134907E-3</v>
      </c>
      <c r="G29" s="5">
        <v>6.1375608082080103E-3</v>
      </c>
      <c r="H29" s="16">
        <f t="shared" si="3"/>
        <v>0</v>
      </c>
      <c r="I29" s="16">
        <f t="shared" si="4"/>
        <v>0.4</v>
      </c>
      <c r="J29" s="16">
        <f t="shared" si="5"/>
        <v>3.5</v>
      </c>
      <c r="K29" s="16">
        <f t="shared" si="6"/>
        <v>16.3</v>
      </c>
      <c r="L29" s="16">
        <f t="shared" si="7"/>
        <v>78.8</v>
      </c>
      <c r="M29" s="16">
        <f t="shared" si="8"/>
        <v>174.9</v>
      </c>
      <c r="N29" s="33"/>
      <c r="P29">
        <v>9.2791739546789598E-2</v>
      </c>
      <c r="Q29">
        <v>0.222368887754927</v>
      </c>
      <c r="R29">
        <v>0.58513216291286296</v>
      </c>
      <c r="S29">
        <v>2.3405286516514501</v>
      </c>
      <c r="T29">
        <v>9.3621146066058198</v>
      </c>
      <c r="W29">
        <v>9.2791739546789598E-2</v>
      </c>
      <c r="X29">
        <v>0.371166958187158</v>
      </c>
      <c r="Y29">
        <v>1.48466783274863</v>
      </c>
      <c r="Z29">
        <v>5.9386713309945298</v>
      </c>
      <c r="AA29">
        <v>23.754685323978102</v>
      </c>
      <c r="AC29" s="1">
        <f t="shared" si="9"/>
        <v>0</v>
      </c>
      <c r="AD29" s="1">
        <f t="shared" si="10"/>
        <v>17.242914162560893</v>
      </c>
      <c r="AE29" s="1">
        <f t="shared" si="11"/>
        <v>150.87549892240781</v>
      </c>
      <c r="AF29" s="1">
        <f t="shared" si="12"/>
        <v>702.64875212435641</v>
      </c>
      <c r="AG29" s="1">
        <f t="shared" si="13"/>
        <v>3396.8540900244957</v>
      </c>
      <c r="AH29" s="1">
        <f t="shared" si="14"/>
        <v>7539.4642175797508</v>
      </c>
      <c r="AJ29" s="13">
        <f t="shared" si="15"/>
        <v>0</v>
      </c>
      <c r="AK29" s="13">
        <f t="shared" si="16"/>
        <v>9.2791739546789608E-3</v>
      </c>
      <c r="AL29" s="13">
        <f t="shared" si="17"/>
        <v>8.1192772103440891E-2</v>
      </c>
      <c r="AM29" s="13">
        <f t="shared" si="18"/>
        <v>0.37812633865316764</v>
      </c>
      <c r="AN29" s="13">
        <f t="shared" si="19"/>
        <v>1.827997269071755</v>
      </c>
      <c r="AO29" s="13">
        <f t="shared" si="20"/>
        <v>4.0573188116833752</v>
      </c>
      <c r="BA29" s="1">
        <v>0</v>
      </c>
      <c r="BB29" s="1">
        <v>4</v>
      </c>
      <c r="BC29" s="1">
        <v>35</v>
      </c>
      <c r="BD29" s="1">
        <v>163</v>
      </c>
      <c r="BE29" s="1">
        <v>788</v>
      </c>
      <c r="BF29" s="1">
        <v>1749</v>
      </c>
    </row>
    <row r="30" spans="1:58" x14ac:dyDescent="0.25">
      <c r="A30" s="3">
        <v>2.1</v>
      </c>
      <c r="B30" s="3">
        <v>45</v>
      </c>
      <c r="C30" s="4">
        <v>120</v>
      </c>
      <c r="D30" s="4">
        <v>140</v>
      </c>
      <c r="E30" s="5">
        <v>3.5345925929864103E-2</v>
      </c>
      <c r="F30" s="5">
        <v>7.8507383881498607E-3</v>
      </c>
      <c r="G30" s="5">
        <v>4.0069409325786598E-3</v>
      </c>
      <c r="H30" s="16">
        <f t="shared" si="3"/>
        <v>0</v>
      </c>
      <c r="I30" s="16">
        <f t="shared" si="4"/>
        <v>0.55000000000000004</v>
      </c>
      <c r="J30" s="16">
        <f t="shared" si="5"/>
        <v>2.8</v>
      </c>
      <c r="K30" s="16">
        <f t="shared" si="6"/>
        <v>10.199999999999999</v>
      </c>
      <c r="L30" s="16">
        <f t="shared" si="7"/>
        <v>60.75</v>
      </c>
      <c r="M30" s="16">
        <f t="shared" si="8"/>
        <v>171.2</v>
      </c>
      <c r="N30" s="33"/>
      <c r="P30">
        <v>8.2766257918429495E-2</v>
      </c>
      <c r="Q30">
        <v>0.28137760228112102</v>
      </c>
      <c r="R30">
        <v>0.60837215584300797</v>
      </c>
      <c r="S30">
        <v>2.0097890273663599</v>
      </c>
      <c r="T30">
        <v>8.0391561094654609</v>
      </c>
      <c r="W30">
        <v>0.14138370371945599</v>
      </c>
      <c r="X30">
        <v>0.56553481487782498</v>
      </c>
      <c r="Y30">
        <v>2.2621392595112999</v>
      </c>
      <c r="Z30">
        <v>9.0485570380452103</v>
      </c>
      <c r="AA30">
        <v>36.194228152180798</v>
      </c>
      <c r="AC30" s="1">
        <f t="shared" si="9"/>
        <v>0</v>
      </c>
      <c r="AD30" s="1">
        <f t="shared" si="10"/>
        <v>15.560492066082782</v>
      </c>
      <c r="AE30" s="1">
        <f t="shared" si="11"/>
        <v>79.217050518239603</v>
      </c>
      <c r="AF30" s="1">
        <f t="shared" si="12"/>
        <v>288.57639831644428</v>
      </c>
      <c r="AG30" s="1">
        <f t="shared" si="13"/>
        <v>1718.7270782082344</v>
      </c>
      <c r="AH30" s="1">
        <f t="shared" si="14"/>
        <v>4843.5568031152216</v>
      </c>
      <c r="AJ30" s="13">
        <f t="shared" si="15"/>
        <v>0</v>
      </c>
      <c r="AK30" s="13">
        <f t="shared" si="16"/>
        <v>1.9440259261425258E-2</v>
      </c>
      <c r="AL30" s="13">
        <f t="shared" si="17"/>
        <v>9.8968592603619482E-2</v>
      </c>
      <c r="AM30" s="13">
        <f t="shared" si="18"/>
        <v>0.3605284444846138</v>
      </c>
      <c r="AN30" s="13">
        <f t="shared" si="19"/>
        <v>2.1472650002392442</v>
      </c>
      <c r="AO30" s="13">
        <f t="shared" si="20"/>
        <v>6.0512225191927342</v>
      </c>
      <c r="BA30" s="1">
        <v>0</v>
      </c>
      <c r="BB30" s="1">
        <v>11</v>
      </c>
      <c r="BC30" s="1">
        <v>56</v>
      </c>
      <c r="BD30" s="1">
        <v>204</v>
      </c>
      <c r="BE30" s="1">
        <v>1215</v>
      </c>
      <c r="BF30" s="1">
        <v>3424</v>
      </c>
    </row>
    <row r="31" spans="1:58" x14ac:dyDescent="0.25">
      <c r="A31" s="3">
        <v>2.2000000000000002</v>
      </c>
      <c r="B31" s="3">
        <v>45</v>
      </c>
      <c r="C31" s="4">
        <v>140</v>
      </c>
      <c r="D31" s="4">
        <v>155</v>
      </c>
      <c r="E31" s="5">
        <v>2.4016207968108199E-2</v>
      </c>
      <c r="F31" s="5">
        <v>6.5149661727545603E-3</v>
      </c>
      <c r="G31" s="5">
        <v>4.26435563054003E-3</v>
      </c>
      <c r="H31" s="16">
        <f t="shared" si="3"/>
        <v>6.6666666666666666E-2</v>
      </c>
      <c r="I31" s="16">
        <f t="shared" si="4"/>
        <v>0.33333333333333331</v>
      </c>
      <c r="J31" s="16">
        <f t="shared" si="5"/>
        <v>1.7333333333333334</v>
      </c>
      <c r="K31" s="16">
        <f t="shared" si="6"/>
        <v>7.4666666666666668</v>
      </c>
      <c r="L31" s="16">
        <f t="shared" si="7"/>
        <v>54.06666666666667</v>
      </c>
      <c r="M31" s="16">
        <f t="shared" si="8"/>
        <v>187.2</v>
      </c>
      <c r="N31" s="33"/>
      <c r="O31">
        <v>2.4016207968108199E-2</v>
      </c>
      <c r="P31">
        <v>6.1687066952672398E-2</v>
      </c>
      <c r="Q31">
        <v>0.19687478181427201</v>
      </c>
      <c r="R31">
        <v>0.46344710039377801</v>
      </c>
      <c r="S31">
        <v>1.6678313402251601</v>
      </c>
      <c r="T31">
        <v>6.6713253609006697</v>
      </c>
      <c r="V31">
        <v>2.4016207968108199E-2</v>
      </c>
      <c r="W31">
        <v>9.6064831872432796E-2</v>
      </c>
      <c r="X31">
        <v>0.38425932748973102</v>
      </c>
      <c r="Y31">
        <v>1.5370373099589201</v>
      </c>
      <c r="Z31">
        <v>6.1481492398356998</v>
      </c>
      <c r="AA31">
        <v>24.592596959342799</v>
      </c>
      <c r="AC31" s="1">
        <f t="shared" si="9"/>
        <v>2.7759031215583749</v>
      </c>
      <c r="AD31" s="1">
        <f t="shared" si="10"/>
        <v>13.879515607791873</v>
      </c>
      <c r="AE31" s="1">
        <f t="shared" si="11"/>
        <v>72.173481160517753</v>
      </c>
      <c r="AF31" s="1">
        <f t="shared" si="12"/>
        <v>310.90114961453799</v>
      </c>
      <c r="AG31" s="1">
        <f t="shared" si="13"/>
        <v>2251.2574315838424</v>
      </c>
      <c r="AH31" s="1">
        <f t="shared" si="14"/>
        <v>7794.7359653359163</v>
      </c>
      <c r="AJ31" s="13">
        <f t="shared" si="15"/>
        <v>1.6010805312072132E-3</v>
      </c>
      <c r="AK31" s="13">
        <f t="shared" si="16"/>
        <v>8.0054026560360658E-3</v>
      </c>
      <c r="AL31" s="13">
        <f t="shared" si="17"/>
        <v>4.1628093811387545E-2</v>
      </c>
      <c r="AM31" s="13">
        <f t="shared" si="18"/>
        <v>0.1793210194952079</v>
      </c>
      <c r="AN31" s="13">
        <f t="shared" si="19"/>
        <v>1.29847631080905</v>
      </c>
      <c r="AO31" s="13">
        <f t="shared" si="20"/>
        <v>4.4958341316298549</v>
      </c>
      <c r="BA31" s="1">
        <v>1</v>
      </c>
      <c r="BB31" s="1">
        <v>5</v>
      </c>
      <c r="BC31" s="1">
        <v>26</v>
      </c>
      <c r="BD31" s="1">
        <v>112</v>
      </c>
      <c r="BE31" s="1">
        <v>811</v>
      </c>
      <c r="BF31" s="1">
        <v>2808</v>
      </c>
    </row>
    <row r="32" spans="1:58" x14ac:dyDescent="0.25">
      <c r="A32" s="3">
        <v>2.2999999999999998</v>
      </c>
      <c r="B32" s="3">
        <v>45</v>
      </c>
      <c r="C32" s="4">
        <v>160</v>
      </c>
      <c r="D32" s="4">
        <v>170</v>
      </c>
      <c r="E32" s="5">
        <v>1.9422121419342901E-2</v>
      </c>
      <c r="F32" s="5">
        <v>7.5773751595888898E-3</v>
      </c>
      <c r="G32" s="5">
        <v>5.3544304928017398E-3</v>
      </c>
      <c r="H32" s="16">
        <f t="shared" si="3"/>
        <v>0</v>
      </c>
      <c r="I32" s="16">
        <f t="shared" si="4"/>
        <v>0.3</v>
      </c>
      <c r="J32" s="16">
        <f t="shared" si="5"/>
        <v>2.8</v>
      </c>
      <c r="K32" s="16">
        <f t="shared" si="6"/>
        <v>14.7</v>
      </c>
      <c r="L32" s="16">
        <f t="shared" si="7"/>
        <v>70</v>
      </c>
      <c r="M32" s="16">
        <f t="shared" si="8"/>
        <v>183.8</v>
      </c>
      <c r="N32" s="33"/>
      <c r="P32">
        <v>6.6744949341475304E-2</v>
      </c>
      <c r="Q32">
        <v>0.16107374150092801</v>
      </c>
      <c r="R32">
        <v>0.484952010213689</v>
      </c>
      <c r="S32">
        <v>1.93980804085475</v>
      </c>
      <c r="T32">
        <v>7.7592321634190196</v>
      </c>
      <c r="W32">
        <v>7.7688485677371896E-2</v>
      </c>
      <c r="X32">
        <v>0.31075394270948697</v>
      </c>
      <c r="Y32">
        <v>1.2430157708379499</v>
      </c>
      <c r="Z32">
        <v>4.9720630833517996</v>
      </c>
      <c r="AA32">
        <v>19.888252333407198</v>
      </c>
      <c r="AC32" s="1">
        <f t="shared" si="9"/>
        <v>0</v>
      </c>
      <c r="AD32" s="1">
        <f t="shared" si="10"/>
        <v>15.446304423842374</v>
      </c>
      <c r="AE32" s="1">
        <f t="shared" si="11"/>
        <v>144.16550795586215</v>
      </c>
      <c r="AF32" s="1">
        <f t="shared" si="12"/>
        <v>756.86891676827634</v>
      </c>
      <c r="AG32" s="1">
        <f t="shared" si="13"/>
        <v>3604.137698896554</v>
      </c>
      <c r="AH32" s="1">
        <f t="shared" si="14"/>
        <v>9463.4358436740949</v>
      </c>
      <c r="AJ32" s="13">
        <f t="shared" si="15"/>
        <v>0</v>
      </c>
      <c r="AK32" s="13">
        <f t="shared" si="16"/>
        <v>5.82663642580287E-3</v>
      </c>
      <c r="AL32" s="13">
        <f t="shared" si="17"/>
        <v>5.4381939974160118E-2</v>
      </c>
      <c r="AM32" s="13">
        <f t="shared" si="18"/>
        <v>0.28550518486434062</v>
      </c>
      <c r="AN32" s="13">
        <f t="shared" si="19"/>
        <v>1.359548499354003</v>
      </c>
      <c r="AO32" s="13">
        <f t="shared" si="20"/>
        <v>3.5697859168752255</v>
      </c>
      <c r="BA32" s="1">
        <v>0</v>
      </c>
      <c r="BB32" s="1">
        <v>3</v>
      </c>
      <c r="BC32" s="1">
        <v>28</v>
      </c>
      <c r="BD32" s="1">
        <v>147</v>
      </c>
      <c r="BE32" s="1">
        <v>700</v>
      </c>
      <c r="BF32" s="1">
        <v>1838</v>
      </c>
    </row>
    <row r="33" spans="1:58" x14ac:dyDescent="0.25">
      <c r="A33" s="3">
        <v>3.1</v>
      </c>
      <c r="B33" s="3">
        <v>64</v>
      </c>
      <c r="C33" s="4">
        <v>190</v>
      </c>
      <c r="D33" s="4">
        <v>210</v>
      </c>
      <c r="E33" s="5">
        <v>0.12653412852816501</v>
      </c>
      <c r="F33" s="5">
        <v>1.5222331559222001E-2</v>
      </c>
      <c r="G33" s="5">
        <v>4.5052689799184196E-3</v>
      </c>
      <c r="H33" s="16">
        <f t="shared" si="3"/>
        <v>0.5</v>
      </c>
      <c r="I33" s="16">
        <f t="shared" si="4"/>
        <v>1.9</v>
      </c>
      <c r="J33" s="16">
        <f t="shared" si="5"/>
        <v>5.65</v>
      </c>
      <c r="K33" s="16">
        <f t="shared" si="6"/>
        <v>15.6</v>
      </c>
      <c r="L33" s="16">
        <f t="shared" si="7"/>
        <v>60.6</v>
      </c>
      <c r="M33" s="16">
        <f t="shared" si="8"/>
        <v>165.3</v>
      </c>
      <c r="N33" s="33"/>
      <c r="O33">
        <v>9.5477972807156197E-2</v>
      </c>
      <c r="P33">
        <v>0.192484405703403</v>
      </c>
      <c r="Q33">
        <v>0.54260603351381897</v>
      </c>
      <c r="R33">
        <v>1.4445985101020999</v>
      </c>
      <c r="S33">
        <v>3.8969168791608402</v>
      </c>
      <c r="T33">
        <v>15.5876675166433</v>
      </c>
      <c r="V33">
        <v>0.12653412852816501</v>
      </c>
      <c r="W33">
        <v>0.50613651411266203</v>
      </c>
      <c r="X33">
        <v>2.0245460564506401</v>
      </c>
      <c r="Y33">
        <v>8.0981842258025907</v>
      </c>
      <c r="Z33">
        <v>32.392736903210299</v>
      </c>
      <c r="AA33">
        <v>129.570947612841</v>
      </c>
      <c r="AC33" s="1">
        <f t="shared" si="9"/>
        <v>3.9515030910313329</v>
      </c>
      <c r="AD33" s="1">
        <f t="shared" si="10"/>
        <v>15.015711745919065</v>
      </c>
      <c r="AE33" s="1">
        <f t="shared" si="11"/>
        <v>44.651984928654066</v>
      </c>
      <c r="AF33" s="1">
        <f t="shared" si="12"/>
        <v>123.28689644017759</v>
      </c>
      <c r="AG33" s="1">
        <f t="shared" si="13"/>
        <v>478.92217463299755</v>
      </c>
      <c r="AH33" s="1">
        <f t="shared" si="14"/>
        <v>1306.3669218949588</v>
      </c>
      <c r="AJ33" s="13">
        <f t="shared" si="15"/>
        <v>6.3267064264082504E-2</v>
      </c>
      <c r="AK33" s="13">
        <f t="shared" si="16"/>
        <v>0.2404148442035135</v>
      </c>
      <c r="AL33" s="13">
        <f t="shared" si="17"/>
        <v>0.71491782618413235</v>
      </c>
      <c r="AM33" s="13">
        <f t="shared" si="18"/>
        <v>1.9739324050393741</v>
      </c>
      <c r="AN33" s="13">
        <f t="shared" si="19"/>
        <v>7.6679681888067996</v>
      </c>
      <c r="AO33" s="13">
        <f t="shared" si="20"/>
        <v>20.916091445705678</v>
      </c>
      <c r="BA33" s="1">
        <v>10</v>
      </c>
      <c r="BB33" s="1">
        <v>38</v>
      </c>
      <c r="BC33" s="1">
        <v>113</v>
      </c>
      <c r="BD33" s="1">
        <v>312</v>
      </c>
      <c r="BE33" s="1">
        <v>1212</v>
      </c>
      <c r="BF33" s="1">
        <v>3306</v>
      </c>
    </row>
    <row r="34" spans="1:58" x14ac:dyDescent="0.25">
      <c r="A34" s="3">
        <v>3.2</v>
      </c>
      <c r="B34" s="3">
        <v>64</v>
      </c>
      <c r="C34" s="4">
        <v>215</v>
      </c>
      <c r="D34" s="4">
        <v>230</v>
      </c>
      <c r="E34" s="5">
        <v>5.1502950973667999E-2</v>
      </c>
      <c r="F34" s="5">
        <v>1.37528556522491E-2</v>
      </c>
      <c r="G34" s="5">
        <v>4.5700514622563203E-3</v>
      </c>
      <c r="H34" s="16">
        <f t="shared" si="3"/>
        <v>0.13333333333333333</v>
      </c>
      <c r="I34" s="16">
        <f t="shared" si="4"/>
        <v>2</v>
      </c>
      <c r="J34" s="16">
        <f t="shared" si="5"/>
        <v>7.333333333333333</v>
      </c>
      <c r="K34" s="16">
        <f t="shared" si="6"/>
        <v>18.600000000000001</v>
      </c>
      <c r="L34" s="16">
        <f t="shared" si="7"/>
        <v>68.8</v>
      </c>
      <c r="M34" s="16">
        <f t="shared" si="8"/>
        <v>171.33333333333334</v>
      </c>
      <c r="N34" s="33"/>
      <c r="O34">
        <v>2.8717702047744001E-2</v>
      </c>
      <c r="P34">
        <v>0.11587567427319601</v>
      </c>
      <c r="Q34">
        <v>0.424330918118209</v>
      </c>
      <c r="R34">
        <v>1.0317760232201201</v>
      </c>
      <c r="S34">
        <v>3.52073104697577</v>
      </c>
      <c r="T34">
        <v>14.082924187903</v>
      </c>
      <c r="V34">
        <v>3.4786896818932399E-2</v>
      </c>
      <c r="W34">
        <v>0.206011803894672</v>
      </c>
      <c r="X34">
        <v>0.82404721557868799</v>
      </c>
      <c r="Y34">
        <v>3.2961888623147502</v>
      </c>
      <c r="Z34">
        <v>13.184755449259001</v>
      </c>
      <c r="AA34">
        <v>52.739021797036003</v>
      </c>
      <c r="AC34" s="1">
        <f t="shared" si="9"/>
        <v>2.5888484215497263</v>
      </c>
      <c r="AD34" s="1">
        <f t="shared" si="10"/>
        <v>38.832726323245893</v>
      </c>
      <c r="AE34" s="1">
        <f t="shared" si="11"/>
        <v>142.38666318523494</v>
      </c>
      <c r="AF34" s="1">
        <f t="shared" si="12"/>
        <v>361.14435480618681</v>
      </c>
      <c r="AG34" s="1">
        <f t="shared" si="13"/>
        <v>1335.8457855196586</v>
      </c>
      <c r="AH34" s="1">
        <f t="shared" si="14"/>
        <v>3326.6702216913982</v>
      </c>
      <c r="AJ34" s="13">
        <f t="shared" si="15"/>
        <v>6.8670601298223997E-3</v>
      </c>
      <c r="AK34" s="13">
        <f t="shared" si="16"/>
        <v>0.103005901947336</v>
      </c>
      <c r="AL34" s="13">
        <f t="shared" si="17"/>
        <v>0.37768830714023199</v>
      </c>
      <c r="AM34" s="13">
        <f t="shared" si="18"/>
        <v>0.95795488811022489</v>
      </c>
      <c r="AN34" s="13">
        <f t="shared" si="19"/>
        <v>3.5434030269883583</v>
      </c>
      <c r="AO34" s="13">
        <f t="shared" si="20"/>
        <v>8.824172266821785</v>
      </c>
      <c r="BA34" s="1">
        <v>2</v>
      </c>
      <c r="BB34" s="1">
        <v>30</v>
      </c>
      <c r="BC34" s="1">
        <v>110</v>
      </c>
      <c r="BD34" s="1">
        <v>279</v>
      </c>
      <c r="BE34" s="1">
        <v>1032</v>
      </c>
      <c r="BF34" s="1">
        <v>2570</v>
      </c>
    </row>
    <row r="35" spans="1:58" x14ac:dyDescent="0.25">
      <c r="A35" s="3">
        <v>3.3</v>
      </c>
      <c r="B35" s="3">
        <v>64</v>
      </c>
      <c r="C35" s="4">
        <v>230</v>
      </c>
      <c r="D35" s="4">
        <v>250</v>
      </c>
      <c r="E35" s="5">
        <v>5.04335454776157E-2</v>
      </c>
      <c r="F35" s="5">
        <v>9.8602655911611495E-3</v>
      </c>
      <c r="G35" s="5">
        <v>4.3864038070395503E-3</v>
      </c>
      <c r="H35" s="16">
        <f t="shared" si="3"/>
        <v>0.2</v>
      </c>
      <c r="I35" s="16">
        <f t="shared" si="4"/>
        <v>1</v>
      </c>
      <c r="J35" s="16">
        <f t="shared" si="5"/>
        <v>3.4</v>
      </c>
      <c r="K35" s="16">
        <f t="shared" si="6"/>
        <v>12.25</v>
      </c>
      <c r="L35" s="16">
        <f t="shared" si="7"/>
        <v>57.75</v>
      </c>
      <c r="M35" s="16">
        <f t="shared" si="8"/>
        <v>167.8</v>
      </c>
      <c r="N35" s="33"/>
      <c r="O35">
        <v>4.2099641834455401E-2</v>
      </c>
      <c r="P35">
        <v>0.10745936765490099</v>
      </c>
      <c r="Q35">
        <v>0.342981303210388</v>
      </c>
      <c r="R35">
        <v>0.759859641009906</v>
      </c>
      <c r="S35">
        <v>2.5242279913372498</v>
      </c>
      <c r="T35">
        <v>10.096911965348999</v>
      </c>
      <c r="V35">
        <v>5.04335454776157E-2</v>
      </c>
      <c r="W35">
        <v>0.201734181910463</v>
      </c>
      <c r="X35">
        <v>0.80693672764185198</v>
      </c>
      <c r="Y35">
        <v>3.2277469105674101</v>
      </c>
      <c r="Z35">
        <v>12.9109876422696</v>
      </c>
      <c r="AA35">
        <v>51.643950569078498</v>
      </c>
      <c r="AC35" s="1">
        <f t="shared" si="9"/>
        <v>3.9656145152191913</v>
      </c>
      <c r="AD35" s="1">
        <f t="shared" si="10"/>
        <v>19.828072576095956</v>
      </c>
      <c r="AE35" s="1">
        <f t="shared" si="11"/>
        <v>67.415446758726247</v>
      </c>
      <c r="AF35" s="1">
        <f t="shared" si="12"/>
        <v>242.89388905717544</v>
      </c>
      <c r="AG35" s="1">
        <f t="shared" si="13"/>
        <v>1145.0711912695413</v>
      </c>
      <c r="AH35" s="1">
        <f t="shared" si="14"/>
        <v>3327.1505782689014</v>
      </c>
      <c r="AJ35" s="13">
        <f t="shared" si="15"/>
        <v>1.0086709095523141E-2</v>
      </c>
      <c r="AK35" s="13">
        <f t="shared" si="16"/>
        <v>5.04335454776157E-2</v>
      </c>
      <c r="AL35" s="13">
        <f t="shared" si="17"/>
        <v>0.17147405462389337</v>
      </c>
      <c r="AM35" s="13">
        <f t="shared" si="18"/>
        <v>0.6178109321007923</v>
      </c>
      <c r="AN35" s="13">
        <f t="shared" si="19"/>
        <v>2.9125372513323069</v>
      </c>
      <c r="AO35" s="13">
        <f t="shared" si="20"/>
        <v>8.4627489311439152</v>
      </c>
      <c r="BA35" s="1">
        <v>4</v>
      </c>
      <c r="BB35" s="1">
        <v>20</v>
      </c>
      <c r="BC35" s="1">
        <v>68</v>
      </c>
      <c r="BD35" s="1">
        <v>245</v>
      </c>
      <c r="BE35" s="1">
        <v>1155</v>
      </c>
      <c r="BF35" s="1">
        <v>3356</v>
      </c>
    </row>
    <row r="36" spans="1:58" x14ac:dyDescent="0.25">
      <c r="A36" s="3">
        <v>4.0999999999999996</v>
      </c>
      <c r="B36" s="3">
        <v>90</v>
      </c>
      <c r="C36" s="4">
        <v>270</v>
      </c>
      <c r="D36" s="4">
        <v>285</v>
      </c>
      <c r="E36" s="5">
        <v>9.6840712231762202E-2</v>
      </c>
      <c r="F36" s="5">
        <v>2.94139388502281E-2</v>
      </c>
      <c r="G36" s="5">
        <v>9.5407724532447606E-3</v>
      </c>
      <c r="H36" s="16">
        <f t="shared" si="3"/>
        <v>0.8</v>
      </c>
      <c r="I36" s="16">
        <f t="shared" si="4"/>
        <v>4.0666666666666664</v>
      </c>
      <c r="J36" s="16">
        <f t="shared" si="5"/>
        <v>12.466666666666667</v>
      </c>
      <c r="K36" s="16">
        <f t="shared" si="6"/>
        <v>32.666666666666664</v>
      </c>
      <c r="L36" s="16">
        <f t="shared" si="7"/>
        <v>67.933333333333337</v>
      </c>
      <c r="M36" s="16">
        <f t="shared" si="8"/>
        <v>150.53333333333333</v>
      </c>
      <c r="N36" s="33"/>
      <c r="O36">
        <v>6.9669475601588704E-2</v>
      </c>
      <c r="P36">
        <v>0.21182245741774999</v>
      </c>
      <c r="Q36">
        <v>0.71876689058186105</v>
      </c>
      <c r="R36">
        <v>2.4352261038974299</v>
      </c>
      <c r="S36">
        <v>7.5299683456584097</v>
      </c>
      <c r="T36">
        <v>30.1198733826336</v>
      </c>
      <c r="V36">
        <v>9.6840712231762202E-2</v>
      </c>
      <c r="W36">
        <v>0.38736284892704798</v>
      </c>
      <c r="X36">
        <v>1.5494513957081899</v>
      </c>
      <c r="Y36">
        <v>6.19780558283278</v>
      </c>
      <c r="Z36">
        <v>24.791222331331099</v>
      </c>
      <c r="AA36">
        <v>99.164889325324495</v>
      </c>
      <c r="AC36" s="1">
        <f t="shared" si="9"/>
        <v>8.2609883959281003</v>
      </c>
      <c r="AD36" s="1">
        <f t="shared" si="10"/>
        <v>41.993357679301177</v>
      </c>
      <c r="AE36" s="1">
        <f t="shared" si="11"/>
        <v>128.73373583654623</v>
      </c>
      <c r="AF36" s="1">
        <f t="shared" si="12"/>
        <v>337.32369283373072</v>
      </c>
      <c r="AG36" s="1">
        <f t="shared" si="13"/>
        <v>701.49559795422795</v>
      </c>
      <c r="AH36" s="1">
        <f t="shared" si="14"/>
        <v>1554.4426498338041</v>
      </c>
      <c r="AJ36" s="13">
        <f t="shared" si="15"/>
        <v>7.747256978540977E-2</v>
      </c>
      <c r="AK36" s="13">
        <f t="shared" si="16"/>
        <v>0.39381889640916629</v>
      </c>
      <c r="AL36" s="13">
        <f t="shared" si="17"/>
        <v>1.2072808791559688</v>
      </c>
      <c r="AM36" s="13">
        <f t="shared" si="18"/>
        <v>3.163463266237565</v>
      </c>
      <c r="AN36" s="13">
        <f t="shared" si="19"/>
        <v>6.5787123842777122</v>
      </c>
      <c r="AO36" s="13">
        <f t="shared" si="20"/>
        <v>14.57775521462127</v>
      </c>
      <c r="BA36" s="1">
        <v>12</v>
      </c>
      <c r="BB36" s="1">
        <v>61</v>
      </c>
      <c r="BC36" s="1">
        <v>187</v>
      </c>
      <c r="BD36" s="1">
        <v>490</v>
      </c>
      <c r="BE36" s="1">
        <v>1019</v>
      </c>
      <c r="BF36" s="1">
        <v>2258</v>
      </c>
    </row>
    <row r="37" spans="1:58" x14ac:dyDescent="0.25">
      <c r="A37" s="3">
        <v>4.2</v>
      </c>
      <c r="B37" s="3">
        <v>90</v>
      </c>
      <c r="C37" s="4">
        <v>290</v>
      </c>
      <c r="D37" s="4">
        <v>310</v>
      </c>
      <c r="E37" s="5">
        <v>4.1669974213015902E-2</v>
      </c>
      <c r="F37" s="5">
        <v>9.9725509064199202E-3</v>
      </c>
      <c r="G37" s="5">
        <v>6.2822795747625101E-3</v>
      </c>
      <c r="H37" s="16">
        <f t="shared" si="3"/>
        <v>0</v>
      </c>
      <c r="I37" s="16">
        <f t="shared" si="4"/>
        <v>0.75</v>
      </c>
      <c r="J37" s="16">
        <f t="shared" si="5"/>
        <v>4.0999999999999996</v>
      </c>
      <c r="K37" s="16">
        <f t="shared" si="6"/>
        <v>17.649999999999999</v>
      </c>
      <c r="L37" s="16">
        <f t="shared" si="7"/>
        <v>69.7</v>
      </c>
      <c r="M37" s="16">
        <f t="shared" si="8"/>
        <v>167.75</v>
      </c>
      <c r="N37" s="33"/>
      <c r="P37">
        <v>7.9120500982877304E-2</v>
      </c>
      <c r="Q37">
        <v>0.25286216921415</v>
      </c>
      <c r="R37">
        <v>0.66084681493743003</v>
      </c>
      <c r="S37">
        <v>2.5529730320435</v>
      </c>
      <c r="T37">
        <v>10.211892128174</v>
      </c>
      <c r="W37">
        <v>0.166679896852063</v>
      </c>
      <c r="X37">
        <v>0.66671958740825399</v>
      </c>
      <c r="Y37">
        <v>2.6668783496330102</v>
      </c>
      <c r="Z37">
        <v>10.667513398532</v>
      </c>
      <c r="AA37">
        <v>42.670053594128298</v>
      </c>
      <c r="AC37" s="1">
        <f t="shared" si="9"/>
        <v>0</v>
      </c>
      <c r="AD37" s="1">
        <f t="shared" si="10"/>
        <v>17.998571253392626</v>
      </c>
      <c r="AE37" s="1">
        <f t="shared" si="11"/>
        <v>98.392189518546346</v>
      </c>
      <c r="AF37" s="1">
        <f t="shared" si="12"/>
        <v>423.56637682983973</v>
      </c>
      <c r="AG37" s="1">
        <f t="shared" si="13"/>
        <v>1672.667221815288</v>
      </c>
      <c r="AH37" s="1">
        <f t="shared" si="14"/>
        <v>4025.6804370088171</v>
      </c>
      <c r="AJ37" s="13">
        <f t="shared" si="15"/>
        <v>0</v>
      </c>
      <c r="AK37" s="13">
        <f t="shared" si="16"/>
        <v>3.1252480659761925E-2</v>
      </c>
      <c r="AL37" s="13">
        <f t="shared" si="17"/>
        <v>0.17084689427336519</v>
      </c>
      <c r="AM37" s="13">
        <f t="shared" si="18"/>
        <v>0.73547504485973059</v>
      </c>
      <c r="AN37" s="13">
        <f t="shared" si="19"/>
        <v>2.9043972026472087</v>
      </c>
      <c r="AO37" s="13">
        <f t="shared" si="20"/>
        <v>6.9901381742334179</v>
      </c>
      <c r="BA37" s="1">
        <v>0</v>
      </c>
      <c r="BB37" s="1">
        <v>15</v>
      </c>
      <c r="BC37" s="1">
        <v>82</v>
      </c>
      <c r="BD37" s="1">
        <v>353</v>
      </c>
      <c r="BE37" s="1">
        <v>1394</v>
      </c>
      <c r="BF37" s="1">
        <v>3355</v>
      </c>
    </row>
    <row r="38" spans="1:58" x14ac:dyDescent="0.25">
      <c r="A38" s="3">
        <v>4.3</v>
      </c>
      <c r="B38" s="3">
        <v>90</v>
      </c>
      <c r="C38" s="4">
        <v>310</v>
      </c>
      <c r="D38" s="4">
        <v>330</v>
      </c>
      <c r="E38" s="5">
        <v>6.5041528765672305E-2</v>
      </c>
      <c r="F38" s="5">
        <v>1.5521667521925899E-2</v>
      </c>
      <c r="G38" s="5">
        <v>9.3037999635866304E-3</v>
      </c>
      <c r="H38" s="16">
        <f t="shared" si="3"/>
        <v>0.3</v>
      </c>
      <c r="I38" s="16">
        <f t="shared" si="4"/>
        <v>1.6</v>
      </c>
      <c r="J38" s="16">
        <f t="shared" si="5"/>
        <v>7.1</v>
      </c>
      <c r="K38" s="16">
        <f t="shared" si="6"/>
        <v>20.95</v>
      </c>
      <c r="L38" s="16">
        <f t="shared" si="7"/>
        <v>76.55</v>
      </c>
      <c r="M38" s="16">
        <f t="shared" si="8"/>
        <v>164.3</v>
      </c>
      <c r="N38" s="33"/>
      <c r="O38">
        <v>6.2038722824561902E-2</v>
      </c>
      <c r="P38">
        <v>0.13350547172294899</v>
      </c>
      <c r="Q38">
        <v>0.41039439745539202</v>
      </c>
      <c r="R38">
        <v>1.17781242915115</v>
      </c>
      <c r="S38">
        <v>3.97354688561304</v>
      </c>
      <c r="T38">
        <v>15.8941875424521</v>
      </c>
      <c r="V38">
        <v>6.5041528765672305E-2</v>
      </c>
      <c r="W38">
        <v>0.260166115062689</v>
      </c>
      <c r="X38">
        <v>1.04066446025075</v>
      </c>
      <c r="Y38">
        <v>4.1626578410030204</v>
      </c>
      <c r="Z38">
        <v>16.650631364012099</v>
      </c>
      <c r="AA38">
        <v>66.602525456048397</v>
      </c>
      <c r="AC38" s="1">
        <f t="shared" si="9"/>
        <v>4.6124377100793845</v>
      </c>
      <c r="AD38" s="1">
        <f t="shared" si="10"/>
        <v>24.599667787090052</v>
      </c>
      <c r="AE38" s="1">
        <f t="shared" si="11"/>
        <v>109.16102580521211</v>
      </c>
      <c r="AF38" s="1">
        <f t="shared" si="12"/>
        <v>322.10190008721037</v>
      </c>
      <c r="AG38" s="1">
        <f t="shared" si="13"/>
        <v>1176.9403556885895</v>
      </c>
      <c r="AH38" s="1">
        <f t="shared" si="14"/>
        <v>2526.0783858868099</v>
      </c>
      <c r="AJ38" s="13">
        <f t="shared" si="15"/>
        <v>1.951245862970169E-2</v>
      </c>
      <c r="AK38" s="13">
        <f t="shared" si="16"/>
        <v>0.1040664460250757</v>
      </c>
      <c r="AL38" s="13">
        <f t="shared" si="17"/>
        <v>0.46179485423627337</v>
      </c>
      <c r="AM38" s="13">
        <f t="shared" si="18"/>
        <v>1.3626200276408347</v>
      </c>
      <c r="AN38" s="13">
        <f t="shared" si="19"/>
        <v>4.9789290270122146</v>
      </c>
      <c r="AO38" s="13">
        <f t="shared" si="20"/>
        <v>10.686323176199961</v>
      </c>
      <c r="BA38" s="1">
        <v>6</v>
      </c>
      <c r="BB38" s="1">
        <v>32</v>
      </c>
      <c r="BC38" s="1">
        <v>142</v>
      </c>
      <c r="BD38" s="1">
        <v>419</v>
      </c>
      <c r="BE38" s="1">
        <v>1531</v>
      </c>
      <c r="BF38" s="1">
        <v>3286</v>
      </c>
    </row>
    <row r="39" spans="1:58" x14ac:dyDescent="0.25">
      <c r="F39" s="1"/>
      <c r="H39" s="1"/>
      <c r="I39" s="1"/>
      <c r="J39" s="1"/>
      <c r="K39" s="1"/>
      <c r="L39" s="1"/>
      <c r="M39" s="1"/>
    </row>
    <row r="40" spans="1:58" x14ac:dyDescent="0.25">
      <c r="F40" s="1"/>
    </row>
    <row r="41" spans="1:58" x14ac:dyDescent="0.25">
      <c r="F41" s="1"/>
    </row>
    <row r="42" spans="1:58" x14ac:dyDescent="0.25">
      <c r="F42" s="1"/>
    </row>
    <row r="43" spans="1:58" x14ac:dyDescent="0.25">
      <c r="F43" s="1"/>
    </row>
  </sheetData>
  <mergeCells count="2">
    <mergeCell ref="AC1:AH1"/>
    <mergeCell ref="AJ1:A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56"/>
  <sheetViews>
    <sheetView tabSelected="1" topLeftCell="O133" zoomScale="145" zoomScaleNormal="145" workbookViewId="0">
      <selection activeCell="U142" sqref="U142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0.5703125" bestFit="1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2" customWidth="1"/>
    <col min="19" max="19" width="13.28515625" customWidth="1"/>
    <col min="20" max="20" width="15.28515625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5.5703125" customWidth="1"/>
    <col min="30" max="30" width="15.28515625" customWidth="1"/>
    <col min="31" max="31" width="15" customWidth="1"/>
    <col min="32" max="32" width="14.85546875" customWidth="1"/>
    <col min="35" max="35" width="14" customWidth="1"/>
    <col min="36" max="36" width="15.85546875" customWidth="1"/>
    <col min="37" max="37" width="14.85546875" customWidth="1"/>
    <col min="38" max="38" width="10.140625" customWidth="1"/>
    <col min="41" max="41" width="14.28515625" customWidth="1"/>
    <col min="42" max="42" width="14.140625" customWidth="1"/>
    <col min="43" max="43" width="13.42578125" customWidth="1"/>
  </cols>
  <sheetData>
    <row r="1" spans="1:66" x14ac:dyDescent="0.25">
      <c r="AP1" s="1" t="s">
        <v>124</v>
      </c>
      <c r="AQ1" s="68" t="s">
        <v>125</v>
      </c>
      <c r="AR1" s="68"/>
      <c r="AS1" s="69" t="s">
        <v>149</v>
      </c>
      <c r="AT1" s="68"/>
      <c r="AU1" s="68"/>
      <c r="AV1" s="68"/>
      <c r="AW1" s="68"/>
      <c r="AX1" s="70"/>
      <c r="AY1" s="69" t="s">
        <v>150</v>
      </c>
      <c r="AZ1" s="68"/>
      <c r="BA1" s="68"/>
      <c r="BB1" s="68"/>
      <c r="BC1" s="68"/>
      <c r="BD1" s="70"/>
      <c r="BE1" s="69" t="s">
        <v>155</v>
      </c>
      <c r="BF1" s="68"/>
      <c r="BG1" s="68"/>
      <c r="BH1" s="68"/>
      <c r="BI1" s="68"/>
      <c r="BJ1" s="70"/>
    </row>
    <row r="2" spans="1:66" x14ac:dyDescent="0.25">
      <c r="A2" t="s">
        <v>61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96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/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/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P2" s="1"/>
      <c r="AQ2" s="63" t="s">
        <v>126</v>
      </c>
      <c r="AR2" s="1" t="s">
        <v>127</v>
      </c>
      <c r="AS2" s="6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X2" s="7" t="s">
        <v>123</v>
      </c>
      <c r="AY2" s="6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D2" s="7" t="s">
        <v>123</v>
      </c>
      <c r="BE2" s="6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  <c r="BJ2" s="7" t="s">
        <v>123</v>
      </c>
    </row>
    <row r="3" spans="1:66" x14ac:dyDescent="0.25">
      <c r="A3" s="47" t="s">
        <v>68</v>
      </c>
      <c r="B3" s="50">
        <v>479.999977324263</v>
      </c>
      <c r="C3" s="45">
        <v>0.21698840087687299</v>
      </c>
      <c r="D3" s="45">
        <v>6.9417065E-2</v>
      </c>
      <c r="E3" s="45">
        <v>5.3667272000000002E-2</v>
      </c>
      <c r="F3" s="45">
        <f>AH3/$B3</f>
        <v>0.22083334376574756</v>
      </c>
      <c r="G3" s="45">
        <f t="shared" ref="F3:K14" si="0">AI3/$B3</f>
        <v>8.7479170799280563</v>
      </c>
      <c r="H3" s="45">
        <f t="shared" si="0"/>
        <v>80.606253807929605</v>
      </c>
      <c r="I3" s="45">
        <f t="shared" si="0"/>
        <v>167.91875793266999</v>
      </c>
      <c r="J3" s="45">
        <f t="shared" si="0"/>
        <v>148.08334032895601</v>
      </c>
      <c r="K3" s="45">
        <f t="shared" si="0"/>
        <v>47.883335595395678</v>
      </c>
      <c r="L3" s="1"/>
      <c r="M3" s="45">
        <v>0.120912157052691</v>
      </c>
      <c r="N3" s="45">
        <v>0.33180424301834099</v>
      </c>
      <c r="O3" s="45">
        <v>1.1106730436618699</v>
      </c>
      <c r="P3" s="45">
        <v>4.4426921746474797</v>
      </c>
      <c r="Q3" s="45">
        <v>17.770768698589901</v>
      </c>
      <c r="R3" s="45">
        <v>71.083074794359803</v>
      </c>
      <c r="S3" s="45"/>
      <c r="T3" s="45">
        <v>0.21698840087687299</v>
      </c>
      <c r="U3" s="45">
        <v>0.86795360350749196</v>
      </c>
      <c r="V3" s="45">
        <v>3.47181441402997</v>
      </c>
      <c r="W3" s="45">
        <v>13.8872576561198</v>
      </c>
      <c r="X3" s="45">
        <v>55.549030624479499</v>
      </c>
      <c r="Y3" s="45">
        <v>222.196122497918</v>
      </c>
      <c r="AA3" s="13">
        <v>0.118359313673794</v>
      </c>
      <c r="AB3" s="13">
        <v>0.30693782510638401</v>
      </c>
      <c r="AC3" s="13">
        <v>0.85867635779576901</v>
      </c>
      <c r="AD3" s="13">
        <v>3.4347054311830698</v>
      </c>
      <c r="AE3" s="13">
        <v>13.738821724732301</v>
      </c>
      <c r="AF3" s="13">
        <v>54.955286898929202</v>
      </c>
      <c r="AH3" s="1">
        <v>106</v>
      </c>
      <c r="AI3" s="1">
        <v>4199</v>
      </c>
      <c r="AJ3" s="1">
        <v>38691</v>
      </c>
      <c r="AK3" s="1">
        <v>80601</v>
      </c>
      <c r="AL3" s="1">
        <v>71080</v>
      </c>
      <c r="AM3" s="1">
        <v>22984</v>
      </c>
      <c r="AO3">
        <f>COUNTIF(AQ8:BJ8,"Solve")</f>
        <v>4</v>
      </c>
      <c r="AP3" s="1" t="s">
        <v>128</v>
      </c>
      <c r="AQ3" s="64">
        <f>C44</f>
        <v>41.812906146779035</v>
      </c>
      <c r="AR3" s="16">
        <f>I44</f>
        <v>89.037589430537523</v>
      </c>
      <c r="AS3" s="60">
        <f>N44</f>
        <v>110.05450225109749</v>
      </c>
      <c r="AT3" s="16">
        <f>R44</f>
        <v>937.56012276802267</v>
      </c>
      <c r="AU3" s="16">
        <f>X44</f>
        <v>293.2120042217357</v>
      </c>
      <c r="AV3" s="16">
        <f>AC44</f>
        <v>117.899947808294</v>
      </c>
      <c r="AW3" s="16">
        <f>AJ44</f>
        <v>72.282358226317783</v>
      </c>
      <c r="AX3" s="61">
        <f>AP44</f>
        <v>45.832808645123308</v>
      </c>
      <c r="AY3" s="66">
        <f>N96</f>
        <v>32.212605011104806</v>
      </c>
      <c r="AZ3" s="16">
        <f>S96</f>
        <v>68.443321631869111</v>
      </c>
      <c r="BA3" s="16">
        <f>X96</f>
        <v>282.30921857239753</v>
      </c>
      <c r="BB3" s="16">
        <f>AD96</f>
        <v>1804.9702389670795</v>
      </c>
      <c r="BC3" s="16">
        <f>AJ96</f>
        <v>197.59258727266268</v>
      </c>
      <c r="BD3" s="16">
        <f>AP96</f>
        <v>80.905893901899006</v>
      </c>
      <c r="BE3" s="67">
        <f>N153</f>
        <v>33.63172013228494</v>
      </c>
      <c r="BF3" s="64">
        <f>S153</f>
        <v>85.231090335664234</v>
      </c>
      <c r="BG3" s="64">
        <f>X153</f>
        <v>263.43445282868242</v>
      </c>
      <c r="BH3" s="16">
        <f>AD153</f>
        <v>136.0465863968179</v>
      </c>
      <c r="BI3" s="16">
        <f>AJ153</f>
        <v>56.324449049572557</v>
      </c>
      <c r="BJ3" s="65">
        <f>AP153</f>
        <v>61.765141605361556</v>
      </c>
    </row>
    <row r="4" spans="1:66" x14ac:dyDescent="0.25">
      <c r="A4" s="1" t="s">
        <v>69</v>
      </c>
      <c r="B4" s="12">
        <v>49.999977324263</v>
      </c>
      <c r="C4" s="13">
        <v>0.103785400341108</v>
      </c>
      <c r="D4" s="13">
        <v>9.3097685505032102E-3</v>
      </c>
      <c r="E4" s="13">
        <v>2.6623638531804101E-3</v>
      </c>
      <c r="F4" s="13">
        <f t="shared" si="0"/>
        <v>0.1400000634920924</v>
      </c>
      <c r="G4" s="13">
        <f t="shared" si="0"/>
        <v>0.64000029024956528</v>
      </c>
      <c r="H4" s="13">
        <f t="shared" si="0"/>
        <v>2.9600013424042393</v>
      </c>
      <c r="I4" s="13">
        <f t="shared" si="0"/>
        <v>9.5000043083919845</v>
      </c>
      <c r="J4" s="13">
        <f t="shared" si="0"/>
        <v>37.660017079372857</v>
      </c>
      <c r="K4" s="13">
        <f t="shared" si="0"/>
        <v>117.32005320637343</v>
      </c>
      <c r="L4" s="1"/>
      <c r="M4" s="13">
        <v>8.7491372398812203E-2</v>
      </c>
      <c r="N4" s="13">
        <v>0.209281252002183</v>
      </c>
      <c r="O4" s="13">
        <v>0.53107420883976697</v>
      </c>
      <c r="P4" s="13">
        <v>1.1427850401592301</v>
      </c>
      <c r="Q4" s="13">
        <v>2.42627671242104</v>
      </c>
      <c r="R4" s="13">
        <v>9.5332029957152908</v>
      </c>
      <c r="S4" s="13"/>
      <c r="T4" s="13">
        <v>0.103785400341108</v>
      </c>
      <c r="U4" s="13">
        <v>0.41514160136443401</v>
      </c>
      <c r="V4" s="13">
        <v>1.66056640545773</v>
      </c>
      <c r="W4" s="13">
        <v>6.6422656218309504</v>
      </c>
      <c r="X4" s="13">
        <v>26.569062487323801</v>
      </c>
      <c r="Y4" s="13">
        <v>106.27624994929501</v>
      </c>
      <c r="AA4" s="13">
        <v>0.103757048244818</v>
      </c>
      <c r="AB4" s="13">
        <v>0.14698858143442201</v>
      </c>
      <c r="AC4" s="13">
        <v>0.24910673933583599</v>
      </c>
      <c r="AD4" s="13">
        <v>0.37211833067852301</v>
      </c>
      <c r="AE4" s="13">
        <v>0.69718753395348498</v>
      </c>
      <c r="AF4" s="13">
        <v>2.7262605856567399</v>
      </c>
      <c r="AH4" s="1">
        <v>7</v>
      </c>
      <c r="AI4" s="1">
        <v>32</v>
      </c>
      <c r="AJ4" s="1">
        <v>148</v>
      </c>
      <c r="AK4" s="1">
        <v>475</v>
      </c>
      <c r="AL4" s="1">
        <v>1883</v>
      </c>
      <c r="AM4" s="1">
        <v>5866</v>
      </c>
      <c r="AO4">
        <f>COUNTIF(AQ8:BJ8,"Linear")</f>
        <v>6</v>
      </c>
      <c r="AP4" s="1" t="s">
        <v>44</v>
      </c>
      <c r="AQ4" s="64">
        <f>C45</f>
        <v>33.731048103317463</v>
      </c>
      <c r="AR4" s="16">
        <f>I45</f>
        <v>57.475233471022854</v>
      </c>
      <c r="AS4" s="60">
        <f>N45</f>
        <v>9787.9571871903208</v>
      </c>
      <c r="AT4" s="64">
        <f>R45</f>
        <v>34.582004466136006</v>
      </c>
      <c r="AU4" s="16">
        <f>X45</f>
        <v>162.89930253919613</v>
      </c>
      <c r="AV4" s="16">
        <f>AC45</f>
        <v>66.684842681315132</v>
      </c>
      <c r="AW4" s="16">
        <f>AJ45</f>
        <v>50.165636206290806</v>
      </c>
      <c r="AX4" s="61">
        <f>AP45</f>
        <v>54.460891664669248</v>
      </c>
      <c r="AY4" s="66">
        <f>N97</f>
        <v>35.081005308908495</v>
      </c>
      <c r="AZ4" s="16">
        <f>S97</f>
        <v>53.64006417873874</v>
      </c>
      <c r="BA4" s="16">
        <f>X97</f>
        <v>87.783602343708864</v>
      </c>
      <c r="BB4" s="16">
        <f>AD97</f>
        <v>211.05324097488057</v>
      </c>
      <c r="BC4" s="16">
        <f>AJ97</f>
        <v>213.20892554030422</v>
      </c>
      <c r="BD4" s="16">
        <f>AP97</f>
        <v>215.51870998731584</v>
      </c>
      <c r="BE4" s="67">
        <f>N154</f>
        <v>30.932853549294144</v>
      </c>
      <c r="BF4" s="64">
        <f>S154</f>
        <v>44.007035696558425</v>
      </c>
      <c r="BG4" s="64">
        <f>X154</f>
        <v>171.38585078546132</v>
      </c>
      <c r="BH4" s="16">
        <f>AD154</f>
        <v>87.047930039566467</v>
      </c>
      <c r="BI4" s="16">
        <f>AJ154</f>
        <v>44.89808664406344</v>
      </c>
      <c r="BJ4" s="65">
        <f>AP154</f>
        <v>50.865820562638127</v>
      </c>
      <c r="BL4" s="33"/>
      <c r="BM4" s="33"/>
    </row>
    <row r="5" spans="1:66" x14ac:dyDescent="0.25">
      <c r="A5" s="1" t="s">
        <v>70</v>
      </c>
      <c r="B5" s="12">
        <v>99.999977324263</v>
      </c>
      <c r="C5" s="13">
        <v>1.7343593585544201E-2</v>
      </c>
      <c r="D5" s="13">
        <v>3.7541223526986601E-3</v>
      </c>
      <c r="E5" s="13">
        <v>3.5652204100954199E-3</v>
      </c>
      <c r="F5" s="13">
        <f t="shared" si="0"/>
        <v>0</v>
      </c>
      <c r="G5" s="13">
        <f t="shared" si="0"/>
        <v>3.0000006802722641E-2</v>
      </c>
      <c r="H5" s="13">
        <f t="shared" si="0"/>
        <v>0.17000003854876164</v>
      </c>
      <c r="I5" s="13">
        <f t="shared" si="0"/>
        <v>2.2100005011339015</v>
      </c>
      <c r="J5" s="13">
        <f t="shared" si="0"/>
        <v>29.650006723357546</v>
      </c>
      <c r="K5" s="13">
        <f t="shared" si="0"/>
        <v>148.97003378005306</v>
      </c>
      <c r="L5" s="1"/>
      <c r="M5" s="1">
        <v>0</v>
      </c>
      <c r="N5" s="13">
        <v>4.8899641067386798E-2</v>
      </c>
      <c r="O5" s="13">
        <v>0.137793372793407</v>
      </c>
      <c r="P5" s="13">
        <v>0.30126664954396598</v>
      </c>
      <c r="Q5" s="13">
        <v>0.96105532229085699</v>
      </c>
      <c r="R5" s="13">
        <v>3.84422128916342</v>
      </c>
      <c r="S5" s="13"/>
      <c r="T5" s="13"/>
      <c r="U5" s="13">
        <v>6.9374374342176998E-2</v>
      </c>
      <c r="V5" s="13">
        <v>0.27749749736870799</v>
      </c>
      <c r="W5" s="13">
        <v>1.10998998947483</v>
      </c>
      <c r="X5" s="13">
        <v>4.4399599578993296</v>
      </c>
      <c r="Y5" s="13">
        <v>17.759839831597301</v>
      </c>
      <c r="AA5" s="13"/>
      <c r="AB5" s="13">
        <v>4.8899641067386798E-2</v>
      </c>
      <c r="AC5" s="13">
        <v>0.11369963117038601</v>
      </c>
      <c r="AD5" s="13">
        <v>0.28479190741614602</v>
      </c>
      <c r="AE5" s="13">
        <v>0.91269642498442904</v>
      </c>
      <c r="AF5" s="13">
        <v>3.65078569993771</v>
      </c>
      <c r="AH5" s="1">
        <v>0</v>
      </c>
      <c r="AI5" s="1">
        <v>3</v>
      </c>
      <c r="AJ5" s="1">
        <v>17</v>
      </c>
      <c r="AK5" s="1">
        <v>221</v>
      </c>
      <c r="AL5" s="1">
        <v>2965</v>
      </c>
      <c r="AM5" s="1">
        <v>14897</v>
      </c>
      <c r="AO5">
        <f>COUNTIF(AQ8:BJ8,"Power")</f>
        <v>10</v>
      </c>
      <c r="AP5" s="1" t="s">
        <v>45</v>
      </c>
      <c r="AQ5" s="64">
        <f>C46</f>
        <v>34.160952903899592</v>
      </c>
      <c r="AR5" s="16">
        <f>I46</f>
        <v>55.300435902776094</v>
      </c>
      <c r="AS5" s="62">
        <f>N46</f>
        <v>6173802043186715</v>
      </c>
      <c r="AT5" s="64">
        <f>R46</f>
        <v>45.681813359382701</v>
      </c>
      <c r="AU5" s="16">
        <f>X46</f>
        <v>85.749827704391251</v>
      </c>
      <c r="AV5" s="16">
        <f>AC46</f>
        <v>47.883326383199218</v>
      </c>
      <c r="AW5" s="16">
        <f>AJ46</f>
        <v>55.5149915661924</v>
      </c>
      <c r="AX5" s="61">
        <f>AP46</f>
        <v>58.938318205586377</v>
      </c>
      <c r="AY5" s="66">
        <f>N98</f>
        <v>38.552112032336268</v>
      </c>
      <c r="AZ5" s="16">
        <f>S98</f>
        <v>57.981996629069513</v>
      </c>
      <c r="BA5" s="16">
        <f>X98</f>
        <v>85.773339187142255</v>
      </c>
      <c r="BB5" s="16">
        <f>AD98</f>
        <v>51.879492676349699</v>
      </c>
      <c r="BC5" s="16">
        <f>AJ98</f>
        <v>0</v>
      </c>
      <c r="BD5" s="16">
        <f>AP98</f>
        <v>0</v>
      </c>
      <c r="BE5" s="67">
        <f>N155</f>
        <v>30.312201289335206</v>
      </c>
      <c r="BF5" s="64">
        <f>S155</f>
        <v>27.476583989976842</v>
      </c>
      <c r="BG5" s="64">
        <f>X155</f>
        <v>42.657486426996407</v>
      </c>
      <c r="BH5" s="16">
        <f>AD155</f>
        <v>41.37597226405947</v>
      </c>
      <c r="BI5" s="16">
        <f>AJ155</f>
        <v>0</v>
      </c>
      <c r="BJ5" s="65">
        <f>AP155</f>
        <v>0</v>
      </c>
      <c r="BL5" s="33"/>
      <c r="BM5" s="33"/>
    </row>
    <row r="6" spans="1:66" x14ac:dyDescent="0.25">
      <c r="A6" s="1" t="s">
        <v>71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/>
      <c r="AQ6" s="57"/>
      <c r="AR6" s="16"/>
      <c r="AS6" s="16"/>
      <c r="AT6" s="16"/>
      <c r="AU6" s="16"/>
      <c r="AV6" s="16"/>
      <c r="AW6" s="16"/>
      <c r="AX6" s="16"/>
    </row>
    <row r="7" spans="1:66" x14ac:dyDescent="0.25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6">
        <f>MIN(AQ3:AQ5)</f>
        <v>33.731048103317463</v>
      </c>
      <c r="AR7" s="16">
        <f t="shared" ref="AR7:BH7" si="1">MIN(AR3:AR5)</f>
        <v>55.300435902776094</v>
      </c>
      <c r="AS7" s="16">
        <f t="shared" si="1"/>
        <v>110.05450225109749</v>
      </c>
      <c r="AT7" s="16">
        <f t="shared" si="1"/>
        <v>34.582004466136006</v>
      </c>
      <c r="AU7" s="16">
        <f t="shared" si="1"/>
        <v>85.749827704391251</v>
      </c>
      <c r="AV7" s="16">
        <f t="shared" si="1"/>
        <v>47.883326383199218</v>
      </c>
      <c r="AW7" s="16">
        <f t="shared" si="1"/>
        <v>50.165636206290806</v>
      </c>
      <c r="AX7" s="16">
        <f t="shared" si="1"/>
        <v>45.832808645123308</v>
      </c>
      <c r="AY7" s="16">
        <f t="shared" si="1"/>
        <v>32.212605011104806</v>
      </c>
      <c r="AZ7" s="16">
        <f t="shared" si="1"/>
        <v>53.64006417873874</v>
      </c>
      <c r="BA7" s="16">
        <f t="shared" si="1"/>
        <v>85.773339187142255</v>
      </c>
      <c r="BB7" s="16">
        <f t="shared" si="1"/>
        <v>51.879492676349699</v>
      </c>
      <c r="BC7" s="16">
        <f t="shared" si="1"/>
        <v>0</v>
      </c>
      <c r="BD7" s="16">
        <f t="shared" si="1"/>
        <v>0</v>
      </c>
      <c r="BE7" s="16">
        <f t="shared" si="1"/>
        <v>30.312201289335206</v>
      </c>
      <c r="BF7" s="16">
        <f t="shared" si="1"/>
        <v>27.476583989976842</v>
      </c>
      <c r="BG7" s="16">
        <f t="shared" si="1"/>
        <v>42.657486426996407</v>
      </c>
      <c r="BH7" s="16">
        <f t="shared" si="1"/>
        <v>41.37597226405947</v>
      </c>
      <c r="BI7" s="16"/>
      <c r="BJ7" s="16"/>
    </row>
    <row r="8" spans="1:66" x14ac:dyDescent="0.25">
      <c r="A8" s="1" t="s">
        <v>130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96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H8" s="1" t="s">
        <v>25</v>
      </c>
      <c r="AI8" s="1" t="s">
        <v>26</v>
      </c>
      <c r="AJ8" s="1" t="s">
        <v>27</v>
      </c>
      <c r="AK8" s="1" t="s">
        <v>28</v>
      </c>
      <c r="AL8" s="1" t="s">
        <v>29</v>
      </c>
      <c r="AM8" s="1" t="s">
        <v>30</v>
      </c>
      <c r="AQ8" s="1" t="s">
        <v>45</v>
      </c>
      <c r="AR8" s="16" t="s">
        <v>45</v>
      </c>
      <c r="AS8" s="1" t="s">
        <v>128</v>
      </c>
      <c r="AT8" s="1" t="s">
        <v>44</v>
      </c>
      <c r="AU8" s="1" t="s">
        <v>45</v>
      </c>
      <c r="AV8" s="1" t="s">
        <v>45</v>
      </c>
      <c r="AW8" s="1" t="s">
        <v>44</v>
      </c>
      <c r="AX8" s="1" t="s">
        <v>44</v>
      </c>
      <c r="AY8" s="1" t="s">
        <v>128</v>
      </c>
      <c r="AZ8" s="1" t="s">
        <v>44</v>
      </c>
      <c r="BA8" s="1" t="s">
        <v>45</v>
      </c>
      <c r="BB8" s="1" t="s">
        <v>45</v>
      </c>
      <c r="BC8" s="1" t="s">
        <v>128</v>
      </c>
      <c r="BD8" s="1" t="s">
        <v>128</v>
      </c>
      <c r="BE8" s="1" t="s">
        <v>45</v>
      </c>
      <c r="BF8" s="1" t="s">
        <v>45</v>
      </c>
      <c r="BG8" s="1" t="s">
        <v>45</v>
      </c>
      <c r="BH8" s="1" t="s">
        <v>45</v>
      </c>
      <c r="BI8" s="1" t="s">
        <v>44</v>
      </c>
      <c r="BJ8" s="1" t="s">
        <v>44</v>
      </c>
    </row>
    <row r="9" spans="1:66" x14ac:dyDescent="0.25">
      <c r="A9" s="47" t="s">
        <v>131</v>
      </c>
      <c r="B9" s="48">
        <v>60</v>
      </c>
      <c r="C9" s="49">
        <v>1.0016323215471E-4</v>
      </c>
      <c r="D9" s="49">
        <v>9.6719568367751498E-5</v>
      </c>
      <c r="E9" s="49">
        <v>9.6709486732715302E-5</v>
      </c>
      <c r="F9" s="45">
        <f>AH9/$B9</f>
        <v>0</v>
      </c>
      <c r="G9" s="45">
        <f t="shared" si="0"/>
        <v>0</v>
      </c>
      <c r="H9" s="45">
        <f t="shared" si="0"/>
        <v>0</v>
      </c>
      <c r="I9" s="45">
        <f t="shared" si="0"/>
        <v>0</v>
      </c>
      <c r="J9" s="45">
        <f t="shared" si="0"/>
        <v>0</v>
      </c>
      <c r="K9" s="45">
        <f t="shared" si="0"/>
        <v>0</v>
      </c>
      <c r="L9" s="1"/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/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</row>
    <row r="10" spans="1:66" x14ac:dyDescent="0.25">
      <c r="A10" s="36" t="s">
        <v>132</v>
      </c>
      <c r="B10" s="51">
        <v>60</v>
      </c>
      <c r="C10" s="53">
        <v>2.7100659833378001E-2</v>
      </c>
      <c r="D10" s="53">
        <v>1.73415591077304E-2</v>
      </c>
      <c r="E10" s="53">
        <v>1.75334302078048E-2</v>
      </c>
      <c r="F10" s="37">
        <f>AH10/$B10</f>
        <v>0</v>
      </c>
      <c r="G10" s="37">
        <f t="shared" ref="G10" si="2">AI10/$B10</f>
        <v>0.18333333333333332</v>
      </c>
      <c r="H10" s="37">
        <f>AJ10/$B10</f>
        <v>3.3166666666666669</v>
      </c>
      <c r="I10" s="37">
        <f>AK10/$B10</f>
        <v>43.783333333333331</v>
      </c>
      <c r="J10" s="37">
        <f t="shared" ref="J10" si="3">AL10/$B10</f>
        <v>197.53333333333333</v>
      </c>
      <c r="K10" s="37">
        <f>AM10/$B10</f>
        <v>251.98333333333332</v>
      </c>
      <c r="M10">
        <v>0</v>
      </c>
      <c r="N10">
        <v>8.5195492688122099E-2</v>
      </c>
      <c r="O10">
        <v>0.283546008743847</v>
      </c>
      <c r="P10">
        <v>2.2279108515780699</v>
      </c>
      <c r="Q10">
        <v>8.9116434063122991</v>
      </c>
      <c r="R10">
        <v>35.646573625249196</v>
      </c>
      <c r="T10">
        <v>0</v>
      </c>
      <c r="U10">
        <v>0.108402639333512</v>
      </c>
      <c r="V10">
        <v>0.43361055733404802</v>
      </c>
      <c r="W10">
        <v>2.3259290609915499</v>
      </c>
      <c r="X10">
        <v>9.3037162439662104</v>
      </c>
      <c r="Y10">
        <v>37.214864975864799</v>
      </c>
      <c r="Z10" s="1"/>
      <c r="AA10">
        <v>0</v>
      </c>
      <c r="AB10">
        <v>8.1549751061042799E-2</v>
      </c>
      <c r="AC10">
        <v>0.28905210154241401</v>
      </c>
      <c r="AD10">
        <v>2.22823696464304</v>
      </c>
      <c r="AE10">
        <v>8.9129478585721706</v>
      </c>
      <c r="AF10">
        <v>35.651791434288697</v>
      </c>
      <c r="AG10" s="1"/>
      <c r="AH10" s="1">
        <v>0</v>
      </c>
      <c r="AI10" s="1">
        <v>11</v>
      </c>
      <c r="AJ10" s="1">
        <v>199</v>
      </c>
      <c r="AK10" s="1">
        <v>2627</v>
      </c>
      <c r="AL10" s="1">
        <v>11852</v>
      </c>
      <c r="AM10" s="1">
        <v>15119</v>
      </c>
      <c r="BB10" s="16"/>
      <c r="BC10" s="16"/>
      <c r="BD10" s="16"/>
      <c r="BE10" s="16"/>
      <c r="BF10" s="16"/>
      <c r="BH10" s="16"/>
      <c r="BI10" s="16"/>
      <c r="BJ10" s="16"/>
      <c r="BK10" s="16"/>
      <c r="BL10" s="16"/>
      <c r="BN10" s="16"/>
    </row>
    <row r="11" spans="1:66" x14ac:dyDescent="0.25">
      <c r="A11" s="36" t="s">
        <v>133</v>
      </c>
      <c r="B11" s="51">
        <v>60</v>
      </c>
      <c r="C11" s="53">
        <v>3.3894640450781402E-2</v>
      </c>
      <c r="D11" s="53">
        <v>2.45471667611072E-2</v>
      </c>
      <c r="E11" s="53">
        <v>2.45122321428459E-2</v>
      </c>
      <c r="F11" s="37">
        <f t="shared" ref="F11" si="4">AH11/$B11</f>
        <v>0</v>
      </c>
      <c r="G11" s="37">
        <f t="shared" si="0"/>
        <v>3.3333333333333333E-2</v>
      </c>
      <c r="H11" s="37">
        <f t="shared" si="0"/>
        <v>1.95</v>
      </c>
      <c r="I11" s="37">
        <f t="shared" si="0"/>
        <v>82.25</v>
      </c>
      <c r="J11" s="37">
        <f t="shared" si="0"/>
        <v>171.48333333333332</v>
      </c>
      <c r="K11" s="37">
        <f>AM11/$B11</f>
        <v>176.46666666666667</v>
      </c>
      <c r="M11">
        <v>0</v>
      </c>
      <c r="N11">
        <v>0.10729609555229699</v>
      </c>
      <c r="O11">
        <v>0.40212515642043301</v>
      </c>
      <c r="P11">
        <v>1.5710186727108599</v>
      </c>
      <c r="Q11">
        <v>6.2840746908434504</v>
      </c>
      <c r="R11">
        <v>25.136298763373802</v>
      </c>
      <c r="T11">
        <v>0</v>
      </c>
      <c r="U11">
        <v>0.114178758147192</v>
      </c>
      <c r="V11">
        <v>0.54231424721250299</v>
      </c>
      <c r="W11">
        <v>2.1692569888500102</v>
      </c>
      <c r="X11">
        <v>8.6770279554000496</v>
      </c>
      <c r="Y11">
        <v>34.708111821600198</v>
      </c>
      <c r="Z11" s="1"/>
      <c r="AA11">
        <v>0</v>
      </c>
      <c r="AB11">
        <v>0.10729609555229699</v>
      </c>
      <c r="AC11">
        <v>0.39659577629574799</v>
      </c>
      <c r="AD11">
        <v>1.5687828571421401</v>
      </c>
      <c r="AE11">
        <v>6.2751314285685602</v>
      </c>
      <c r="AF11">
        <v>25.100525714274202</v>
      </c>
      <c r="AG11" s="1"/>
      <c r="AH11" s="1">
        <v>0</v>
      </c>
      <c r="AI11" s="1">
        <v>2</v>
      </c>
      <c r="AJ11" s="1">
        <v>117</v>
      </c>
      <c r="AK11" s="1">
        <v>4935</v>
      </c>
      <c r="AL11" s="1">
        <v>10289</v>
      </c>
      <c r="AM11" s="1">
        <v>10588</v>
      </c>
      <c r="BB11" s="16"/>
      <c r="BC11" s="16"/>
      <c r="BD11" s="16"/>
      <c r="BE11" s="16"/>
      <c r="BF11" s="16"/>
      <c r="BH11" s="16"/>
      <c r="BI11" s="16"/>
      <c r="BJ11" s="16"/>
      <c r="BK11" s="16"/>
      <c r="BL11" s="16"/>
      <c r="BN11" s="16"/>
    </row>
    <row r="12" spans="1:66" x14ac:dyDescent="0.25">
      <c r="A12" s="36" t="s">
        <v>134</v>
      </c>
      <c r="B12" s="51">
        <v>60</v>
      </c>
      <c r="C12" s="5">
        <v>0.12148791730821901</v>
      </c>
      <c r="D12" s="5">
        <v>6.33040571897725E-2</v>
      </c>
      <c r="E12" s="5">
        <v>5.8734947455230002E-2</v>
      </c>
      <c r="F12" s="37">
        <f>AH12/$B12</f>
        <v>3.3333333333333333E-2</v>
      </c>
      <c r="G12" s="37">
        <f t="shared" si="0"/>
        <v>2.1</v>
      </c>
      <c r="H12" s="37">
        <f t="shared" si="0"/>
        <v>34.25</v>
      </c>
      <c r="I12" s="37">
        <f t="shared" si="0"/>
        <v>161.33333333333334</v>
      </c>
      <c r="J12" s="37">
        <f t="shared" si="0"/>
        <v>152.44999999999999</v>
      </c>
      <c r="K12" s="37">
        <f t="shared" ref="K12" si="5">AM12/$B12</f>
        <v>154.5</v>
      </c>
      <c r="M12">
        <v>7.8997664635741496E-2</v>
      </c>
      <c r="N12">
        <v>0.26878015500851199</v>
      </c>
      <c r="O12">
        <v>1.01286491503636</v>
      </c>
      <c r="P12">
        <v>4.05145966014544</v>
      </c>
      <c r="Q12">
        <v>16.2058386405817</v>
      </c>
      <c r="R12">
        <v>64.823354562326998</v>
      </c>
      <c r="T12">
        <v>7.8997664635741496E-2</v>
      </c>
      <c r="U12">
        <v>0.48595166923287902</v>
      </c>
      <c r="V12">
        <v>1.9438066769315101</v>
      </c>
      <c r="W12">
        <v>7.7752267077260697</v>
      </c>
      <c r="X12">
        <v>31.100906830904201</v>
      </c>
      <c r="Y12">
        <v>124.403627323617</v>
      </c>
      <c r="Z12" s="1"/>
      <c r="AA12">
        <v>7.8997664635741496E-2</v>
      </c>
      <c r="AB12">
        <v>0.25332701569766197</v>
      </c>
      <c r="AC12">
        <v>0.93975915928368003</v>
      </c>
      <c r="AD12">
        <v>3.7590366371347201</v>
      </c>
      <c r="AE12">
        <v>15.036146548538801</v>
      </c>
      <c r="AF12">
        <v>60.144586194155501</v>
      </c>
      <c r="AG12" s="1"/>
      <c r="AH12" s="1">
        <v>2</v>
      </c>
      <c r="AI12" s="1">
        <v>126</v>
      </c>
      <c r="AJ12" s="1">
        <v>2055</v>
      </c>
      <c r="AK12" s="1">
        <v>9680</v>
      </c>
      <c r="AL12" s="1">
        <v>9147</v>
      </c>
      <c r="AM12" s="1">
        <v>9270</v>
      </c>
    </row>
    <row r="13" spans="1:66" x14ac:dyDescent="0.25">
      <c r="A13" s="1" t="s">
        <v>135</v>
      </c>
      <c r="B13" s="42">
        <v>60</v>
      </c>
      <c r="C13" s="43">
        <v>3.4809429886628E-3</v>
      </c>
      <c r="D13" s="43">
        <v>2.5348843493833199E-3</v>
      </c>
      <c r="E13" s="43">
        <v>2.51419995762145E-3</v>
      </c>
      <c r="F13" s="13">
        <f>AH13/$B13</f>
        <v>0</v>
      </c>
      <c r="G13" s="13">
        <f t="shared" si="0"/>
        <v>0</v>
      </c>
      <c r="H13" s="13">
        <f t="shared" si="0"/>
        <v>0</v>
      </c>
      <c r="I13" s="13">
        <f t="shared" si="0"/>
        <v>0</v>
      </c>
      <c r="J13" s="13">
        <f t="shared" si="0"/>
        <v>0</v>
      </c>
      <c r="K13" s="13">
        <f t="shared" si="0"/>
        <v>0</v>
      </c>
      <c r="M13" s="1"/>
      <c r="N13" s="1"/>
      <c r="O13" s="1"/>
      <c r="P13" s="16"/>
      <c r="Q13" s="16"/>
      <c r="R13" s="16"/>
      <c r="T13" s="1"/>
      <c r="U13" s="1"/>
      <c r="V13" s="1"/>
      <c r="W13" s="13"/>
      <c r="X13" s="13"/>
      <c r="Y13" s="13"/>
      <c r="AA13" s="1"/>
      <c r="AB13" s="1"/>
      <c r="AC13" s="1"/>
      <c r="AE13" s="42"/>
      <c r="AF13" s="42"/>
      <c r="AG13" s="1"/>
      <c r="AH13" s="42"/>
      <c r="AI13" s="42"/>
      <c r="AJ13" s="42"/>
      <c r="AK13" s="42"/>
      <c r="AL13" s="42"/>
      <c r="AM13" s="42"/>
    </row>
    <row r="14" spans="1:66" x14ac:dyDescent="0.25">
      <c r="A14" s="1" t="s">
        <v>136</v>
      </c>
      <c r="B14" s="42">
        <v>60</v>
      </c>
      <c r="C14" s="43">
        <v>4.1522864630391797E-3</v>
      </c>
      <c r="D14" s="5">
        <v>3.27815477715818E-3</v>
      </c>
      <c r="E14" s="5">
        <v>3.2409334377459199E-3</v>
      </c>
      <c r="F14" s="13">
        <f t="shared" si="0"/>
        <v>0</v>
      </c>
      <c r="G14" s="13">
        <f t="shared" si="0"/>
        <v>0</v>
      </c>
      <c r="H14" s="13">
        <f t="shared" si="0"/>
        <v>0</v>
      </c>
      <c r="I14" s="13">
        <f t="shared" si="0"/>
        <v>0</v>
      </c>
      <c r="J14" s="13">
        <f t="shared" si="0"/>
        <v>0</v>
      </c>
      <c r="K14" s="13">
        <f t="shared" si="0"/>
        <v>0</v>
      </c>
      <c r="M14" s="1"/>
      <c r="N14" s="1"/>
      <c r="O14" s="1"/>
      <c r="P14" s="16"/>
      <c r="Q14" s="16"/>
      <c r="R14" s="16"/>
      <c r="T14" s="1"/>
      <c r="U14" s="1"/>
      <c r="V14" s="1"/>
      <c r="W14" s="13"/>
      <c r="X14" s="13"/>
      <c r="Y14" s="13"/>
      <c r="AA14" s="1"/>
      <c r="AC14" s="1"/>
      <c r="AH14" s="1"/>
      <c r="AI14" s="1"/>
      <c r="AJ14" s="1"/>
      <c r="AK14" s="1"/>
      <c r="AL14" s="1"/>
      <c r="AM14" s="1"/>
    </row>
    <row r="15" spans="1:66" x14ac:dyDescent="0.25">
      <c r="A15" s="1" t="s">
        <v>137</v>
      </c>
      <c r="B15" s="42">
        <v>60</v>
      </c>
      <c r="C15" s="43">
        <v>8.1501124632268208E-3</v>
      </c>
      <c r="D15" s="5">
        <v>5.1433422305270397E-3</v>
      </c>
      <c r="E15" s="43">
        <v>4.9482416068898196E-3</v>
      </c>
      <c r="F15" s="13">
        <f t="shared" ref="F15:K16" si="6">AH15/$B15</f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>
        <f t="shared" si="6"/>
        <v>0</v>
      </c>
      <c r="K15" s="13">
        <f t="shared" si="6"/>
        <v>0</v>
      </c>
      <c r="M15" s="1"/>
      <c r="N15" s="1"/>
      <c r="O15" s="16"/>
      <c r="P15" s="16"/>
      <c r="Q15" s="16"/>
      <c r="R15" s="16"/>
      <c r="T15" s="1"/>
      <c r="U15" s="1"/>
      <c r="V15" s="13"/>
      <c r="W15" s="13"/>
      <c r="X15" s="13"/>
      <c r="Y15" s="13"/>
      <c r="AA15" s="1"/>
      <c r="AC15" s="1"/>
      <c r="AH15" s="1"/>
      <c r="AI15" s="1"/>
      <c r="AJ15" s="1"/>
      <c r="AK15" s="1"/>
      <c r="AL15" s="1"/>
      <c r="AM15" s="1"/>
    </row>
    <row r="16" spans="1:66" x14ac:dyDescent="0.25">
      <c r="A16" s="1" t="s">
        <v>138</v>
      </c>
      <c r="B16" s="42">
        <v>60</v>
      </c>
      <c r="C16" s="5">
        <v>1.8290475754508401E-2</v>
      </c>
      <c r="D16" s="5">
        <v>5.7655917494690003E-3</v>
      </c>
      <c r="E16" s="5">
        <v>5.3058324795391097E-3</v>
      </c>
      <c r="F16" s="13">
        <f t="shared" si="6"/>
        <v>0</v>
      </c>
      <c r="G16" s="13">
        <f t="shared" si="6"/>
        <v>0</v>
      </c>
      <c r="H16" s="13">
        <f t="shared" si="6"/>
        <v>0</v>
      </c>
      <c r="I16" s="13">
        <f t="shared" si="6"/>
        <v>0</v>
      </c>
      <c r="J16" s="13">
        <f t="shared" si="6"/>
        <v>0</v>
      </c>
      <c r="K16" s="13">
        <f t="shared" si="6"/>
        <v>0</v>
      </c>
      <c r="M16" s="1"/>
      <c r="N16" s="16"/>
      <c r="O16" s="16"/>
      <c r="P16" s="16"/>
      <c r="Q16" s="16"/>
      <c r="R16" s="16"/>
      <c r="T16" s="1"/>
      <c r="U16" s="13"/>
      <c r="V16" s="13"/>
      <c r="W16" s="13"/>
      <c r="X16" s="13"/>
      <c r="Y16" s="13"/>
      <c r="AA16" s="1"/>
      <c r="AH16" s="1"/>
      <c r="AI16" s="1"/>
      <c r="AJ16" s="42"/>
      <c r="AK16" s="42"/>
      <c r="AL16" s="42"/>
      <c r="AM16" s="42"/>
    </row>
    <row r="17" spans="1:83" x14ac:dyDescent="0.25">
      <c r="G17" s="13"/>
      <c r="S17" s="1"/>
      <c r="AA17" s="1"/>
    </row>
    <row r="18" spans="1:83" x14ac:dyDescent="0.25">
      <c r="B18" s="68" t="s">
        <v>86</v>
      </c>
      <c r="C18" s="68"/>
      <c r="D18" s="68"/>
      <c r="E18" s="68"/>
      <c r="G18" s="68" t="s">
        <v>86</v>
      </c>
      <c r="H18" s="68"/>
      <c r="I18" s="68"/>
      <c r="J18" s="68"/>
      <c r="L18" s="68" t="s">
        <v>113</v>
      </c>
      <c r="M18" s="68"/>
      <c r="N18" s="68"/>
      <c r="O18" s="68"/>
      <c r="Q18" s="68" t="s">
        <v>113</v>
      </c>
      <c r="R18" s="68"/>
      <c r="S18" s="68"/>
      <c r="T18" s="68"/>
      <c r="V18" s="71" t="s">
        <v>113</v>
      </c>
      <c r="W18" s="71"/>
      <c r="X18" s="71"/>
      <c r="AA18" s="1"/>
      <c r="AB18" t="s">
        <v>113</v>
      </c>
      <c r="AH18" s="68" t="s">
        <v>113</v>
      </c>
      <c r="AI18" s="68"/>
      <c r="AJ18" s="68"/>
      <c r="AK18" s="68"/>
      <c r="AN18" s="68" t="s">
        <v>113</v>
      </c>
      <c r="AO18" s="68"/>
      <c r="AP18" s="68"/>
      <c r="AQ18" s="68"/>
      <c r="AU18" t="s">
        <v>139</v>
      </c>
      <c r="AY18" t="s">
        <v>143</v>
      </c>
      <c r="BD18" t="s">
        <v>140</v>
      </c>
      <c r="BH18" t="s">
        <v>143</v>
      </c>
      <c r="BN18" t="s">
        <v>142</v>
      </c>
      <c r="BR18" t="s">
        <v>143</v>
      </c>
      <c r="BW18" t="s">
        <v>141</v>
      </c>
      <c r="CA18" t="s">
        <v>143</v>
      </c>
    </row>
    <row r="19" spans="1:83" ht="35.25" customHeight="1" x14ac:dyDescent="0.25">
      <c r="A19" s="14" t="s">
        <v>76</v>
      </c>
      <c r="B19" s="15" t="s">
        <v>77</v>
      </c>
      <c r="C19" s="23" t="s">
        <v>81</v>
      </c>
      <c r="D19" s="23" t="s">
        <v>78</v>
      </c>
      <c r="E19" s="23" t="s">
        <v>80</v>
      </c>
      <c r="G19" s="30"/>
      <c r="H19" s="23" t="s">
        <v>94</v>
      </c>
      <c r="I19" s="23" t="s">
        <v>79</v>
      </c>
      <c r="J19" s="23" t="s">
        <v>93</v>
      </c>
      <c r="K19" s="15"/>
      <c r="L19" s="35" t="s">
        <v>111</v>
      </c>
      <c r="M19" s="23" t="s">
        <v>108</v>
      </c>
      <c r="N19" s="23" t="s">
        <v>109</v>
      </c>
      <c r="O19" s="23" t="s">
        <v>110</v>
      </c>
      <c r="P19" s="15"/>
      <c r="Q19" s="35" t="s">
        <v>112</v>
      </c>
      <c r="R19" s="23" t="s">
        <v>108</v>
      </c>
      <c r="S19" s="23" t="s">
        <v>109</v>
      </c>
      <c r="T19" s="23" t="s">
        <v>110</v>
      </c>
      <c r="U19" s="15"/>
      <c r="V19" s="35" t="s">
        <v>114</v>
      </c>
      <c r="W19" s="23" t="s">
        <v>108</v>
      </c>
      <c r="X19" s="23" t="s">
        <v>109</v>
      </c>
      <c r="Y19" s="23" t="s">
        <v>110</v>
      </c>
      <c r="Z19" s="15"/>
      <c r="AA19" s="1"/>
      <c r="AB19" s="35" t="s">
        <v>115</v>
      </c>
      <c r="AC19" s="23" t="s">
        <v>108</v>
      </c>
      <c r="AD19" s="23" t="s">
        <v>109</v>
      </c>
      <c r="AE19" s="23" t="s">
        <v>110</v>
      </c>
      <c r="AF19" s="15"/>
      <c r="AH19" s="35" t="s">
        <v>116</v>
      </c>
      <c r="AI19" s="23" t="s">
        <v>108</v>
      </c>
      <c r="AJ19" s="23" t="s">
        <v>109</v>
      </c>
      <c r="AK19" s="23" t="s">
        <v>110</v>
      </c>
      <c r="AM19" s="38"/>
      <c r="AN19" s="35" t="s">
        <v>117</v>
      </c>
      <c r="AO19" s="23" t="s">
        <v>108</v>
      </c>
      <c r="AP19" s="23" t="s">
        <v>109</v>
      </c>
      <c r="AQ19" s="23" t="s">
        <v>110</v>
      </c>
      <c r="AR19" s="15"/>
      <c r="AU19" s="38" t="s">
        <v>77</v>
      </c>
      <c r="AV19" s="40" t="s">
        <v>83</v>
      </c>
      <c r="AW19" s="41" t="s">
        <v>118</v>
      </c>
      <c r="AX19" s="41" t="s">
        <v>119</v>
      </c>
      <c r="AY19" s="41" t="s">
        <v>120</v>
      </c>
      <c r="AZ19" s="41" t="s">
        <v>121</v>
      </c>
      <c r="BA19" s="41" t="s">
        <v>122</v>
      </c>
      <c r="BB19" s="41" t="s">
        <v>123</v>
      </c>
      <c r="BD19" s="38" t="s">
        <v>77</v>
      </c>
      <c r="BE19" s="40" t="s">
        <v>83</v>
      </c>
      <c r="BF19" s="41" t="s">
        <v>118</v>
      </c>
      <c r="BG19" s="41" t="s">
        <v>119</v>
      </c>
      <c r="BH19" s="41" t="s">
        <v>120</v>
      </c>
      <c r="BI19" s="41" t="s">
        <v>121</v>
      </c>
      <c r="BJ19" s="41" t="s">
        <v>122</v>
      </c>
      <c r="BK19" s="41" t="s">
        <v>123</v>
      </c>
      <c r="BN19" s="38" t="s">
        <v>77</v>
      </c>
      <c r="BO19" s="40" t="s">
        <v>83</v>
      </c>
      <c r="BP19" s="41" t="s">
        <v>118</v>
      </c>
      <c r="BQ19" s="41" t="s">
        <v>119</v>
      </c>
      <c r="BR19" s="41" t="s">
        <v>120</v>
      </c>
      <c r="BS19" s="41" t="s">
        <v>121</v>
      </c>
      <c r="BT19" s="41" t="s">
        <v>122</v>
      </c>
      <c r="BU19" s="41" t="s">
        <v>123</v>
      </c>
      <c r="BW19" s="38" t="s">
        <v>77</v>
      </c>
      <c r="BX19" s="40" t="s">
        <v>83</v>
      </c>
      <c r="BY19" s="41" t="s">
        <v>118</v>
      </c>
      <c r="BZ19" s="41" t="s">
        <v>119</v>
      </c>
      <c r="CA19" s="41" t="s">
        <v>120</v>
      </c>
      <c r="CB19" s="41" t="s">
        <v>121</v>
      </c>
      <c r="CC19" s="41" t="s">
        <v>122</v>
      </c>
      <c r="CD19" s="41" t="s">
        <v>123</v>
      </c>
    </row>
    <row r="20" spans="1:83" x14ac:dyDescent="0.25">
      <c r="A20" s="1" t="s">
        <v>69</v>
      </c>
      <c r="B20" s="1">
        <v>90</v>
      </c>
      <c r="C20" s="24">
        <f>(C4+0.0087)/0.0009</f>
        <v>124.98377815678667</v>
      </c>
      <c r="D20" s="24">
        <f>C4*637.85+31.496</f>
        <v>97.695517607575738</v>
      </c>
      <c r="E20" s="24">
        <f>339.46*C4^0.5407</f>
        <v>99.727167764153535</v>
      </c>
      <c r="G20" s="31" t="s">
        <v>69</v>
      </c>
      <c r="H20" s="24">
        <f>($D4-0.0009)/0.0002</f>
        <v>42.048842752516052</v>
      </c>
      <c r="I20" s="32">
        <f>3353.9*D4+16.246</f>
        <v>47.470032741532719</v>
      </c>
      <c r="J20" s="32">
        <f>1994.7*(D4^0.8093)</f>
        <v>45.304341949768059</v>
      </c>
      <c r="K20" s="13"/>
      <c r="L20" s="31" t="s">
        <v>69</v>
      </c>
      <c r="M20" s="16">
        <f>(K4-205.04)/-0.4563</f>
        <v>192.24182948416956</v>
      </c>
      <c r="N20" s="16">
        <f>-1.6001*K4 + 344.62</f>
        <v>156.89618286448186</v>
      </c>
      <c r="O20" s="55">
        <f>1000000000000*K4-4.601</f>
        <v>117320053206368.84</v>
      </c>
      <c r="P20" s="16"/>
      <c r="Q20" s="31" t="s">
        <v>69</v>
      </c>
      <c r="R20" s="44">
        <f>(J4-60.122)/0.0841</f>
        <v>-267.08659834277222</v>
      </c>
      <c r="S20" s="16">
        <f>0.5169*J4+27.545</f>
        <v>47.011462828327836</v>
      </c>
      <c r="T20" s="16">
        <f>1.1518*J4^0.9191</f>
        <v>32.342147494732167</v>
      </c>
      <c r="U20" s="16"/>
      <c r="V20" s="31" t="s">
        <v>69</v>
      </c>
      <c r="W20" s="16">
        <f>(I4-3.8633)/0.2077</f>
        <v>27.138682274395688</v>
      </c>
      <c r="X20" s="13">
        <f>2.8315*I4 + 14.308</f>
        <v>41.207262199211904</v>
      </c>
      <c r="Y20" s="16">
        <f>8.9277*I4^0.6763</f>
        <v>40.923634346381888</v>
      </c>
      <c r="Z20" s="13"/>
      <c r="AA20" s="1"/>
      <c r="AB20" s="31" t="s">
        <v>69</v>
      </c>
      <c r="AC20" s="16">
        <f>(H4+0.1561)/0.0915</f>
        <v>34.055752376002616</v>
      </c>
      <c r="AD20" s="16">
        <f>6.3569*H4+ 26.624</f>
        <v>45.44043253352951</v>
      </c>
      <c r="AE20" s="16">
        <f xml:space="preserve"> 32.273*H4^0.3897</f>
        <v>49.260837883196288</v>
      </c>
      <c r="AF20" s="16"/>
      <c r="AH20" s="31" t="s">
        <v>69</v>
      </c>
      <c r="AI20" s="16">
        <f>(G4+0.0678)/0.0239</f>
        <v>29.615074905839549</v>
      </c>
      <c r="AJ20" s="16">
        <f xml:space="preserve"> 15.463*G4 + 39.702</f>
        <v>49.598324488129023</v>
      </c>
      <c r="AK20" s="16">
        <f>34.915*EXP(0.2946*G4)</f>
        <v>42.159524335536283</v>
      </c>
      <c r="AM20" s="1"/>
      <c r="AN20" s="31" t="s">
        <v>69</v>
      </c>
      <c r="AO20" s="16">
        <f>(F4+0.168)/0.0069</f>
        <v>44.637690361172815</v>
      </c>
      <c r="AP20" s="16">
        <f>70.576*F4 + 43.217</f>
        <v>53.097644481017909</v>
      </c>
      <c r="AQ20" s="16">
        <f>38.631*EXP(1.2111*F4)</f>
        <v>45.769097662017188</v>
      </c>
      <c r="AR20" s="16"/>
      <c r="AT20" s="1" t="s">
        <v>69</v>
      </c>
      <c r="AU20" s="1">
        <f>B20</f>
        <v>90</v>
      </c>
      <c r="AV20" s="41" t="s">
        <v>69</v>
      </c>
      <c r="AW20" s="16">
        <f>0.6229*Y4 + 31.496</f>
        <v>97.695476093415863</v>
      </c>
      <c r="AX20" s="16">
        <f>2.4916*X4 + 31.496</f>
        <v>97.695476093415976</v>
      </c>
      <c r="AY20" s="16">
        <f>9.9664*W4 + 31.496</f>
        <v>97.695476093415976</v>
      </c>
      <c r="AZ20" s="16">
        <f xml:space="preserve"> 39.864*V4 + 31.499</f>
        <v>97.695819187166947</v>
      </c>
      <c r="BA20" s="16">
        <f xml:space="preserve"> 153.68*U4 + 33.411</f>
        <v>97.20996129768622</v>
      </c>
      <c r="BB20" s="13">
        <f xml:space="preserve"> 341.18*T4 + 59.342</f>
        <v>94.751502888379235</v>
      </c>
      <c r="BD20" s="1">
        <f>AU20</f>
        <v>90</v>
      </c>
      <c r="BE20" s="41" t="s">
        <v>69</v>
      </c>
      <c r="BF20" s="16">
        <f>7.9979*Y4^0.5407</f>
        <v>99.694232599765229</v>
      </c>
      <c r="BG20" s="16">
        <f xml:space="preserve"> 16.925*X4^0.5407</f>
        <v>99.698564460136211</v>
      </c>
      <c r="BH20" s="16">
        <f xml:space="preserve"> 35.818*W4^0.5407</f>
        <v>99.707475964800153</v>
      </c>
      <c r="BI20" s="16">
        <f xml:space="preserve"> 75.792*V4^0.5402</f>
        <v>99.679486561846588</v>
      </c>
      <c r="BJ20" s="16">
        <f>162.76*U4^0.5531</f>
        <v>100.08569989084388</v>
      </c>
      <c r="BK20" s="16">
        <f>200.69*T4^0.333</f>
        <v>94.384158724984758</v>
      </c>
      <c r="BN20" s="1">
        <f>B20</f>
        <v>90</v>
      </c>
      <c r="BO20" s="41" t="s">
        <v>69</v>
      </c>
      <c r="BP20" s="16">
        <f xml:space="preserve"> 3.2753*Y4 + 16.246</f>
        <v>364.33260145892592</v>
      </c>
      <c r="BQ20" s="16">
        <f xml:space="preserve"> 13.101*X4 + 16.246</f>
        <v>364.32728764642911</v>
      </c>
      <c r="BR20" s="16">
        <f xml:space="preserve"> 45.439*W4 + 18.146</f>
        <v>319.96390759037655</v>
      </c>
      <c r="BS20" s="16">
        <f xml:space="preserve"> 129.75*V4 + 19.261</f>
        <v>234.71949110814046</v>
      </c>
      <c r="BT20" s="16">
        <f>408.35*U4 + 18.101</f>
        <v>187.62407291716664</v>
      </c>
      <c r="BU20" s="16">
        <f>268.12*T4 + 67.995</f>
        <v>95.821941539457882</v>
      </c>
      <c r="BW20" s="1">
        <f>BD20</f>
        <v>90</v>
      </c>
      <c r="BX20" s="41" t="s">
        <v>69</v>
      </c>
      <c r="BY20" s="16">
        <f xml:space="preserve"> 7.3072*Y4^0.8093</f>
        <v>318.9670548214167</v>
      </c>
      <c r="BZ20" s="16">
        <f>22.438*X4^0.8093</f>
        <v>318.95677155946009</v>
      </c>
      <c r="CA20" s="16">
        <f xml:space="preserve"> 63.923*W4^0.7897</f>
        <v>285.12827241806099</v>
      </c>
      <c r="CB20" s="16">
        <f>144.46*V4^0.7684</f>
        <v>213.30081318545697</v>
      </c>
      <c r="CC20" s="16">
        <f>377.35*U4^0.8162</f>
        <v>184.12643250004979</v>
      </c>
      <c r="CD20" s="16">
        <f xml:space="preserve"> 193.76*T4^0.3028</f>
        <v>97.577612296617161</v>
      </c>
      <c r="CE20" s="1"/>
    </row>
    <row r="21" spans="1:83" x14ac:dyDescent="0.25">
      <c r="A21" s="1" t="s">
        <v>70</v>
      </c>
      <c r="B21" s="1">
        <v>45</v>
      </c>
      <c r="C21" s="24">
        <f>(C5+0.0087)/0.0009</f>
        <v>28.937326206160222</v>
      </c>
      <c r="D21" s="24">
        <f>C5*637.85+31.496</f>
        <v>42.558611168539372</v>
      </c>
      <c r="E21" s="24">
        <f>339.46*C5^0.5407</f>
        <v>37.904529640463622</v>
      </c>
      <c r="G21" s="31" t="s">
        <v>70</v>
      </c>
      <c r="H21" s="24">
        <f>($D5-0.0009)/0.0002</f>
        <v>14.270611763493299</v>
      </c>
      <c r="I21" s="32">
        <f>3353.9*D5+16.246</f>
        <v>28.836950958716034</v>
      </c>
      <c r="J21" s="32">
        <f>1994.7*(D5^0.8093)</f>
        <v>21.723372749373084</v>
      </c>
      <c r="K21" s="13"/>
      <c r="L21" s="31" t="s">
        <v>70</v>
      </c>
      <c r="M21" s="16">
        <f>(K5-205.04)/-0.4563</f>
        <v>122.8796103877864</v>
      </c>
      <c r="N21" s="16">
        <f>-1.6001*K5 + 344.62</f>
        <v>106.2530489485371</v>
      </c>
      <c r="O21" s="55">
        <f>1000000000000*K5-4.601</f>
        <v>148970033780048.47</v>
      </c>
      <c r="P21" s="16"/>
      <c r="Q21" s="31" t="s">
        <v>70</v>
      </c>
      <c r="R21" s="44">
        <f>(J5-60.122)/0.0841</f>
        <v>-362.33047891370342</v>
      </c>
      <c r="S21" s="16">
        <f>0.5169*J5+27.545</f>
        <v>42.871088475303516</v>
      </c>
      <c r="T21" s="16">
        <f>1.1518*J5^0.9191</f>
        <v>25.960620247950711</v>
      </c>
      <c r="U21" s="16"/>
      <c r="V21" s="31" t="s">
        <v>70</v>
      </c>
      <c r="W21" s="44">
        <f>(I5-3.8633)/0.2077</f>
        <v>-7.9600361043143897</v>
      </c>
      <c r="X21" s="13">
        <f>2.8315*I5 + 14.308</f>
        <v>20.565616418960641</v>
      </c>
      <c r="Y21" s="16">
        <f>8.9277*I5^0.6763</f>
        <v>15.263430355503798</v>
      </c>
      <c r="Z21" s="45"/>
      <c r="AA21" s="1"/>
      <c r="AB21" s="31" t="s">
        <v>70</v>
      </c>
      <c r="AC21" s="16">
        <f>(H5+0.1561)/0.0915</f>
        <v>3.5639348475274497</v>
      </c>
      <c r="AD21" s="16">
        <f>6.3569*H5+ 26.624</f>
        <v>27.704673245050621</v>
      </c>
      <c r="AE21" s="16">
        <f xml:space="preserve"> 32.273*H5^0.3897</f>
        <v>16.178763293074105</v>
      </c>
      <c r="AF21" s="16"/>
      <c r="AH21" s="31" t="s">
        <v>70</v>
      </c>
      <c r="AI21" s="16">
        <f>(G5+0.0678)/0.0239</f>
        <v>4.0920504938377666</v>
      </c>
      <c r="AJ21" s="16">
        <f xml:space="preserve"> 15.463*G5 + 39.702</f>
        <v>40.165890105190499</v>
      </c>
      <c r="AK21" s="16">
        <f>34.915*EXP(0.2946*G5)</f>
        <v>35.224946476263852</v>
      </c>
      <c r="AM21" s="1"/>
      <c r="AN21" s="31" t="s">
        <v>70</v>
      </c>
      <c r="AO21" s="16">
        <f>(F5+0.168)/0.0069</f>
        <v>24.347826086956523</v>
      </c>
      <c r="AP21" s="16">
        <f>70.576*F5 + 43.217</f>
        <v>43.216999999999999</v>
      </c>
      <c r="AQ21" s="16">
        <f>38.631*EXP(1.2111*F5)</f>
        <v>38.631</v>
      </c>
      <c r="AR21" s="16"/>
      <c r="AT21" s="1" t="s">
        <v>70</v>
      </c>
      <c r="AU21" s="1">
        <f t="shared" ref="AU21:AU25" si="7">B21</f>
        <v>45</v>
      </c>
      <c r="AV21" s="41" t="s">
        <v>70</v>
      </c>
      <c r="AW21" s="16">
        <f>0.6229*Y5 + 31.496</f>
        <v>42.55860423110196</v>
      </c>
      <c r="AX21" s="16">
        <f>2.4916*X5 + 31.496</f>
        <v>42.558604231101967</v>
      </c>
      <c r="AY21" s="16">
        <f>9.9664*W5 + 31.496</f>
        <v>42.558604231101945</v>
      </c>
      <c r="AZ21" s="16">
        <f xml:space="preserve"> 39.864*V5 + 31.499</f>
        <v>42.561160235106172</v>
      </c>
      <c r="BA21" s="16">
        <f xml:space="preserve"> 153.68*U5 + 33.411</f>
        <v>44.072453848905766</v>
      </c>
      <c r="BB21" s="13">
        <f xml:space="preserve"> 341.18*T5 + 59.342</f>
        <v>59.341999999999999</v>
      </c>
      <c r="BD21" s="1">
        <f t="shared" ref="BD21:BD25" si="8">AU21</f>
        <v>45</v>
      </c>
      <c r="BE21" s="41" t="s">
        <v>70</v>
      </c>
      <c r="BF21" s="16">
        <f>7.9979*Y5^0.5407</f>
        <v>37.892011567978848</v>
      </c>
      <c r="BG21" s="16">
        <f xml:space="preserve"> 16.925*X5^0.5407</f>
        <v>37.89365803135999</v>
      </c>
      <c r="BH21" s="16">
        <f xml:space="preserve"> 35.818*W5^0.5407</f>
        <v>37.897045136401111</v>
      </c>
      <c r="BI21" s="16">
        <f xml:space="preserve"> 75.792*V5^0.5402</f>
        <v>37.920313348849398</v>
      </c>
      <c r="BJ21" s="16">
        <f>162.76*U5^0.5531</f>
        <v>37.206163654402346</v>
      </c>
      <c r="BK21" s="16">
        <f>200.69*T5^0.333</f>
        <v>0</v>
      </c>
      <c r="BN21" s="1">
        <f t="shared" ref="BN21:BN25" si="9">B21</f>
        <v>45</v>
      </c>
      <c r="BO21" s="41" t="s">
        <v>70</v>
      </c>
      <c r="BP21" s="16">
        <f xml:space="preserve"> 3.2753*Y5 + 16.246</f>
        <v>74.414803400430642</v>
      </c>
      <c r="BQ21" s="16">
        <f xml:space="preserve"> 13.101*X5 + 16.246</f>
        <v>74.413915408439124</v>
      </c>
      <c r="BR21" s="16">
        <f xml:space="preserve"> 45.439*W5 + 18.146</f>
        <v>68.582835131746805</v>
      </c>
      <c r="BS21" s="16">
        <f xml:space="preserve"> 129.75*V5 + 19.261</f>
        <v>55.266300283589857</v>
      </c>
      <c r="BT21" s="16">
        <f>408.35*U5 + 18.101</f>
        <v>46.430025762627977</v>
      </c>
      <c r="BU21" s="16">
        <f>268.12*T5 + 67.995</f>
        <v>67.995000000000005</v>
      </c>
      <c r="BW21" s="1">
        <f t="shared" ref="BW21:BW25" si="10">BD21</f>
        <v>45</v>
      </c>
      <c r="BX21" s="41" t="s">
        <v>70</v>
      </c>
      <c r="BY21" s="16">
        <f xml:space="preserve"> 7.3072*Y5^0.8093</f>
        <v>74.975956194233888</v>
      </c>
      <c r="BZ21" s="16">
        <f>22.438*X5^0.8093</f>
        <v>74.973539024854261</v>
      </c>
      <c r="CA21" s="16">
        <f xml:space="preserve"> 63.923*W5^0.7897</f>
        <v>69.413766763516179</v>
      </c>
      <c r="CB21" s="16">
        <f>144.46*V5^0.7684</f>
        <v>53.94458799502717</v>
      </c>
      <c r="CC21" s="16">
        <f>377.35*U5^0.8162</f>
        <v>42.749500333993886</v>
      </c>
      <c r="CD21" s="16">
        <f xml:space="preserve"> 193.76*T5^0.3028</f>
        <v>0</v>
      </c>
      <c r="CE21" s="1"/>
    </row>
    <row r="22" spans="1:83" x14ac:dyDescent="0.25">
      <c r="A22" s="1" t="s">
        <v>71</v>
      </c>
      <c r="B22" s="1">
        <v>90</v>
      </c>
      <c r="C22" s="24">
        <f>(C6+0.0087)/0.0009</f>
        <v>115.87861276600501</v>
      </c>
      <c r="D22" s="24">
        <f>C6*637.85+31.496</f>
        <v>92.468560837516662</v>
      </c>
      <c r="E22" s="24">
        <f>339.46*C6^0.5407</f>
        <v>95.389258082839561</v>
      </c>
      <c r="G22" s="31" t="s">
        <v>71</v>
      </c>
      <c r="H22" s="24">
        <f>($D6-0.0009)/0.0002</f>
        <v>16.375086362494351</v>
      </c>
      <c r="I22" s="32">
        <f>3353.9*D6+16.246</f>
        <v>30.248590430233961</v>
      </c>
      <c r="J22" s="32">
        <f>1994.7*(D6^0.8093)</f>
        <v>23.674255529249351</v>
      </c>
      <c r="K22" s="13"/>
      <c r="L22" s="31" t="s">
        <v>71</v>
      </c>
      <c r="M22" s="16">
        <f>(K6-205.04)/-0.4563</f>
        <v>140.49231944235979</v>
      </c>
      <c r="N22" s="16">
        <f>-1.6001*K6 + 344.62</f>
        <v>119.1125392430142</v>
      </c>
      <c r="O22" s="55">
        <f>1000000000000*K6-4.601</f>
        <v>140933354638446.63</v>
      </c>
      <c r="P22" s="16"/>
      <c r="Q22" s="31" t="s">
        <v>71</v>
      </c>
      <c r="R22" s="44">
        <f>(J6-60.122)/0.0841</f>
        <v>-339.38163170036603</v>
      </c>
      <c r="S22" s="16">
        <f>0.5169*J6+27.545</f>
        <v>43.868704467680203</v>
      </c>
      <c r="T22" s="16">
        <f>1.1518*J6^0.9191</f>
        <v>27.509761120953833</v>
      </c>
      <c r="U22" s="16"/>
      <c r="V22" s="31" t="s">
        <v>71</v>
      </c>
      <c r="W22" s="44">
        <f>(I6-3.8633)/0.2077</f>
        <v>-8.1686711882275436</v>
      </c>
      <c r="X22" s="13">
        <f>2.8315*I6 + 14.308</f>
        <v>20.442917594091853</v>
      </c>
      <c r="Y22" s="16">
        <f>8.9277*I6^0.6763</f>
        <v>15.060376567986314</v>
      </c>
      <c r="Z22" s="45"/>
      <c r="AA22" s="1"/>
      <c r="AB22" s="31" t="s">
        <v>71</v>
      </c>
      <c r="AC22" s="16">
        <f>(H6+0.1561)/0.0915</f>
        <v>4.8389804371860778</v>
      </c>
      <c r="AD22" s="16">
        <f>6.3569*H6+ 26.624</f>
        <v>28.446311608815058</v>
      </c>
      <c r="AE22" s="16">
        <f xml:space="preserve"> 32.273*H6^0.3897</f>
        <v>19.832581929011742</v>
      </c>
      <c r="AF22" s="16"/>
      <c r="AH22" s="31" t="s">
        <v>71</v>
      </c>
      <c r="AI22" s="16">
        <f>(G6+0.0678)/0.0239</f>
        <v>4.7894005741147057</v>
      </c>
      <c r="AJ22" s="16">
        <f xml:space="preserve"> 15.463*G6 + 39.702</f>
        <v>40.4236067757531</v>
      </c>
      <c r="AK22" s="16">
        <f>34.915*EXP(0.2946*G6)</f>
        <v>35.398326265143709</v>
      </c>
      <c r="AM22" s="1"/>
      <c r="AN22" s="31" t="s">
        <v>71</v>
      </c>
      <c r="AO22" s="16">
        <f>(F6+0.168)/0.0069</f>
        <v>28.212560970711511</v>
      </c>
      <c r="AP22" s="16">
        <f>70.576*F6 + 43.217</f>
        <v>45.099026951175652</v>
      </c>
      <c r="AQ22" s="16">
        <f>38.631*EXP(1.2111*F6)</f>
        <v>39.898992296177823</v>
      </c>
      <c r="AR22" s="16"/>
      <c r="AT22" s="1" t="s">
        <v>71</v>
      </c>
      <c r="AU22" s="1">
        <f t="shared" si="7"/>
        <v>90</v>
      </c>
      <c r="AV22" s="41" t="s">
        <v>71</v>
      </c>
      <c r="AW22" s="16">
        <f>0.6229*Y6 + 31.496</f>
        <v>92.468522601216051</v>
      </c>
      <c r="AX22" s="16">
        <f>2.4916*X6 + 31.496</f>
        <v>92.468522601215938</v>
      </c>
      <c r="AY22" s="16">
        <f>9.9664*W6 + 31.496</f>
        <v>92.468522601215994</v>
      </c>
      <c r="AZ22" s="16">
        <f xml:space="preserve"> 39.864*V6 + 31.499</f>
        <v>92.469075477977853</v>
      </c>
      <c r="BA22" s="16">
        <f xml:space="preserve"> 153.68*U6 + 33.411</f>
        <v>92.172546755566742</v>
      </c>
      <c r="BB22" s="13">
        <f xml:space="preserve"> 341.18*T6 + 59.342</f>
        <v>91.955652593155037</v>
      </c>
      <c r="BD22" s="1">
        <f t="shared" si="8"/>
        <v>90</v>
      </c>
      <c r="BE22" s="41" t="s">
        <v>71</v>
      </c>
      <c r="BF22" s="16">
        <f>7.9979*Y6^0.5407</f>
        <v>95.357755524747361</v>
      </c>
      <c r="BG22" s="16">
        <f xml:space="preserve"> 16.925*X6^0.5407</f>
        <v>95.361898958840129</v>
      </c>
      <c r="BH22" s="16">
        <f xml:space="preserve"> 35.818*W6^0.5407</f>
        <v>95.37042283289928</v>
      </c>
      <c r="BI22" s="16">
        <f xml:space="preserve"> 75.792*V6^0.5402</f>
        <v>95.347571958453543</v>
      </c>
      <c r="BJ22" s="16">
        <f>162.76*U6^0.5531</f>
        <v>95.634608274952342</v>
      </c>
      <c r="BK22" s="16">
        <f>200.69*T6^0.333</f>
        <v>91.834151906724713</v>
      </c>
      <c r="BN22" s="1">
        <f t="shared" si="9"/>
        <v>90</v>
      </c>
      <c r="BO22" s="41" t="s">
        <v>71</v>
      </c>
      <c r="BP22" s="16">
        <f xml:space="preserve"> 3.2753*Y6 + 16.246</f>
        <v>336.84850967372444</v>
      </c>
      <c r="BQ22" s="16">
        <f xml:space="preserve"> 13.101*X6 + 16.246</f>
        <v>336.84361542724753</v>
      </c>
      <c r="BR22" s="16">
        <f xml:space="preserve"> 45.439*W6 + 18.146</f>
        <v>296.13308204333094</v>
      </c>
      <c r="BS22" s="16">
        <f xml:space="preserve"> 129.75*V6 + 19.261</f>
        <v>217.7074000920035</v>
      </c>
      <c r="BT22" s="16">
        <f>408.35*U6 + 18.101</f>
        <v>174.23893348279333</v>
      </c>
      <c r="BU22" s="16">
        <f>268.12*T6 + 67.995</f>
        <v>93.62479228933914</v>
      </c>
      <c r="BW22" s="1">
        <f t="shared" si="10"/>
        <v>90</v>
      </c>
      <c r="BX22" s="41" t="s">
        <v>71</v>
      </c>
      <c r="BY22" s="16">
        <f xml:space="preserve"> 7.3072*Y6^0.8093</f>
        <v>298.42645328901642</v>
      </c>
      <c r="BZ22" s="16">
        <f>22.438*X6^0.8093</f>
        <v>298.41683224086142</v>
      </c>
      <c r="CA22" s="16">
        <f xml:space="preserve"> 63.923*W6^0.7897</f>
        <v>267.19719303270881</v>
      </c>
      <c r="CB22" s="16">
        <f>144.46*V6^0.7684</f>
        <v>200.23729242898125</v>
      </c>
      <c r="CC22" s="16">
        <f>377.35*U6^0.8162</f>
        <v>172.17145795622451</v>
      </c>
      <c r="CD22" s="16">
        <f xml:space="preserve"> 193.76*T6^0.3028</f>
        <v>95.177447376366999</v>
      </c>
      <c r="CE22" s="1"/>
    </row>
    <row r="23" spans="1:83" x14ac:dyDescent="0.25">
      <c r="A23" s="1" t="s">
        <v>132</v>
      </c>
      <c r="B23" s="1">
        <v>128</v>
      </c>
      <c r="C23" s="24">
        <f>(C10+0.0087)/0.0009</f>
        <v>39.77851092597556</v>
      </c>
      <c r="D23" s="24">
        <f>C10*637.85+31.496</f>
        <v>48.782155874720161</v>
      </c>
      <c r="E23" s="24">
        <f>339.46*C10^0.5407</f>
        <v>48.250389095614111</v>
      </c>
      <c r="G23" s="31" t="s">
        <v>132</v>
      </c>
      <c r="H23" s="24">
        <f>($D10-0.0009)/0.0002</f>
        <v>82.207795538651993</v>
      </c>
      <c r="I23" s="32">
        <f>3353.9*D10+16.246</f>
        <v>74.407855091416991</v>
      </c>
      <c r="J23" s="32">
        <f>1994.7*(D10^0.8093)</f>
        <v>74.9499969978107</v>
      </c>
      <c r="K23" s="45"/>
      <c r="L23" s="31" t="s">
        <v>132</v>
      </c>
      <c r="M23" s="44">
        <f>(K10-205.04)/-0.4563</f>
        <v>-102.87822339104389</v>
      </c>
      <c r="N23" s="44">
        <f>-1.6001*AM10 + 344.62</f>
        <v>-23847.291900000004</v>
      </c>
      <c r="O23" s="55">
        <f>1000000000000*AM10-4.601</f>
        <v>1.5118999999999996E+16</v>
      </c>
      <c r="P23" s="16"/>
      <c r="Q23" s="31" t="s">
        <v>132</v>
      </c>
      <c r="R23" s="44">
        <f>(J10-60.122)/0.0841</f>
        <v>1633.9040824415381</v>
      </c>
      <c r="S23" s="16">
        <f>0.5169*J10+27.545</f>
        <v>129.64998</v>
      </c>
      <c r="T23" s="16">
        <f>1.1518*J10^0.9191</f>
        <v>148.35430688486392</v>
      </c>
      <c r="U23" s="44"/>
      <c r="V23" s="31" t="s">
        <v>132</v>
      </c>
      <c r="W23" s="16">
        <f>(I10-3.8633)/0.2077</f>
        <v>192.20044936607283</v>
      </c>
      <c r="X23" s="13">
        <f>2.8315*I10 + 14.308</f>
        <v>138.28050833333333</v>
      </c>
      <c r="Y23" s="16">
        <f>8.9277*I10^0.6763</f>
        <v>115.01559877164919</v>
      </c>
      <c r="Z23" s="45"/>
      <c r="AB23" s="31" t="s">
        <v>132</v>
      </c>
      <c r="AC23" s="16">
        <f>(H10+0.1561)/0.0915</f>
        <v>37.953734061930788</v>
      </c>
      <c r="AD23" s="16">
        <f>6.3569*H10+ 26.624</f>
        <v>47.707718333333332</v>
      </c>
      <c r="AE23" s="16">
        <f xml:space="preserve"> 32.273*H10^0.3897</f>
        <v>51.494025006246446</v>
      </c>
      <c r="AF23" s="44"/>
      <c r="AH23" s="31" t="s">
        <v>132</v>
      </c>
      <c r="AI23" s="16">
        <f>(G10+0.0678)/0.0239</f>
        <v>10.507670850767084</v>
      </c>
      <c r="AJ23" s="16">
        <f xml:space="preserve"> 15.463*G10 + 39.702</f>
        <v>42.536883333333328</v>
      </c>
      <c r="AK23" s="16">
        <f>34.915*EXP(0.2946*G10)</f>
        <v>36.852613408536079</v>
      </c>
      <c r="AM23" s="1"/>
      <c r="AN23" s="31" t="s">
        <v>132</v>
      </c>
      <c r="AO23" s="16">
        <f>(F10+0.168)/0.0069</f>
        <v>24.347826086956523</v>
      </c>
      <c r="AP23" s="16">
        <f>70.576*F10 + 43.217</f>
        <v>43.216999999999999</v>
      </c>
      <c r="AQ23" s="16">
        <f>38.631*EXP(1.2111*F10)</f>
        <v>38.631</v>
      </c>
      <c r="AR23" s="16"/>
      <c r="AT23" s="1" t="s">
        <v>132</v>
      </c>
      <c r="AU23" s="1">
        <f t="shared" si="7"/>
        <v>128</v>
      </c>
      <c r="AV23" s="46" t="s">
        <v>132</v>
      </c>
      <c r="AW23" s="16">
        <f>0.6229*Y10 + 31.496</f>
        <v>54.677139393466177</v>
      </c>
      <c r="AX23" s="16">
        <f>2.4916*X10 + 31.496</f>
        <v>54.677139393466206</v>
      </c>
      <c r="AY23" s="16">
        <f>9.9664*W10 + 31.496</f>
        <v>54.677139393466177</v>
      </c>
      <c r="AZ23" s="16">
        <f xml:space="preserve"> 39.864*V10 + 31.499</f>
        <v>48.784451257564484</v>
      </c>
      <c r="BA23" s="16">
        <f xml:space="preserve"> 153.68*U10 + 33.411</f>
        <v>50.070317612774126</v>
      </c>
      <c r="BB23" s="13">
        <f xml:space="preserve"> 341.18*T10 + 59.342</f>
        <v>59.341999999999999</v>
      </c>
      <c r="BD23" s="1">
        <f t="shared" si="8"/>
        <v>128</v>
      </c>
      <c r="BE23" s="46" t="s">
        <v>132</v>
      </c>
      <c r="BF23" s="16">
        <f>7.9979*Y10^0.5407</f>
        <v>56.527835068229642</v>
      </c>
      <c r="BG23" s="16">
        <f xml:space="preserve"> 16.925*X10^0.5407</f>
        <v>56.530291285426998</v>
      </c>
      <c r="BH23" s="16">
        <f xml:space="preserve"> 35.818*W10^0.5407</f>
        <v>56.535344216300857</v>
      </c>
      <c r="BI23" s="16">
        <f xml:space="preserve"> 75.792*V10^0.5402</f>
        <v>48.259709693663041</v>
      </c>
      <c r="BJ23" s="16">
        <f>162.76*U10^0.5531</f>
        <v>47.624258373941231</v>
      </c>
      <c r="BK23" s="16">
        <f>200.69*T10^0.333</f>
        <v>0</v>
      </c>
      <c r="BN23" s="1">
        <f t="shared" si="9"/>
        <v>128</v>
      </c>
      <c r="BO23" s="46" t="s">
        <v>132</v>
      </c>
      <c r="BP23" s="16">
        <f xml:space="preserve"> 3.2753*Y10 + 16.246</f>
        <v>138.13584725544999</v>
      </c>
      <c r="BQ23" s="16">
        <f xml:space="preserve"> 13.101*X10 + 16.246</f>
        <v>138.13398651220135</v>
      </c>
      <c r="BR23" s="16">
        <f xml:space="preserve"> 45.439*W10 + 18.146</f>
        <v>123.83389060239504</v>
      </c>
      <c r="BS23" s="16">
        <f xml:space="preserve"> 129.75*V10 + 19.261</f>
        <v>75.521969814092728</v>
      </c>
      <c r="BT23" s="16">
        <f>408.35*U10 + 18.101</f>
        <v>62.367217771839627</v>
      </c>
      <c r="BU23" s="16">
        <f>268.12*T10 + 67.995</f>
        <v>67.995000000000005</v>
      </c>
      <c r="BW23" s="1">
        <f t="shared" si="10"/>
        <v>128</v>
      </c>
      <c r="BX23" s="46" t="s">
        <v>132</v>
      </c>
      <c r="BY23" s="16">
        <f xml:space="preserve"> 7.3072*Y10^0.8093</f>
        <v>136.43689124312615</v>
      </c>
      <c r="BZ23" s="16">
        <f>22.438*X10^0.8093</f>
        <v>136.43249261865367</v>
      </c>
      <c r="CA23" s="16">
        <f xml:space="preserve"> 63.923*W10^0.7897</f>
        <v>124.49685404636813</v>
      </c>
      <c r="CB23" s="16">
        <f>144.46*V10^0.7684</f>
        <v>76.014270757012255</v>
      </c>
      <c r="CC23" s="16">
        <f>377.35*U10^0.8162</f>
        <v>61.538071923627697</v>
      </c>
      <c r="CD23" s="16">
        <f xml:space="preserve"> 193.76*T10^0.3028</f>
        <v>0</v>
      </c>
      <c r="CE23" s="1"/>
    </row>
    <row r="24" spans="1:83" x14ac:dyDescent="0.25">
      <c r="A24" s="1" t="s">
        <v>133</v>
      </c>
      <c r="B24" s="1">
        <v>64</v>
      </c>
      <c r="C24" s="24">
        <f>(C11+0.0087)/0.0009</f>
        <v>47.327378278646002</v>
      </c>
      <c r="D24" s="24">
        <f>C11*637.85+31.496</f>
        <v>53.115696411530919</v>
      </c>
      <c r="E24" s="24">
        <f>339.46*C11^0.5407</f>
        <v>54.454083821996328</v>
      </c>
      <c r="G24" s="31" t="s">
        <v>133</v>
      </c>
      <c r="H24" s="24">
        <f>($D11-0.0009)/0.0002</f>
        <v>118.23583380553599</v>
      </c>
      <c r="I24" s="32">
        <f>3353.9*D11+16.246</f>
        <v>98.574742600077442</v>
      </c>
      <c r="J24" s="32">
        <f>1994.7*(D11^0.8093)</f>
        <v>99.290043013447303</v>
      </c>
      <c r="K24" s="45"/>
      <c r="L24" s="31" t="s">
        <v>133</v>
      </c>
      <c r="M24" s="16">
        <f>(K11-205.04)/-0.4563</f>
        <v>62.619621593980547</v>
      </c>
      <c r="N24" s="16">
        <f>-1.6001*K11 + 344.62</f>
        <v>62.255686666666634</v>
      </c>
      <c r="O24" s="55">
        <f>1000000000000*K11-4.601</f>
        <v>176466666666662.06</v>
      </c>
      <c r="P24" s="16"/>
      <c r="Q24" s="31" t="s">
        <v>133</v>
      </c>
      <c r="R24" s="44">
        <f>(J11-60.122)/0.0841</f>
        <v>1324.1537851763774</v>
      </c>
      <c r="S24" s="16">
        <f>0.5169*J11+27.545</f>
        <v>116.184735</v>
      </c>
      <c r="T24" s="16">
        <f>1.1518*J11^0.9191</f>
        <v>130.27180720268166</v>
      </c>
      <c r="U24" s="44"/>
      <c r="V24" s="31" t="s">
        <v>133</v>
      </c>
      <c r="W24" s="16">
        <f>(I11-3.8633)/0.2077</f>
        <v>377.4034665382764</v>
      </c>
      <c r="X24" s="13">
        <f>2.8315*I11 + 14.308</f>
        <v>247.19887500000002</v>
      </c>
      <c r="Y24" s="16">
        <f>8.9277*I11^0.6763</f>
        <v>176.17569838163556</v>
      </c>
      <c r="Z24" s="45"/>
      <c r="AB24" s="31" t="s">
        <v>133</v>
      </c>
      <c r="AC24" s="16">
        <f>(H11+0.1561)/0.0915</f>
        <v>23.017486338797816</v>
      </c>
      <c r="AD24" s="16">
        <f>6.3569*H11+ 26.624</f>
        <v>39.019954999999996</v>
      </c>
      <c r="AE24" s="16">
        <f xml:space="preserve"> 32.273*H11^0.3897</f>
        <v>41.866420008767221</v>
      </c>
      <c r="AF24" s="44"/>
      <c r="AH24" s="31" t="s">
        <v>133</v>
      </c>
      <c r="AI24" s="16">
        <f>(G11+0.0678)/0.0239</f>
        <v>4.2315202231520219</v>
      </c>
      <c r="AJ24" s="16">
        <f xml:space="preserve"> 15.463*G11 + 39.702</f>
        <v>40.217433333333332</v>
      </c>
      <c r="AK24" s="16">
        <f>34.915*EXP(0.2946*G11)</f>
        <v>35.259554292731977</v>
      </c>
      <c r="AM24" s="1"/>
      <c r="AN24" s="31" t="s">
        <v>133</v>
      </c>
      <c r="AO24" s="16">
        <f>(F11+0.168)/0.0069</f>
        <v>24.347826086956523</v>
      </c>
      <c r="AP24" s="16">
        <f>70.576*F11 + 43.217</f>
        <v>43.216999999999999</v>
      </c>
      <c r="AQ24" s="16">
        <f>38.631*EXP(1.2111*F11)</f>
        <v>38.631</v>
      </c>
      <c r="AR24" s="16"/>
      <c r="AT24" s="1" t="s">
        <v>133</v>
      </c>
      <c r="AU24" s="1">
        <f t="shared" si="7"/>
        <v>64</v>
      </c>
      <c r="AV24" s="46" t="s">
        <v>133</v>
      </c>
      <c r="AW24" s="16">
        <f>0.6229*Y11 + 31.496</f>
        <v>53.115682853674762</v>
      </c>
      <c r="AX24" s="16">
        <f>2.4916*X11 + 31.496</f>
        <v>53.115682853674762</v>
      </c>
      <c r="AY24" s="16">
        <f>9.9664*W11 + 31.496</f>
        <v>53.115682853674741</v>
      </c>
      <c r="AZ24" s="16">
        <f xml:space="preserve"> 39.864*V11 + 31.499</f>
        <v>53.117815150879217</v>
      </c>
      <c r="BA24" s="16">
        <f xml:space="preserve"> 153.68*U11 + 33.411</f>
        <v>50.95799155206047</v>
      </c>
      <c r="BB24" s="13">
        <f xml:space="preserve"> 341.18*T11 + 59.342</f>
        <v>59.341999999999999</v>
      </c>
      <c r="BD24" s="1">
        <f t="shared" si="8"/>
        <v>64</v>
      </c>
      <c r="BE24" s="46" t="s">
        <v>133</v>
      </c>
      <c r="BF24" s="16">
        <f>7.9979*Y11^0.5407</f>
        <v>54.43610021489598</v>
      </c>
      <c r="BG24" s="16">
        <f xml:space="preserve"> 16.925*X11^0.5407</f>
        <v>54.438465543151352</v>
      </c>
      <c r="BH24" s="16">
        <f xml:space="preserve"> 35.818*W11^0.5407</f>
        <v>54.443331497262228</v>
      </c>
      <c r="BI24" s="16">
        <f xml:space="preserve"> 75.792*V11^0.5402</f>
        <v>54.458511303586427</v>
      </c>
      <c r="BJ24" s="16">
        <f>162.76*U11^0.5531</f>
        <v>49.011514068214645</v>
      </c>
      <c r="BK24" s="16">
        <f>200.69*T11^0.333</f>
        <v>0</v>
      </c>
      <c r="BN24" s="1">
        <f t="shared" si="9"/>
        <v>64</v>
      </c>
      <c r="BO24" s="46" t="s">
        <v>133</v>
      </c>
      <c r="BP24" s="16">
        <f xml:space="preserve"> 3.2753*Y11 + 16.246</f>
        <v>129.92547864928713</v>
      </c>
      <c r="BQ24" s="16">
        <f xml:space="preserve"> 13.101*X11 + 16.246</f>
        <v>129.92374324369607</v>
      </c>
      <c r="BR24" s="16">
        <f xml:space="preserve"> 45.439*W11 + 18.146</f>
        <v>116.71486831635562</v>
      </c>
      <c r="BS24" s="16">
        <f xml:space="preserve"> 129.75*V11 + 19.261</f>
        <v>89.626273575822253</v>
      </c>
      <c r="BT24" s="16">
        <f>408.35*U11 + 18.101</f>
        <v>64.725895889405848</v>
      </c>
      <c r="BU24" s="16">
        <f>268.12*T11 + 67.995</f>
        <v>67.995000000000005</v>
      </c>
      <c r="BW24" s="1">
        <f t="shared" si="10"/>
        <v>64</v>
      </c>
      <c r="BX24" s="46" t="s">
        <v>133</v>
      </c>
      <c r="BY24" s="16">
        <f xml:space="preserve"> 7.3072*Y11^0.8093</f>
        <v>128.95013253278273</v>
      </c>
      <c r="BZ24" s="16">
        <f>22.438*X11^0.8093</f>
        <v>128.94597527587422</v>
      </c>
      <c r="CA24" s="16">
        <f xml:space="preserve"> 63.923*W11^0.7897</f>
        <v>117.82622122727562</v>
      </c>
      <c r="CB24" s="16">
        <f>144.46*V11^0.7684</f>
        <v>90.270550237634694</v>
      </c>
      <c r="CC24" s="16">
        <f>377.35*U11^0.8162</f>
        <v>64.201546348510718</v>
      </c>
      <c r="CD24" s="16">
        <f xml:space="preserve"> 193.76*T11^0.3028</f>
        <v>0</v>
      </c>
      <c r="CE24" s="1"/>
    </row>
    <row r="25" spans="1:83" x14ac:dyDescent="0.25">
      <c r="A25" s="1" t="s">
        <v>134</v>
      </c>
      <c r="B25" s="1">
        <v>128</v>
      </c>
      <c r="C25" s="24">
        <f>(C12+0.0087)/0.0009</f>
        <v>144.65324145357667</v>
      </c>
      <c r="D25" s="24">
        <f>C12*637.85+31.496</f>
        <v>108.98706805504749</v>
      </c>
      <c r="E25" s="24">
        <f>339.46*C12^0.5407</f>
        <v>108.59145369385539</v>
      </c>
      <c r="G25" s="31" t="s">
        <v>134</v>
      </c>
      <c r="H25" s="24">
        <f>($D12-0.0009)/0.0002</f>
        <v>312.02028594886252</v>
      </c>
      <c r="I25" s="32">
        <f>3353.9*D12+16.246</f>
        <v>228.56147740877799</v>
      </c>
      <c r="J25" s="32">
        <f>1994.7*(D12^0.8093)</f>
        <v>213.73524192239634</v>
      </c>
      <c r="K25" s="13"/>
      <c r="L25" s="31" t="s">
        <v>134</v>
      </c>
      <c r="M25" s="16">
        <f>(K12-205.04)/-0.4563</f>
        <v>110.76046460661844</v>
      </c>
      <c r="N25" s="16">
        <f>-1.6001*K12 + 344.62</f>
        <v>97.40455</v>
      </c>
      <c r="O25" s="55">
        <f>1000000000000*K12-4.601</f>
        <v>154499999999995.41</v>
      </c>
      <c r="P25" s="16"/>
      <c r="Q25" s="31" t="s">
        <v>134</v>
      </c>
      <c r="R25" s="44">
        <f>(J12-60.122)/0.0841</f>
        <v>1097.8359096313911</v>
      </c>
      <c r="S25" s="16">
        <f>0.5169*J12+27.545</f>
        <v>106.346405</v>
      </c>
      <c r="T25" s="16">
        <f>1.1518*J12^0.9191</f>
        <v>116.92018501445042</v>
      </c>
      <c r="U25" s="16"/>
      <c r="V25" s="31" t="s">
        <v>134</v>
      </c>
      <c r="W25" s="16">
        <f>(I12-3.8633)/0.2077</f>
        <v>758.16096934681434</v>
      </c>
      <c r="X25" s="13">
        <f>2.8315*I12 + 14.308</f>
        <v>471.12333333333339</v>
      </c>
      <c r="Y25" s="16">
        <f>8.9277*I12^0.6763</f>
        <v>277.85831750426343</v>
      </c>
      <c r="Z25" s="13"/>
      <c r="AB25" s="31" t="s">
        <v>134</v>
      </c>
      <c r="AC25" s="16">
        <f>(H12+0.1561)/0.0915</f>
        <v>376.02295081967219</v>
      </c>
      <c r="AD25" s="16">
        <f>6.3569*H12+ 26.624</f>
        <v>244.347825</v>
      </c>
      <c r="AE25" s="16">
        <f xml:space="preserve"> 32.273*H12^0.3897</f>
        <v>127.90766310578329</v>
      </c>
      <c r="AF25" s="16"/>
      <c r="AH25" s="31" t="s">
        <v>134</v>
      </c>
      <c r="AI25" s="16">
        <f>(G12+0.0678)/0.0239</f>
        <v>90.702928870292894</v>
      </c>
      <c r="AJ25" s="16">
        <f xml:space="preserve"> 15.463*G12 + 39.702</f>
        <v>72.174299999999988</v>
      </c>
      <c r="AK25" s="16">
        <f>34.915*EXP(0.2946*G12)</f>
        <v>64.817558833022787</v>
      </c>
      <c r="AM25" s="1"/>
      <c r="AN25" s="31" t="s">
        <v>134</v>
      </c>
      <c r="AO25" s="16">
        <f>(F12+0.168)/0.0069</f>
        <v>29.178743961352659</v>
      </c>
      <c r="AP25" s="16">
        <f>70.576*F12 + 43.217</f>
        <v>45.569533333333332</v>
      </c>
      <c r="AQ25" s="16">
        <f>38.631*EXP(1.2111*F12)</f>
        <v>40.222440567949768</v>
      </c>
      <c r="AR25" s="16"/>
      <c r="AT25" s="1" t="s">
        <v>134</v>
      </c>
      <c r="AU25" s="1">
        <f t="shared" si="7"/>
        <v>128</v>
      </c>
      <c r="AV25" s="46" t="s">
        <v>134</v>
      </c>
      <c r="AW25" s="16">
        <f>0.6229*Y12 + 31.496</f>
        <v>108.98701945988103</v>
      </c>
      <c r="AX25" s="16">
        <f>2.4916*X12 + 31.496</f>
        <v>108.9870194598809</v>
      </c>
      <c r="AY25" s="16">
        <f>9.9664*W12 + 31.496</f>
        <v>108.9870194598811</v>
      </c>
      <c r="AZ25" s="16">
        <f xml:space="preserve"> 39.864*V12 + 31.499</f>
        <v>108.9869093691977</v>
      </c>
      <c r="BA25" s="16">
        <f xml:space="preserve"> 153.68*U12 + 33.411</f>
        <v>108.09205252770886</v>
      </c>
      <c r="BB25" s="13">
        <f xml:space="preserve"> 341.18*T12 + 59.342</f>
        <v>86.294423220422289</v>
      </c>
      <c r="BD25" s="1">
        <f t="shared" si="8"/>
        <v>128</v>
      </c>
      <c r="BE25" s="46" t="s">
        <v>134</v>
      </c>
      <c r="BF25" s="16">
        <f>7.9979*Y12^0.5407</f>
        <v>108.55559107528565</v>
      </c>
      <c r="BG25" s="16">
        <f xml:space="preserve"> 16.925*X12^0.5407</f>
        <v>108.56030797465634</v>
      </c>
      <c r="BH25" s="16">
        <f xml:space="preserve"> 35.818*W12^0.5407</f>
        <v>108.57001158168504</v>
      </c>
      <c r="BI25" s="16">
        <f xml:space="preserve"> 75.792*V12^0.5402</f>
        <v>108.53098774822755</v>
      </c>
      <c r="BJ25" s="16">
        <f>162.76*U12^0.5531</f>
        <v>109.19488940307023</v>
      </c>
      <c r="BK25" s="16">
        <f>200.69*T12^0.333</f>
        <v>86.184919258950003</v>
      </c>
      <c r="BN25" s="1">
        <f t="shared" si="9"/>
        <v>128</v>
      </c>
      <c r="BO25" s="46" t="s">
        <v>134</v>
      </c>
      <c r="BP25" s="16">
        <f xml:space="preserve"> 3.2753*Y12 + 16.246</f>
        <v>423.70520057304276</v>
      </c>
      <c r="BQ25" s="16">
        <f xml:space="preserve"> 13.101*X12 + 16.246</f>
        <v>423.69898039167595</v>
      </c>
      <c r="BR25" s="16">
        <f xml:space="preserve"> 45.439*W12 + 18.146</f>
        <v>371.44452637236492</v>
      </c>
      <c r="BS25" s="16">
        <f xml:space="preserve"> 129.75*V12 + 19.261</f>
        <v>271.46991633186343</v>
      </c>
      <c r="BT25" s="16">
        <f>408.35*U12 + 18.101</f>
        <v>216.53936413124617</v>
      </c>
      <c r="BU25" s="16">
        <f>268.12*T12 + 67.995</f>
        <v>89.175853842135012</v>
      </c>
      <c r="BW25" s="1">
        <f t="shared" si="10"/>
        <v>128</v>
      </c>
      <c r="BX25" s="46" t="s">
        <v>134</v>
      </c>
      <c r="BY25" s="16">
        <f xml:space="preserve"> 7.3072*Y12^0.8093</f>
        <v>362.32589731034267</v>
      </c>
      <c r="BZ25" s="16">
        <f>22.438*X12^0.8093</f>
        <v>362.31421619136893</v>
      </c>
      <c r="CA25" s="16">
        <f xml:space="preserve"> 63.923*W12^0.7897</f>
        <v>322.88900229882751</v>
      </c>
      <c r="CB25" s="16">
        <f>144.46*V12^0.7684</f>
        <v>240.74020676375775</v>
      </c>
      <c r="CC25" s="16">
        <f>377.35*U12^0.8162</f>
        <v>209.38309970162845</v>
      </c>
      <c r="CD25" s="16">
        <f xml:space="preserve"> 193.76*T12^0.3028</f>
        <v>89.838340603076603</v>
      </c>
      <c r="CE25" s="1"/>
    </row>
    <row r="29" spans="1:83" x14ac:dyDescent="0.25">
      <c r="BB29" t="s">
        <v>129</v>
      </c>
    </row>
    <row r="30" spans="1:83" x14ac:dyDescent="0.25">
      <c r="BB30" s="25" t="s">
        <v>82</v>
      </c>
      <c r="BC30" s="1" t="s">
        <v>44</v>
      </c>
      <c r="BD30" s="1" t="s">
        <v>45</v>
      </c>
      <c r="BU30" s="25" t="s">
        <v>82</v>
      </c>
      <c r="BV30" s="1" t="s">
        <v>44</v>
      </c>
      <c r="BW30" s="1" t="s">
        <v>45</v>
      </c>
    </row>
    <row r="31" spans="1:83" x14ac:dyDescent="0.25">
      <c r="BB31" s="26" t="s">
        <v>118</v>
      </c>
      <c r="BC31" s="19" cm="1">
        <f t="array" ref="BC31">SQRT(SUMSQ($AU20:$AU25-AW20:AW25)/COUNTA($AU20:$AU25-AW20:AW25))</f>
        <v>31.431083462403279</v>
      </c>
      <c r="BD31" s="19" cm="1">
        <f t="array" ref="BD31">SQRT(SUMSQ($BD20:$BD25-BF20:BF25)/COUNTA($BD20:$BD25-BF20:BF25))</f>
        <v>30.959733975698892</v>
      </c>
      <c r="BU31" s="26" t="s">
        <v>118</v>
      </c>
      <c r="BV31" s="19" cm="1">
        <f t="array" ref="BV31">SQRT(SUMSQ($BN20:$BN25-BP20:BP25)/COUNTA($BN20:$BN25-BP20:BP25))</f>
        <v>195.34084032408308</v>
      </c>
      <c r="BW31" s="19" cm="1">
        <f t="array" ref="BW31">SQRT(SUMSQ($BW20:$BW22-BY20:BY22)/COUNTA($BW20:$BW22-BY20:BY22))</f>
        <v>179.59775107536919</v>
      </c>
    </row>
    <row r="32" spans="1:83" x14ac:dyDescent="0.25">
      <c r="BB32" s="27" t="s">
        <v>119</v>
      </c>
      <c r="BC32" s="19" cm="1">
        <f t="array" ref="BC32">SQRT(SUMSQ($AU20:$AU25-AX20:AX25)/COUNTA($AU20:$AU25-AX20:AX25))</f>
        <v>31.431083462403283</v>
      </c>
      <c r="BD32" s="19" cm="1">
        <f t="array" ref="BD32">SQRT(SUMSQ($BD20:$BD25-BG20:BG25)/COUNTA($BD20:$BD25-BG20:BG25))</f>
        <v>30.958456141963076</v>
      </c>
      <c r="BU32" s="27" t="s">
        <v>119</v>
      </c>
      <c r="BV32" s="19" cm="1">
        <f t="array" ref="BV32">SQRT(SUMSQ($BN20:$BN25-BQ20:BQ25)/COUNTA($BN20:$BN25-BQ20:BQ25))</f>
        <v>195.33686042955955</v>
      </c>
      <c r="BW32" s="19" cm="1">
        <f t="array" ref="BW32">SQRT(SUMSQ($BD20:$BD22-BZ20:BZ22)/COUNTA($BD20:$BD22-BZ20:BZ22))</f>
        <v>179.58952479280876</v>
      </c>
    </row>
    <row r="33" spans="2:81" x14ac:dyDescent="0.25">
      <c r="BB33" s="28" t="s">
        <v>120</v>
      </c>
      <c r="BC33" s="19" cm="1">
        <f t="array" ref="BC33">SQRT(SUMSQ($AU20:$AU25-AY20:AY25)/COUNTA($AU20:$AU25-AY20:AY25))</f>
        <v>31.431083462403276</v>
      </c>
      <c r="BD33" s="19" cm="1">
        <f t="array" ref="BD33">SQRT(SUMSQ($BD20:$BD25-BH20:BH25)/COUNTA($BD20:$BD25-BH20:BH25))</f>
        <v>30.955828443916932</v>
      </c>
      <c r="BU33" s="28" t="s">
        <v>120</v>
      </c>
      <c r="BV33" s="19" cm="1">
        <f t="array" ref="BV33">SQRT(SUMSQ($BN20:$BN25-BR20:BR25)/COUNTA($BN20:$BN25-BR20:BR25))</f>
        <v>162.27129939782822</v>
      </c>
      <c r="BW33" s="19" cm="1">
        <f t="array" ref="BW33">SQRT(SUMSQ($BD20:$BD22-CA20:CA22)/COUNTA($BD20:$BD22-CA20:CA22))</f>
        <v>152.8287930148324</v>
      </c>
    </row>
    <row r="34" spans="2:81" x14ac:dyDescent="0.25">
      <c r="BB34" s="29" t="s">
        <v>121</v>
      </c>
      <c r="BC34" s="19" cm="1">
        <f t="array" ref="BC34">SQRT(SUMSQ($AU20:$AU25-AZ20:AZ25)/COUNTA($AU20:$AU25-AZ20:AZ25))</f>
        <v>33.730037629851175</v>
      </c>
      <c r="BD34" s="19" cm="1">
        <f t="array" ref="BD34">SQRT(SUMSQ($BD20:$BD25-BI20:BI25)/COUNTA($BD20:$BD25-BI20:BI25))</f>
        <v>34.158960005081724</v>
      </c>
      <c r="BU34" s="29" t="s">
        <v>121</v>
      </c>
      <c r="BV34" s="19" cm="1">
        <f t="array" ref="BV34">SQRT(SUMSQ($BN20:$BN25-BS20:BS25)/COUNTA($BN20:$BN25-BS20:BS25))</f>
        <v>101.12086374583207</v>
      </c>
      <c r="BW34" s="19" cm="1">
        <f t="array" ref="BW34">SQRT(SUMSQ($BD20:$BD22-CB20:CB22)/COUNTA($BD20:$BD22-CB20:CB22))</f>
        <v>95.630115250842877</v>
      </c>
    </row>
    <row r="35" spans="2:81" x14ac:dyDescent="0.25">
      <c r="BB35" s="25" t="s">
        <v>122</v>
      </c>
      <c r="BC35" s="19" cm="1">
        <f t="array" ref="BC35">SQRT(SUMSQ($AU20:$AU25-BA20:BA25)/COUNTA($AU20:$AU25-BA20:BA25))</f>
        <v>33.409129483498965</v>
      </c>
      <c r="BD35" s="19" cm="1">
        <f t="array" ref="BD35">SQRT(SUMSQ($BD20:$BD25-BJ20:BJ25)/COUNTA($BD20:$BD25-BJ20:BJ25))</f>
        <v>34.719736881470681</v>
      </c>
      <c r="BU35" s="25" t="s">
        <v>122</v>
      </c>
      <c r="BV35" s="19" cm="1">
        <f t="array" ref="BV35">SQRT(SUMSQ($BN20:$BN25-BT20:BT25)/COUNTA($BN20:$BN25-BT20:BT25))</f>
        <v>69.25329177441472</v>
      </c>
      <c r="BW35" s="19" cm="1">
        <f t="array" ref="BW35">SQRT(SUMSQ($BD20:$BD22-CC20:CC22)/COUNTA($BD20:$BD22-CC20:CC22))</f>
        <v>72.150302717278322</v>
      </c>
    </row>
    <row r="36" spans="2:81" x14ac:dyDescent="0.25">
      <c r="BB36" s="25" t="s">
        <v>123</v>
      </c>
      <c r="BC36" s="39" cm="1">
        <f t="array" ref="BC36">SQRT(SUMSQ($AU20:$AU25-BB20:BB25)/COUNTA($AU20:$AU25-BB20:BB25))</f>
        <v>33.434182566351268</v>
      </c>
      <c r="BD36" s="19" cm="1">
        <f t="array" ref="BD36">SQRT(SUMSQ($BD20:$BD25-BK20:BK25)/COUNTA($BD20:$BD25-BK20:BK25))</f>
        <v>63.608288163209423</v>
      </c>
      <c r="BU36" s="25" t="s">
        <v>123</v>
      </c>
      <c r="BV36" s="39" cm="1">
        <f t="array" ref="BV36">SQRT(SUMSQ($BN20:$BN25-BU20:BU25)/COUNTA($BN20:$BN25-BU20:BU25))</f>
        <v>30.82120082647922</v>
      </c>
      <c r="BW36" s="19" cm="1">
        <f t="array" ref="BW36">SQRT(SUMSQ($BD20:$BD22-CD20:CD22)/COUNTA($BD20:$BD22-CD20:CD22))</f>
        <v>26.515568819424395</v>
      </c>
    </row>
    <row r="37" spans="2:81" x14ac:dyDescent="0.25">
      <c r="B37">
        <v>0</v>
      </c>
      <c r="C37">
        <v>0</v>
      </c>
    </row>
    <row r="38" spans="2:81" x14ac:dyDescent="0.25">
      <c r="B38">
        <v>150</v>
      </c>
      <c r="C38">
        <v>150</v>
      </c>
    </row>
    <row r="43" spans="2:81" x14ac:dyDescent="0.25">
      <c r="B43" s="1" t="s">
        <v>82</v>
      </c>
      <c r="C43" s="1" t="s">
        <v>83</v>
      </c>
      <c r="H43" s="25" t="s">
        <v>82</v>
      </c>
      <c r="I43" s="1" t="s">
        <v>95</v>
      </c>
      <c r="M43" s="25" t="s">
        <v>82</v>
      </c>
      <c r="N43" s="1" t="s">
        <v>118</v>
      </c>
      <c r="Q43" s="25" t="s">
        <v>82</v>
      </c>
      <c r="R43" s="1" t="s">
        <v>119</v>
      </c>
      <c r="W43" s="25" t="s">
        <v>82</v>
      </c>
      <c r="X43" s="1" t="s">
        <v>120</v>
      </c>
      <c r="AB43" s="25" t="s">
        <v>82</v>
      </c>
      <c r="AC43" s="1" t="s">
        <v>121</v>
      </c>
      <c r="AI43" s="25" t="s">
        <v>82</v>
      </c>
      <c r="AJ43" s="1" t="s">
        <v>122</v>
      </c>
      <c r="AO43" s="25" t="s">
        <v>82</v>
      </c>
      <c r="AP43" s="1" t="s">
        <v>123</v>
      </c>
    </row>
    <row r="44" spans="2:81" x14ac:dyDescent="0.25">
      <c r="B44" s="18">
        <v>1</v>
      </c>
      <c r="C44" s="19" cm="1">
        <f t="array" ref="C44">SQRT(SUMSQ(B20:B25-C20:C25)/COUNTA(B20:B25-C20:C25))</f>
        <v>41.812906146779035</v>
      </c>
      <c r="H44" s="26">
        <v>1</v>
      </c>
      <c r="I44" s="19" cm="1">
        <f t="array" ref="I44">SQRT(SUMSQ($B20:$B25-H20:H25)/COUNTA($B20:$B25-H20:H25))</f>
        <v>89.037589430537523</v>
      </c>
      <c r="M44" s="26">
        <v>1</v>
      </c>
      <c r="N44" s="19" cm="1">
        <f t="array" ref="N44">SQRT(SUMSQ($B20:$B25-M20:M25)/COUNTA($B20:$B25-M20:M25))</f>
        <v>110.05450225109749</v>
      </c>
      <c r="Q44" s="26">
        <v>1</v>
      </c>
      <c r="R44" s="19" cm="1">
        <f t="array" ref="R44">SQRT(SUMSQ($B20:$B25-R20:R25)/COUNTA($B20:$B25-R20:R25))</f>
        <v>937.56012276802267</v>
      </c>
      <c r="W44" s="26">
        <v>1</v>
      </c>
      <c r="X44" s="19" cm="1">
        <f t="array" ref="X44">SQRT(SUMSQ($B20:$B25-W20:W25)/COUNTA($B20:$B25-W20:W25))</f>
        <v>293.2120042217357</v>
      </c>
      <c r="AB44" s="26">
        <v>1</v>
      </c>
      <c r="AC44" s="19" cm="1">
        <f t="array" ref="AC44">SQRT(SUMSQ($B20:$B25-AC20:AC25)/COUNTA($B20:$B25-AC20:AC25))</f>
        <v>117.899947808294</v>
      </c>
      <c r="AI44" s="26">
        <v>1</v>
      </c>
      <c r="AJ44" s="19" cm="1">
        <f t="array" ref="AJ44">SQRT(SUMSQ($B20:$B25-AI20:AI25)/COUNTA($B20:$B25-AI20:AI25))</f>
        <v>72.282358226317783</v>
      </c>
      <c r="AO44" s="26">
        <v>1</v>
      </c>
      <c r="AP44" s="19" cm="1">
        <f t="array" ref="AP44">SQRT(SUMSQ($B20:$B22-AO20:AO22)/COUNTA($B20:$B22-AO20:AO22))</f>
        <v>45.832808645123308</v>
      </c>
      <c r="BQ44" s="1"/>
      <c r="BR44" s="1"/>
      <c r="BS44" s="1"/>
      <c r="BT44" s="1"/>
      <c r="BU44" s="1"/>
      <c r="BV44" s="1"/>
      <c r="BW44" s="1"/>
      <c r="CC44" s="1"/>
    </row>
    <row r="45" spans="2:81" x14ac:dyDescent="0.25">
      <c r="B45" s="20">
        <v>2</v>
      </c>
      <c r="C45" s="54" cm="1">
        <f t="array" ref="C45">SQRT(SUMSQ(B20:B25-D20:D25)/COUNTA(B20:B25-D20:D25))</f>
        <v>33.731048103317463</v>
      </c>
      <c r="D45" t="s">
        <v>84</v>
      </c>
      <c r="H45" s="27">
        <v>2</v>
      </c>
      <c r="I45" s="54" cm="1">
        <f t="array" ref="I45">SQRT(SUMSQ($B20:$B25-I20:I25)/COUNTA($B20:$B25-I20:I25))</f>
        <v>57.475233471022854</v>
      </c>
      <c r="J45" t="s">
        <v>84</v>
      </c>
      <c r="M45" s="27">
        <v>2</v>
      </c>
      <c r="N45" s="21" cm="1">
        <f t="array" ref="N45">SQRT(SUMSQ($B20:$B25-N20:N25)/COUNTA($B20:$B25-N20:N25))</f>
        <v>9787.9571871903208</v>
      </c>
      <c r="O45" t="s">
        <v>84</v>
      </c>
      <c r="Q45" s="27">
        <v>2</v>
      </c>
      <c r="R45" s="54" cm="1">
        <f t="array" ref="R45">SQRT(SUMSQ($B20:$B25-S20:S25)/COUNTA($B20:$B25-S20:S25))</f>
        <v>34.582004466136006</v>
      </c>
      <c r="S45" t="s">
        <v>84</v>
      </c>
      <c r="W45" s="27">
        <v>2</v>
      </c>
      <c r="X45" s="21" cm="1">
        <f t="array" ref="X45">SQRT(SUMSQ($B20:$B25-X20:X25)/COUNTA($B20:$B25-X20:X25))</f>
        <v>162.89930253919613</v>
      </c>
      <c r="Y45" t="s">
        <v>84</v>
      </c>
      <c r="AB45" s="27">
        <v>2</v>
      </c>
      <c r="AC45" s="21" cm="1">
        <f t="array" ref="AC45">SQRT(SUMSQ($B20:$B25-AD20:AD25)/COUNTA($B20:$B25-AD20:AD25))</f>
        <v>66.684842681315132</v>
      </c>
      <c r="AD45" t="s">
        <v>84</v>
      </c>
      <c r="AI45" s="27">
        <v>2</v>
      </c>
      <c r="AJ45" s="21" cm="1">
        <f t="array" ref="AJ45">SQRT(SUMSQ($B20:$B25-AJ20:AJ25)/COUNTA($B20:$B25-AJ20:AJ25))</f>
        <v>50.165636206290806</v>
      </c>
      <c r="AK45" t="s">
        <v>84</v>
      </c>
      <c r="AO45" s="27">
        <v>2</v>
      </c>
      <c r="AP45" s="21" cm="1">
        <f t="array" ref="AP45">SQRT(SUMSQ($B20:$B25-AP20:AP25)/COUNTA($B20:$B25-AP20:AP25))</f>
        <v>54.460891664669248</v>
      </c>
      <c r="AQ45" t="s">
        <v>84</v>
      </c>
      <c r="BQ45" s="1"/>
      <c r="BR45" s="52"/>
      <c r="BS45" s="52"/>
      <c r="BT45" s="52"/>
      <c r="BU45" s="52"/>
      <c r="BV45" s="52"/>
      <c r="BW45" s="52"/>
      <c r="CC45" s="16"/>
    </row>
    <row r="46" spans="2:81" x14ac:dyDescent="0.25">
      <c r="B46" s="22">
        <v>3</v>
      </c>
      <c r="C46" s="17" cm="1">
        <f t="array" ref="C46">SQRT(SUMSQ(B20:B25-E20:E25)/COUNTA(B20:B25-E20:E25))</f>
        <v>34.160952903899592</v>
      </c>
      <c r="D46" t="s">
        <v>85</v>
      </c>
      <c r="H46" s="28">
        <v>3</v>
      </c>
      <c r="I46" s="17" cm="1">
        <f t="array" ref="I46">SQRT(SUMSQ($B20:$B25-J20:J25)/COUNTA($B20:$B25-J20:J25))</f>
        <v>55.300435902776094</v>
      </c>
      <c r="J46" t="s">
        <v>85</v>
      </c>
      <c r="M46" s="28">
        <v>3</v>
      </c>
      <c r="N46" s="34" cm="1">
        <f t="array" ref="N46">SQRT(SUMSQ($B20:$B25-O20:O25)/COUNTA($B20:$B25-O20:O25))</f>
        <v>6173802043186715</v>
      </c>
      <c r="O46" t="s">
        <v>85</v>
      </c>
      <c r="Q46" s="28">
        <v>3</v>
      </c>
      <c r="R46" s="17" cm="1">
        <f t="array" ref="R46">SQRT(SUMSQ($B20:$B25-T20:T25)/COUNTA($B20:$B25-T20:T25))</f>
        <v>45.681813359382701</v>
      </c>
      <c r="S46" t="s">
        <v>85</v>
      </c>
      <c r="W46" s="28">
        <v>3</v>
      </c>
      <c r="X46" s="56" cm="1">
        <f t="array" ref="X46">SQRT(SUMSQ($B20:$B25-Y20:Y25)/COUNTA($B20:$B25-Y20:Y25))</f>
        <v>85.749827704391251</v>
      </c>
      <c r="Y46" t="s">
        <v>85</v>
      </c>
      <c r="AB46" s="28">
        <v>3</v>
      </c>
      <c r="AC46" s="17" cm="1">
        <f t="array" ref="AC46">SQRT(SUMSQ($B20:$B25-AE20:AE25)/COUNTA($B20:$B25-AE20:AE25))</f>
        <v>47.883326383199218</v>
      </c>
      <c r="AD46" t="s">
        <v>85</v>
      </c>
      <c r="AI46" s="28">
        <v>3</v>
      </c>
      <c r="AJ46" s="17" cm="1">
        <f t="array" ref="AJ46">SQRT(SUMSQ($B20:$B25-AK20:AK25)/COUNTA($B20:$B25-AK20:AK25))</f>
        <v>55.5149915661924</v>
      </c>
      <c r="AK46" t="s">
        <v>85</v>
      </c>
      <c r="AO46" s="28">
        <v>3</v>
      </c>
      <c r="AP46" s="17" cm="1">
        <f t="array" ref="AP46">SQRT(SUMSQ($B20:$B25-AQ20:AQ25)/COUNTA($B20:$B25-AQ20:AQ25))</f>
        <v>58.938318205586377</v>
      </c>
      <c r="AQ46" t="s">
        <v>85</v>
      </c>
      <c r="BQ46" s="1"/>
      <c r="BR46" s="52"/>
      <c r="BS46" s="52"/>
      <c r="BT46" s="52"/>
      <c r="BU46" s="52"/>
      <c r="BV46" s="52"/>
      <c r="BW46" s="52"/>
      <c r="CC46" s="16"/>
    </row>
    <row r="47" spans="2:81" x14ac:dyDescent="0.25">
      <c r="D47" s="1"/>
      <c r="E47" s="16"/>
      <c r="H47" s="25"/>
      <c r="I47" s="16"/>
      <c r="M47" s="25"/>
      <c r="N47" s="16"/>
      <c r="V47" s="16"/>
      <c r="W47" s="25"/>
      <c r="X47" s="16"/>
      <c r="AG47" s="25"/>
      <c r="AH47" s="16"/>
      <c r="AI47" s="25"/>
      <c r="AJ47" s="16"/>
      <c r="AO47" s="25"/>
      <c r="AP47" s="16"/>
      <c r="BQ47" s="1"/>
      <c r="BR47" s="52"/>
      <c r="BS47" s="52"/>
      <c r="BT47" s="52"/>
      <c r="BU47" s="52"/>
      <c r="BV47" s="52"/>
      <c r="BW47" s="52"/>
      <c r="CC47" s="16"/>
    </row>
    <row r="48" spans="2:81" x14ac:dyDescent="0.25">
      <c r="BQ48" s="1"/>
      <c r="BR48" s="52"/>
      <c r="BS48" s="52"/>
      <c r="BT48" s="52"/>
      <c r="BU48" s="52"/>
      <c r="BV48" s="52"/>
      <c r="BW48" s="52"/>
      <c r="CC48" s="16"/>
    </row>
    <row r="49" spans="50:81" x14ac:dyDescent="0.25">
      <c r="BQ49" s="1"/>
      <c r="BR49" s="52"/>
      <c r="BS49" s="52"/>
      <c r="BT49" s="52"/>
      <c r="BU49" s="52"/>
      <c r="BV49" s="52"/>
      <c r="BW49" s="52"/>
      <c r="CC49" s="16"/>
    </row>
    <row r="50" spans="50:81" x14ac:dyDescent="0.25">
      <c r="CC50" s="16"/>
    </row>
    <row r="60" spans="50:81" x14ac:dyDescent="0.25">
      <c r="AY60" s="60"/>
      <c r="AZ60" s="16"/>
      <c r="BA60" s="16"/>
      <c r="BB60" s="16"/>
      <c r="BC60" s="16"/>
      <c r="BD60" s="16"/>
    </row>
    <row r="61" spans="50:81" x14ac:dyDescent="0.25">
      <c r="AY61" s="60"/>
      <c r="AZ61" s="16"/>
      <c r="BA61" s="16"/>
      <c r="BB61" s="16"/>
      <c r="BC61" s="16"/>
      <c r="BD61" s="16"/>
    </row>
    <row r="62" spans="50:81" x14ac:dyDescent="0.25">
      <c r="AX62" s="60"/>
      <c r="AY62" s="60"/>
      <c r="AZ62" s="16"/>
      <c r="BA62" s="16"/>
      <c r="BB62" s="16"/>
      <c r="BC62" s="16"/>
      <c r="BD62" s="16"/>
    </row>
    <row r="63" spans="50:81" x14ac:dyDescent="0.25">
      <c r="AX63" s="60"/>
      <c r="AY63" s="16"/>
      <c r="AZ63" s="16"/>
      <c r="BA63" s="16"/>
      <c r="BB63" s="16"/>
      <c r="BC63" s="16"/>
    </row>
    <row r="64" spans="50:81" x14ac:dyDescent="0.25">
      <c r="AX64" s="60"/>
      <c r="AY64" s="16"/>
      <c r="AZ64" s="16"/>
      <c r="BA64" s="16"/>
      <c r="BB64" s="16"/>
      <c r="BC64" s="16"/>
    </row>
    <row r="71" spans="1:43" s="30" customFormat="1" x14ac:dyDescent="0.25"/>
    <row r="73" spans="1:43" x14ac:dyDescent="0.25">
      <c r="B73" s="68" t="s">
        <v>144</v>
      </c>
      <c r="C73" s="68"/>
      <c r="D73" s="68"/>
      <c r="E73" s="68"/>
      <c r="F73" s="68"/>
      <c r="G73" s="68"/>
      <c r="L73" s="68" t="s">
        <v>144</v>
      </c>
      <c r="M73" s="68"/>
      <c r="N73" s="68"/>
      <c r="O73" s="68"/>
      <c r="Q73" s="68" t="s">
        <v>144</v>
      </c>
      <c r="R73" s="68"/>
      <c r="S73" s="68"/>
      <c r="T73" s="68"/>
      <c r="V73" s="68" t="s">
        <v>144</v>
      </c>
      <c r="W73" s="68"/>
      <c r="X73" s="68"/>
      <c r="Y73" s="68"/>
      <c r="AB73" s="68" t="s">
        <v>144</v>
      </c>
      <c r="AC73" s="68"/>
      <c r="AD73" s="68"/>
      <c r="AE73" s="68"/>
      <c r="AH73" s="68" t="s">
        <v>144</v>
      </c>
      <c r="AI73" s="68"/>
      <c r="AJ73" s="68"/>
      <c r="AK73" s="68"/>
      <c r="AN73" s="68" t="s">
        <v>144</v>
      </c>
      <c r="AO73" s="68"/>
      <c r="AP73" s="68"/>
      <c r="AQ73" s="68"/>
    </row>
    <row r="74" spans="1:43" ht="45" x14ac:dyDescent="0.25">
      <c r="A74" s="1" t="s">
        <v>148</v>
      </c>
      <c r="B74" s="1" t="s">
        <v>60</v>
      </c>
      <c r="C74" s="1" t="s">
        <v>59</v>
      </c>
      <c r="D74" s="1" t="s">
        <v>58</v>
      </c>
      <c r="E74" s="1" t="s">
        <v>57</v>
      </c>
      <c r="F74" s="1" t="s">
        <v>56</v>
      </c>
      <c r="G74" s="1" t="s">
        <v>55</v>
      </c>
      <c r="K74" s="15" t="s">
        <v>77</v>
      </c>
      <c r="L74" s="35" t="s">
        <v>111</v>
      </c>
      <c r="M74" s="23" t="s">
        <v>145</v>
      </c>
      <c r="N74" s="23" t="s">
        <v>146</v>
      </c>
      <c r="O74" s="23" t="s">
        <v>147</v>
      </c>
      <c r="Q74" s="35" t="s">
        <v>112</v>
      </c>
      <c r="R74" s="23" t="s">
        <v>145</v>
      </c>
      <c r="S74" s="23" t="s">
        <v>146</v>
      </c>
      <c r="T74" s="23" t="s">
        <v>147</v>
      </c>
      <c r="V74" s="35" t="s">
        <v>114</v>
      </c>
      <c r="W74" s="23" t="s">
        <v>145</v>
      </c>
      <c r="X74" s="23" t="s">
        <v>146</v>
      </c>
      <c r="Y74" s="23" t="s">
        <v>147</v>
      </c>
      <c r="AB74" s="35" t="s">
        <v>115</v>
      </c>
      <c r="AC74" s="23" t="s">
        <v>145</v>
      </c>
      <c r="AD74" s="23" t="s">
        <v>146</v>
      </c>
      <c r="AE74" s="23" t="s">
        <v>147</v>
      </c>
      <c r="AH74" s="35" t="s">
        <v>116</v>
      </c>
      <c r="AI74" s="23" t="s">
        <v>145</v>
      </c>
      <c r="AJ74" s="23" t="s">
        <v>146</v>
      </c>
      <c r="AK74" s="23" t="s">
        <v>147</v>
      </c>
      <c r="AN74" s="35" t="s">
        <v>117</v>
      </c>
      <c r="AO74" s="23" t="s">
        <v>145</v>
      </c>
      <c r="AP74" s="23" t="s">
        <v>146</v>
      </c>
      <c r="AQ74" s="23" t="s">
        <v>147</v>
      </c>
    </row>
    <row r="75" spans="1:43" x14ac:dyDescent="0.25">
      <c r="A75" s="1" t="s">
        <v>69</v>
      </c>
      <c r="B75" s="16">
        <f t="shared" ref="B75:G77" si="11">F4/$C4</f>
        <v>1.3489379337744893</v>
      </c>
      <c r="C75" s="16">
        <f t="shared" si="11"/>
        <v>6.1665734115405222</v>
      </c>
      <c r="D75" s="16">
        <f t="shared" si="11"/>
        <v>28.520402028374914</v>
      </c>
      <c r="E75" s="16">
        <f t="shared" si="11"/>
        <v>91.535074077554626</v>
      </c>
      <c r="F75" s="16">
        <f t="shared" si="11"/>
        <v>362.86430418533763</v>
      </c>
      <c r="G75" s="16">
        <f t="shared" si="11"/>
        <v>1130.4099885030221</v>
      </c>
      <c r="K75" s="1">
        <v>90</v>
      </c>
      <c r="L75" s="31" t="s">
        <v>69</v>
      </c>
      <c r="M75" s="16">
        <f>(G75-21263)/-199.81</f>
        <v>100.75867079473988</v>
      </c>
      <c r="N75" s="16">
        <f t="shared" ref="N75:N80" si="12">-0.0025*G75+83.506</f>
        <v>80.679975028742447</v>
      </c>
      <c r="O75" s="58">
        <f t="shared" ref="O75:O80" si="13">3958.4*G75^(-0.501)</f>
        <v>116.90913542084283</v>
      </c>
      <c r="Q75" s="31" t="s">
        <v>69</v>
      </c>
      <c r="R75" s="16">
        <f>(F75-6090.7)/-53.02</f>
        <v>108.03160497575749</v>
      </c>
      <c r="S75" s="16">
        <f>-0.0109*F75+92.242</f>
        <v>88.28677908437983</v>
      </c>
      <c r="T75" s="59">
        <f>3564.9*F75^(-0.554)</f>
        <v>136.12849358890662</v>
      </c>
      <c r="V75" s="31" t="s">
        <v>69</v>
      </c>
      <c r="W75" s="16">
        <f>(E75-738.71)/-3.89</f>
        <v>166.36887555846923</v>
      </c>
      <c r="X75" s="16">
        <f>-0.0593*E75+90.943</f>
        <v>85.514970107201009</v>
      </c>
      <c r="Y75" s="58">
        <f>1085.1*E75^-0.498</f>
        <v>114.44561832326148</v>
      </c>
      <c r="AB75" s="31" t="s">
        <v>69</v>
      </c>
      <c r="AC75" s="16">
        <f>(D75-137.56)/-0.0607</f>
        <v>1796.3689945901992</v>
      </c>
      <c r="AD75" s="16">
        <f>-0.0102*D75+62.652</f>
        <v>62.36109189931058</v>
      </c>
      <c r="AE75" s="16">
        <f>26.015*D75^0.15</f>
        <v>43.002843805323621</v>
      </c>
      <c r="AH75" s="31" t="s">
        <v>69</v>
      </c>
      <c r="AI75" s="16">
        <f>(C75-19.925)/0.1371</f>
        <v>-100.35322092238862</v>
      </c>
      <c r="AJ75" s="16">
        <f>0.2553*C75+54.051</f>
        <v>55.625326191966295</v>
      </c>
      <c r="AK75" s="16"/>
      <c r="AN75" s="31" t="s">
        <v>69</v>
      </c>
      <c r="AO75" s="16">
        <f>(B75+0.8855)/0.0756</f>
        <v>29.556057325059385</v>
      </c>
      <c r="AP75" s="16">
        <f>3.3537*B75+48.722</f>
        <v>53.245933148499503</v>
      </c>
      <c r="AQ75" s="16"/>
    </row>
    <row r="76" spans="1:43" x14ac:dyDescent="0.25">
      <c r="A76" s="1" t="s">
        <v>70</v>
      </c>
      <c r="B76" s="16">
        <f t="shared" si="11"/>
        <v>0</v>
      </c>
      <c r="C76" s="16">
        <f t="shared" si="11"/>
        <v>1.729745721655257</v>
      </c>
      <c r="D76" s="16">
        <f t="shared" si="11"/>
        <v>9.8018924227131237</v>
      </c>
      <c r="E76" s="16">
        <f t="shared" si="11"/>
        <v>127.42460149527062</v>
      </c>
      <c r="F76" s="16">
        <f t="shared" si="11"/>
        <v>1709.5653549026126</v>
      </c>
      <c r="G76" s="16">
        <f t="shared" si="11"/>
        <v>8589.3406718327878</v>
      </c>
      <c r="K76" s="1">
        <v>45</v>
      </c>
      <c r="L76" s="31" t="s">
        <v>70</v>
      </c>
      <c r="M76" s="16">
        <f t="shared" ref="M76:M80" si="14">(G76-21263)/-199.81</f>
        <v>63.428553766914632</v>
      </c>
      <c r="N76" s="16">
        <f t="shared" si="12"/>
        <v>62.032648320418033</v>
      </c>
      <c r="O76" s="58">
        <f t="shared" si="13"/>
        <v>42.325861261741807</v>
      </c>
      <c r="Q76" s="31" t="s">
        <v>70</v>
      </c>
      <c r="R76" s="16">
        <f t="shared" ref="R76:R80" si="15">(F76-6090.7)/-53.02</f>
        <v>82.631736044839428</v>
      </c>
      <c r="S76" s="16">
        <f t="shared" ref="S76:S80" si="16">-0.0109*F76+92.242</f>
        <v>73.60773763156152</v>
      </c>
      <c r="T76" s="59">
        <f t="shared" ref="T76:T80" si="17">3564.9*F76^(-0.554)</f>
        <v>57.680453938178793</v>
      </c>
      <c r="V76" s="31" t="s">
        <v>70</v>
      </c>
      <c r="W76" s="16">
        <f t="shared" ref="W76:W80" si="18">(E76-738.71)/-3.89</f>
        <v>157.14277596522606</v>
      </c>
      <c r="X76" s="16">
        <f t="shared" ref="X76:X80" si="19">-0.0593*E76+90.943</f>
        <v>83.386721131330447</v>
      </c>
      <c r="Y76" s="58">
        <f t="shared" ref="Y76:Y80" si="20">1085.1*E76^-0.498</f>
        <v>97.062981620254732</v>
      </c>
      <c r="AB76" s="31" t="s">
        <v>70</v>
      </c>
      <c r="AC76" s="16">
        <f t="shared" ref="AC76:AC80" si="21">(D76-137.56)/-0.0607</f>
        <v>2104.746418077214</v>
      </c>
      <c r="AD76" s="16">
        <f t="shared" ref="AD76:AD80" si="22">-0.0102*D76+62.652</f>
        <v>62.552020697288327</v>
      </c>
      <c r="AE76" s="16">
        <f t="shared" ref="AE76:AE80" si="23">26.015*D76^0.15</f>
        <v>36.637035051611903</v>
      </c>
      <c r="AH76" s="31" t="s">
        <v>70</v>
      </c>
      <c r="AI76" s="16">
        <f t="shared" ref="AI76:AI80" si="24">(C76-19.925)/0.1371</f>
        <v>-132.71520261374724</v>
      </c>
      <c r="AJ76" s="16">
        <f t="shared" ref="AJ76:AJ80" si="25">0.2553*C76+54.051</f>
        <v>54.492604082738588</v>
      </c>
      <c r="AK76" s="16"/>
      <c r="AN76" s="31" t="s">
        <v>70</v>
      </c>
      <c r="AO76" s="16">
        <f t="shared" ref="AO76:AO80" si="26">(B76+0.8855)/0.0756</f>
        <v>11.712962962962962</v>
      </c>
      <c r="AP76" s="16">
        <f t="shared" ref="AP76:AP80" si="27">3.3537*B76+48.722</f>
        <v>48.722000000000001</v>
      </c>
      <c r="AQ76" s="16"/>
    </row>
    <row r="77" spans="1:43" x14ac:dyDescent="0.25">
      <c r="A77" s="1" t="s">
        <v>71</v>
      </c>
      <c r="B77" s="16">
        <f t="shared" si="11"/>
        <v>0.27896705782112408</v>
      </c>
      <c r="C77" s="16">
        <f t="shared" si="11"/>
        <v>0.48819235118696713</v>
      </c>
      <c r="D77" s="16">
        <f t="shared" si="11"/>
        <v>2.9988958715770839</v>
      </c>
      <c r="E77" s="16">
        <f t="shared" si="11"/>
        <v>22.66607344796633</v>
      </c>
      <c r="F77" s="16">
        <f t="shared" si="11"/>
        <v>330.36673822466616</v>
      </c>
      <c r="G77" s="16">
        <f t="shared" si="11"/>
        <v>1474.3409005846406</v>
      </c>
      <c r="K77" s="1">
        <v>90</v>
      </c>
      <c r="L77" s="31" t="s">
        <v>71</v>
      </c>
      <c r="M77" s="16">
        <f t="shared" si="14"/>
        <v>99.037381009035386</v>
      </c>
      <c r="N77" s="16">
        <f t="shared" si="12"/>
        <v>79.820147748538403</v>
      </c>
      <c r="O77" s="58">
        <f t="shared" si="13"/>
        <v>102.3415813265044</v>
      </c>
      <c r="Q77" s="31" t="s">
        <v>71</v>
      </c>
      <c r="R77" s="16">
        <f t="shared" si="15"/>
        <v>108.64453530319376</v>
      </c>
      <c r="S77" s="16">
        <f t="shared" si="16"/>
        <v>88.641002553351143</v>
      </c>
      <c r="T77" s="59">
        <f t="shared" si="17"/>
        <v>143.39149511170848</v>
      </c>
      <c r="V77" s="31" t="s">
        <v>71</v>
      </c>
      <c r="W77" s="16">
        <f t="shared" si="18"/>
        <v>184.07298883085699</v>
      </c>
      <c r="X77" s="16">
        <f t="shared" si="19"/>
        <v>89.59890184453559</v>
      </c>
      <c r="Y77" s="58">
        <f t="shared" si="20"/>
        <v>229.34663378511158</v>
      </c>
      <c r="AB77" s="31" t="s">
        <v>71</v>
      </c>
      <c r="AC77" s="16">
        <f t="shared" si="21"/>
        <v>2216.8221437960942</v>
      </c>
      <c r="AD77" s="16">
        <f t="shared" si="22"/>
        <v>62.621411262109916</v>
      </c>
      <c r="AE77" s="16">
        <f t="shared" si="23"/>
        <v>30.673832251441233</v>
      </c>
      <c r="AH77" s="31" t="s">
        <v>71</v>
      </c>
      <c r="AI77" s="16">
        <f t="shared" si="24"/>
        <v>-141.77102588485073</v>
      </c>
      <c r="AJ77" s="16">
        <f t="shared" si="25"/>
        <v>54.175635507258036</v>
      </c>
      <c r="AK77" s="16"/>
      <c r="AN77" s="31" t="s">
        <v>71</v>
      </c>
      <c r="AO77" s="16">
        <f t="shared" si="26"/>
        <v>15.403003410332328</v>
      </c>
      <c r="AP77" s="16">
        <f t="shared" si="27"/>
        <v>49.657571821814706</v>
      </c>
      <c r="AQ77" s="16"/>
    </row>
    <row r="78" spans="1:43" x14ac:dyDescent="0.25">
      <c r="A78" s="1" t="s">
        <v>132</v>
      </c>
      <c r="B78" s="12">
        <f t="shared" ref="B78:G80" si="28">F10/$C10</f>
        <v>0</v>
      </c>
      <c r="C78" s="12">
        <f t="shared" si="28"/>
        <v>6.7649029381762276</v>
      </c>
      <c r="D78" s="12">
        <f t="shared" si="28"/>
        <v>122.38324406336996</v>
      </c>
      <c r="E78" s="12">
        <f t="shared" si="28"/>
        <v>1615.5818198717227</v>
      </c>
      <c r="F78" s="12">
        <f t="shared" si="28"/>
        <v>7288.8754202967866</v>
      </c>
      <c r="G78" s="12">
        <f t="shared" si="28"/>
        <v>9298.0515929351259</v>
      </c>
      <c r="K78" s="1">
        <v>128</v>
      </c>
      <c r="L78" s="31" t="s">
        <v>132</v>
      </c>
      <c r="M78" s="16">
        <f t="shared" si="14"/>
        <v>59.881629583428627</v>
      </c>
      <c r="N78" s="16">
        <f t="shared" si="12"/>
        <v>60.260871017662183</v>
      </c>
      <c r="O78" s="58">
        <f t="shared" si="13"/>
        <v>40.677598947644611</v>
      </c>
      <c r="Q78" s="31" t="s">
        <v>132</v>
      </c>
      <c r="R78" s="16">
        <f t="shared" si="15"/>
        <v>-22.598555644979001</v>
      </c>
      <c r="S78" s="16">
        <f t="shared" si="16"/>
        <v>12.793257918765036</v>
      </c>
      <c r="T78" s="59">
        <f t="shared" si="17"/>
        <v>25.830536088725225</v>
      </c>
      <c r="V78" s="31" t="s">
        <v>132</v>
      </c>
      <c r="W78" s="44">
        <f t="shared" si="18"/>
        <v>-225.4169202755071</v>
      </c>
      <c r="X78" s="44">
        <f t="shared" si="19"/>
        <v>-4.861001918393157</v>
      </c>
      <c r="Y78" s="58">
        <f t="shared" si="20"/>
        <v>27.398194391633513</v>
      </c>
      <c r="AB78" s="31" t="s">
        <v>132</v>
      </c>
      <c r="AC78" s="16">
        <f t="shared" si="21"/>
        <v>250.02892811581623</v>
      </c>
      <c r="AD78" s="16">
        <f t="shared" si="22"/>
        <v>61.403690910553628</v>
      </c>
      <c r="AE78" s="16">
        <f t="shared" si="23"/>
        <v>53.503491561932265</v>
      </c>
      <c r="AH78" s="31" t="s">
        <v>132</v>
      </c>
      <c r="AI78" s="16">
        <f t="shared" si="24"/>
        <v>-95.989037650063992</v>
      </c>
      <c r="AJ78" s="16">
        <f t="shared" si="25"/>
        <v>55.778079720116395</v>
      </c>
      <c r="AK78" s="16"/>
      <c r="AN78" s="31" t="s">
        <v>132</v>
      </c>
      <c r="AO78" s="16">
        <f t="shared" si="26"/>
        <v>11.712962962962962</v>
      </c>
      <c r="AP78" s="16">
        <f t="shared" si="27"/>
        <v>48.722000000000001</v>
      </c>
      <c r="AQ78" s="16"/>
    </row>
    <row r="79" spans="1:43" x14ac:dyDescent="0.25">
      <c r="A79" s="1" t="s">
        <v>133</v>
      </c>
      <c r="B79" s="12">
        <f t="shared" si="28"/>
        <v>0</v>
      </c>
      <c r="C79" s="12">
        <f t="shared" si="28"/>
        <v>0.98343964975043341</v>
      </c>
      <c r="D79" s="12">
        <f t="shared" si="28"/>
        <v>57.531219510400348</v>
      </c>
      <c r="E79" s="12">
        <f t="shared" si="28"/>
        <v>2426.6373357591942</v>
      </c>
      <c r="F79" s="12">
        <f t="shared" si="28"/>
        <v>5059.3052781411043</v>
      </c>
      <c r="G79" s="12">
        <f t="shared" si="28"/>
        <v>5206.3295057787946</v>
      </c>
      <c r="K79" s="1">
        <v>64</v>
      </c>
      <c r="L79" s="31" t="s">
        <v>133</v>
      </c>
      <c r="M79" s="16">
        <f t="shared" si="14"/>
        <v>80.359694180577577</v>
      </c>
      <c r="N79" s="16">
        <f t="shared" si="12"/>
        <v>70.490176235553008</v>
      </c>
      <c r="O79" s="58">
        <f t="shared" si="13"/>
        <v>54.392287140951076</v>
      </c>
      <c r="Q79" s="31" t="s">
        <v>133</v>
      </c>
      <c r="R79" s="16">
        <f t="shared" si="15"/>
        <v>19.45293703996408</v>
      </c>
      <c r="S79" s="16">
        <f t="shared" si="16"/>
        <v>37.09557246826197</v>
      </c>
      <c r="T79" s="59">
        <f t="shared" si="17"/>
        <v>31.621393256387424</v>
      </c>
      <c r="V79" s="31" t="s">
        <v>133</v>
      </c>
      <c r="W79" s="44">
        <f t="shared" si="18"/>
        <v>-433.91448220030696</v>
      </c>
      <c r="X79" s="44">
        <f t="shared" si="19"/>
        <v>-52.95659401052022</v>
      </c>
      <c r="Y79" s="58">
        <f t="shared" si="20"/>
        <v>22.37367553379746</v>
      </c>
      <c r="AB79" s="31" t="s">
        <v>133</v>
      </c>
      <c r="AC79" s="16">
        <f t="shared" si="21"/>
        <v>1318.4313095485941</v>
      </c>
      <c r="AD79" s="16">
        <f t="shared" si="22"/>
        <v>62.065181560993921</v>
      </c>
      <c r="AE79" s="16">
        <f t="shared" si="23"/>
        <v>47.775953927503508</v>
      </c>
      <c r="AH79" s="31" t="s">
        <v>133</v>
      </c>
      <c r="AI79" s="16">
        <f t="shared" si="24"/>
        <v>-138.15871882020107</v>
      </c>
      <c r="AJ79" s="16">
        <f t="shared" si="25"/>
        <v>54.302072142581288</v>
      </c>
      <c r="AK79" s="16"/>
      <c r="AN79" s="31" t="s">
        <v>133</v>
      </c>
      <c r="AO79" s="16">
        <f t="shared" si="26"/>
        <v>11.712962962962962</v>
      </c>
      <c r="AP79" s="16">
        <f t="shared" si="27"/>
        <v>48.722000000000001</v>
      </c>
      <c r="AQ79" s="16"/>
    </row>
    <row r="80" spans="1:43" x14ac:dyDescent="0.25">
      <c r="A80" s="1" t="s">
        <v>134</v>
      </c>
      <c r="B80" s="12">
        <f t="shared" si="28"/>
        <v>0.27437570806951544</v>
      </c>
      <c r="C80" s="12">
        <f t="shared" si="28"/>
        <v>17.285669608379475</v>
      </c>
      <c r="D80" s="12">
        <f t="shared" si="28"/>
        <v>281.92104004142715</v>
      </c>
      <c r="E80" s="12">
        <f t="shared" si="28"/>
        <v>1327.9784270564548</v>
      </c>
      <c r="F80" s="12">
        <f t="shared" si="28"/>
        <v>1254.857300855929</v>
      </c>
      <c r="G80" s="12">
        <f t="shared" si="28"/>
        <v>1271.7314069022041</v>
      </c>
      <c r="K80" s="1">
        <v>128</v>
      </c>
      <c r="L80" s="31" t="s">
        <v>134</v>
      </c>
      <c r="M80" s="16">
        <f t="shared" si="14"/>
        <v>100.05139178768728</v>
      </c>
      <c r="N80" s="16">
        <f t="shared" si="12"/>
        <v>80.326671482744487</v>
      </c>
      <c r="O80" s="58">
        <f t="shared" si="13"/>
        <v>110.20913256007236</v>
      </c>
      <c r="Q80" s="31" t="s">
        <v>134</v>
      </c>
      <c r="R80" s="16">
        <f t="shared" si="15"/>
        <v>91.207897003848942</v>
      </c>
      <c r="S80" s="16">
        <f t="shared" si="16"/>
        <v>78.564055420670371</v>
      </c>
      <c r="T80" s="59">
        <f t="shared" si="17"/>
        <v>68.458296254959976</v>
      </c>
      <c r="V80" s="31" t="s">
        <v>134</v>
      </c>
      <c r="W80" s="44">
        <f t="shared" si="18"/>
        <v>-151.48288613276472</v>
      </c>
      <c r="X80" s="16">
        <f t="shared" si="19"/>
        <v>12.193879275552234</v>
      </c>
      <c r="Y80" s="58">
        <f t="shared" si="20"/>
        <v>30.207906996492675</v>
      </c>
      <c r="AB80" s="31" t="s">
        <v>134</v>
      </c>
      <c r="AC80" s="44">
        <f t="shared" si="21"/>
        <v>-2378.2708408801836</v>
      </c>
      <c r="AD80" s="16">
        <f t="shared" si="22"/>
        <v>59.776405391577441</v>
      </c>
      <c r="AE80" s="16">
        <f t="shared" si="23"/>
        <v>60.637732603021483</v>
      </c>
      <c r="AH80" s="31" t="s">
        <v>134</v>
      </c>
      <c r="AI80" s="16">
        <f t="shared" si="24"/>
        <v>-19.25113341809282</v>
      </c>
      <c r="AJ80" s="16">
        <f t="shared" si="25"/>
        <v>58.464031451019281</v>
      </c>
      <c r="AK80" s="16"/>
      <c r="AN80" s="31" t="s">
        <v>134</v>
      </c>
      <c r="AO80" s="16">
        <f t="shared" si="26"/>
        <v>15.342271270760786</v>
      </c>
      <c r="AP80" s="16">
        <f t="shared" si="27"/>
        <v>49.642173812152734</v>
      </c>
      <c r="AQ80" s="16"/>
    </row>
    <row r="83" spans="1:55" x14ac:dyDescent="0.25">
      <c r="B83" s="68" t="s">
        <v>151</v>
      </c>
      <c r="C83" s="68"/>
      <c r="D83" s="68"/>
      <c r="E83" s="68"/>
      <c r="F83" s="68"/>
      <c r="G83" s="68"/>
    </row>
    <row r="84" spans="1:55" x14ac:dyDescent="0.25">
      <c r="A84" s="1" t="s">
        <v>148</v>
      </c>
      <c r="B84" s="1" t="s">
        <v>60</v>
      </c>
      <c r="C84" s="1" t="s">
        <v>59</v>
      </c>
      <c r="D84" s="1" t="s">
        <v>58</v>
      </c>
      <c r="E84" s="1" t="s">
        <v>57</v>
      </c>
      <c r="F84" s="1" t="s">
        <v>56</v>
      </c>
      <c r="G84" s="1" t="s">
        <v>55</v>
      </c>
    </row>
    <row r="85" spans="1:55" x14ac:dyDescent="0.25">
      <c r="A85" s="1" t="s">
        <v>69</v>
      </c>
      <c r="B85" s="16">
        <f t="shared" ref="B85:G87" si="29">F4*$C4</f>
        <v>1.452996263730735E-2</v>
      </c>
      <c r="C85" s="16">
        <f t="shared" si="29"/>
        <v>6.6422686341976456E-2</v>
      </c>
      <c r="D85" s="16">
        <f t="shared" si="29"/>
        <v>0.30720492433164109</v>
      </c>
      <c r="E85" s="16">
        <f t="shared" si="29"/>
        <v>0.98596175038871292</v>
      </c>
      <c r="F85" s="16">
        <f>J4*$C4</f>
        <v>3.9085599494356771</v>
      </c>
      <c r="G85" s="16">
        <f>K4*$C4</f>
        <v>12.176108690063558</v>
      </c>
    </row>
    <row r="86" spans="1:55" x14ac:dyDescent="0.25">
      <c r="A86" s="1" t="s">
        <v>70</v>
      </c>
      <c r="B86" s="16">
        <f t="shared" si="29"/>
        <v>0</v>
      </c>
      <c r="C86" s="16">
        <f t="shared" si="29"/>
        <v>5.2030792554998281E-4</v>
      </c>
      <c r="D86" s="16">
        <f t="shared" si="29"/>
        <v>2.9484115781165691E-3</v>
      </c>
      <c r="E86" s="16">
        <f t="shared" si="29"/>
        <v>3.8329350515515399E-2</v>
      </c>
      <c r="F86" s="16">
        <f t="shared" si="29"/>
        <v>0.51423766641856639</v>
      </c>
      <c r="G86" s="16">
        <f t="shared" si="29"/>
        <v>2.5836757223060309</v>
      </c>
    </row>
    <row r="87" spans="1:55" x14ac:dyDescent="0.25">
      <c r="A87" s="1" t="s">
        <v>71</v>
      </c>
      <c r="B87" s="16">
        <f t="shared" si="29"/>
        <v>2.5490870917336435E-3</v>
      </c>
      <c r="C87" s="16">
        <f t="shared" si="29"/>
        <v>4.4609024105338761E-3</v>
      </c>
      <c r="D87" s="16">
        <f t="shared" si="29"/>
        <v>2.7402686236136665E-2</v>
      </c>
      <c r="E87" s="16">
        <f t="shared" si="29"/>
        <v>0.20711332620335851</v>
      </c>
      <c r="F87" s="16">
        <f t="shared" si="29"/>
        <v>3.018756388385567</v>
      </c>
      <c r="G87" s="16">
        <f t="shared" si="29"/>
        <v>13.471925279812304</v>
      </c>
    </row>
    <row r="88" spans="1:55" x14ac:dyDescent="0.25">
      <c r="A88" s="1" t="s">
        <v>132</v>
      </c>
      <c r="B88" s="16">
        <f t="shared" ref="B88:G88" si="30">F10*$C10</f>
        <v>0</v>
      </c>
      <c r="C88" s="16">
        <f t="shared" si="30"/>
        <v>4.9684543027859662E-3</v>
      </c>
      <c r="D88" s="16">
        <f t="shared" si="30"/>
        <v>8.9883855114037042E-2</v>
      </c>
      <c r="E88" s="16">
        <f t="shared" si="30"/>
        <v>1.1865572230380668</v>
      </c>
      <c r="F88" s="16">
        <f>J10*$C10</f>
        <v>5.3532836724199342</v>
      </c>
      <c r="G88" s="16">
        <f t="shared" si="30"/>
        <v>6.8289146003473666</v>
      </c>
    </row>
    <row r="89" spans="1:55" x14ac:dyDescent="0.25">
      <c r="A89" s="1" t="s">
        <v>133</v>
      </c>
      <c r="B89" s="16">
        <f t="shared" ref="B89:G90" si="31">F11*$C11</f>
        <v>0</v>
      </c>
      <c r="C89" s="16">
        <f t="shared" si="31"/>
        <v>1.12982134835938E-3</v>
      </c>
      <c r="D89" s="16">
        <f t="shared" si="31"/>
        <v>6.6094548879023732E-2</v>
      </c>
      <c r="E89" s="16">
        <f t="shared" si="31"/>
        <v>2.7878341770767703</v>
      </c>
      <c r="F89" s="16">
        <f t="shared" si="31"/>
        <v>5.81236592663483</v>
      </c>
      <c r="G89" s="16">
        <f t="shared" si="31"/>
        <v>5.9812742182145584</v>
      </c>
    </row>
    <row r="90" spans="1:55" x14ac:dyDescent="0.25">
      <c r="A90" s="1" t="s">
        <v>134</v>
      </c>
      <c r="B90" s="16">
        <f t="shared" si="31"/>
        <v>4.0495972436073004E-3</v>
      </c>
      <c r="C90" s="16">
        <f t="shared" si="31"/>
        <v>0.25512462634725991</v>
      </c>
      <c r="D90" s="16">
        <f t="shared" si="31"/>
        <v>4.1609611678065006</v>
      </c>
      <c r="E90" s="16">
        <f t="shared" si="31"/>
        <v>19.600050659059335</v>
      </c>
      <c r="F90" s="16">
        <f t="shared" si="31"/>
        <v>18.520832993637985</v>
      </c>
      <c r="G90" s="16">
        <f t="shared" si="31"/>
        <v>18.769883224119837</v>
      </c>
      <c r="AX90" s="68"/>
      <c r="AY90" s="68"/>
      <c r="AZ90" s="68"/>
      <c r="BA90" s="68"/>
      <c r="BB90" s="68"/>
      <c r="BC90" s="68"/>
    </row>
    <row r="91" spans="1:55" x14ac:dyDescent="0.25">
      <c r="AW91" s="1"/>
      <c r="AX91" s="1"/>
      <c r="AY91" s="1"/>
      <c r="AZ91" s="1"/>
      <c r="BA91" s="1"/>
      <c r="BB91" s="1"/>
      <c r="BC91" s="1"/>
    </row>
    <row r="92" spans="1:55" x14ac:dyDescent="0.25">
      <c r="B92" s="72" t="s">
        <v>156</v>
      </c>
      <c r="C92" s="72"/>
      <c r="D92" s="72"/>
      <c r="E92" s="72"/>
      <c r="F92" s="72"/>
      <c r="G92" s="72"/>
      <c r="AW92" s="1"/>
      <c r="AX92" s="52"/>
      <c r="AY92" s="52"/>
      <c r="AZ92" s="52"/>
      <c r="BA92" s="52"/>
      <c r="BB92" s="52"/>
      <c r="BC92" s="52"/>
    </row>
    <row r="93" spans="1:55" x14ac:dyDescent="0.25">
      <c r="A93" s="1" t="s">
        <v>148</v>
      </c>
      <c r="B93" s="1" t="s">
        <v>60</v>
      </c>
      <c r="C93" s="1" t="s">
        <v>59</v>
      </c>
      <c r="D93" s="1" t="s">
        <v>58</v>
      </c>
      <c r="E93" s="1" t="s">
        <v>57</v>
      </c>
      <c r="F93" s="1" t="s">
        <v>56</v>
      </c>
      <c r="G93" s="1" t="s">
        <v>55</v>
      </c>
      <c r="AW93" s="1"/>
      <c r="AX93" s="52"/>
      <c r="AY93" s="52"/>
      <c r="AZ93" s="52"/>
      <c r="BA93" s="52"/>
      <c r="BB93" s="52"/>
      <c r="BC93" s="52"/>
    </row>
    <row r="94" spans="1:55" x14ac:dyDescent="0.25">
      <c r="A94" s="1" t="s">
        <v>69</v>
      </c>
      <c r="B94" s="16"/>
      <c r="C94" s="16"/>
      <c r="D94" s="16"/>
      <c r="E94" s="16"/>
      <c r="F94" s="16">
        <v>3.9085599494356771</v>
      </c>
      <c r="G94" s="16"/>
      <c r="AW94" s="1"/>
      <c r="AX94" s="52"/>
      <c r="AY94" s="52"/>
      <c r="AZ94" s="52"/>
      <c r="BA94" s="52"/>
      <c r="BB94" s="52"/>
      <c r="BC94" s="52"/>
    </row>
    <row r="95" spans="1:55" x14ac:dyDescent="0.25">
      <c r="A95" s="1" t="s">
        <v>70</v>
      </c>
      <c r="B95" s="16"/>
      <c r="C95" s="16"/>
      <c r="D95" s="16"/>
      <c r="E95" s="16"/>
      <c r="F95" s="16">
        <v>0.51423766641856639</v>
      </c>
      <c r="G95" s="16"/>
      <c r="M95" s="25" t="s">
        <v>82</v>
      </c>
      <c r="N95" s="1" t="s">
        <v>118</v>
      </c>
      <c r="R95" s="25" t="s">
        <v>82</v>
      </c>
      <c r="S95" s="1" t="s">
        <v>119</v>
      </c>
      <c r="W95" s="25" t="s">
        <v>82</v>
      </c>
      <c r="X95" s="1" t="s">
        <v>120</v>
      </c>
      <c r="AC95" s="25" t="s">
        <v>82</v>
      </c>
      <c r="AD95" s="1" t="s">
        <v>121</v>
      </c>
      <c r="AI95" s="25" t="s">
        <v>82</v>
      </c>
      <c r="AJ95" s="1" t="s">
        <v>122</v>
      </c>
      <c r="AO95" s="25" t="s">
        <v>82</v>
      </c>
      <c r="AP95" s="1" t="s">
        <v>121</v>
      </c>
      <c r="AW95" s="1"/>
      <c r="AX95" s="52"/>
      <c r="AY95" s="52"/>
      <c r="AZ95" s="52"/>
      <c r="BA95" s="52"/>
      <c r="BB95" s="52"/>
      <c r="BC95" s="52"/>
    </row>
    <row r="96" spans="1:55" x14ac:dyDescent="0.25">
      <c r="A96" s="1" t="s">
        <v>71</v>
      </c>
      <c r="B96" s="16"/>
      <c r="C96" s="16"/>
      <c r="D96" s="16"/>
      <c r="E96" s="16"/>
      <c r="F96" s="16">
        <v>3.018756388385567</v>
      </c>
      <c r="G96" s="16"/>
      <c r="M96" s="26">
        <v>1</v>
      </c>
      <c r="N96" s="19" cm="1">
        <f t="array" ref="N96">SQRT(SUMSQ($K75:$K80-M75:M80)/COUNTA($K75:$K80-M75:M80))</f>
        <v>32.212605011104806</v>
      </c>
      <c r="R96" s="26">
        <v>1</v>
      </c>
      <c r="S96" s="19" cm="1">
        <f t="array" ref="S96">SQRT(SUMSQ($K75:$K80-R75:R80)/COUNTA($K75:$K80-R75:R80))</f>
        <v>68.443321631869111</v>
      </c>
      <c r="W96" s="26">
        <v>1</v>
      </c>
      <c r="X96" s="19" cm="1">
        <f t="array" ref="X96">SQRT(SUMSQ($K75:$K80-W75:W80)/COUNTA($K75:$K80-W75:W80))</f>
        <v>282.30921857239753</v>
      </c>
      <c r="AC96" s="26">
        <v>1</v>
      </c>
      <c r="AD96" s="19" cm="1">
        <f t="array" ref="AD96">SQRT(SUMSQ($K75:$K80-AC75:AC80)/COUNTA($K75:$K80-AC75:AC80))</f>
        <v>1804.9702389670795</v>
      </c>
      <c r="AI96" s="26">
        <v>1</v>
      </c>
      <c r="AJ96" s="19" cm="1">
        <f t="array" ref="AJ96">SQRT(SUMSQ($K75:$K80-AI75:AI80)/COUNTA($K75:$K80-AI75:AI80))</f>
        <v>197.59258727266268</v>
      </c>
      <c r="AO96" s="26">
        <v>1</v>
      </c>
      <c r="AP96" s="19" cm="1">
        <f t="array" ref="AP96">SQRT(SUMSQ($K75:$K80-AO75:AO80)/COUNTA($K75:$K80-AO75:AO80))</f>
        <v>80.905893901899006</v>
      </c>
      <c r="AW96" s="1"/>
      <c r="AX96" s="52"/>
      <c r="AY96" s="52"/>
      <c r="AZ96" s="52"/>
      <c r="BA96" s="52"/>
      <c r="BB96" s="52"/>
      <c r="BC96" s="52"/>
    </row>
    <row r="97" spans="1:43" x14ac:dyDescent="0.25">
      <c r="A97" s="1" t="s">
        <v>132</v>
      </c>
      <c r="B97" s="16"/>
      <c r="C97" s="16"/>
      <c r="D97" s="16"/>
      <c r="E97" s="16"/>
      <c r="F97" s="16">
        <v>4.8252724833329532</v>
      </c>
      <c r="G97" s="16"/>
      <c r="M97" s="27">
        <v>2</v>
      </c>
      <c r="N97" s="21" cm="1">
        <f t="array" ref="N97">SQRT(SUMSQ($K75:$K80-N75:N80)/COUNTA($K75:$K80-N75:N80))</f>
        <v>35.081005308908495</v>
      </c>
      <c r="O97" t="s">
        <v>84</v>
      </c>
      <c r="R97" s="27">
        <v>2</v>
      </c>
      <c r="S97" s="21" cm="1">
        <f t="array" ref="S97">SQRT(SUMSQ($K75:$K80-S75:S80)/COUNTA($K75:$K80-S75:S80))</f>
        <v>53.64006417873874</v>
      </c>
      <c r="T97" t="s">
        <v>84</v>
      </c>
      <c r="W97" s="27">
        <v>2</v>
      </c>
      <c r="X97" s="21" cm="1">
        <f t="array" ref="X97">SQRT(SUMSQ($K75:$K80-X75:X80)/COUNTA($K75:$K80-X75:X80))</f>
        <v>87.783602343708864</v>
      </c>
      <c r="Y97" t="s">
        <v>84</v>
      </c>
      <c r="AC97" s="27">
        <v>2</v>
      </c>
      <c r="AD97" s="21" cm="1">
        <f t="array" ref="AD97">SQRT(SUMSQ($K75:$K80-AD75:AD80/COUNTA($K75:$K80-AD75:AD80)))</f>
        <v>211.05324097488057</v>
      </c>
      <c r="AE97" t="s">
        <v>84</v>
      </c>
      <c r="AI97" s="27">
        <v>2</v>
      </c>
      <c r="AJ97" s="21" cm="1">
        <f t="array" ref="AJ97">SQRT(SUMSQ($K75:$K80-AJ75:AJ80/COUNTA($K75:$K80-AJ75:AJ80)))</f>
        <v>213.20892554030422</v>
      </c>
      <c r="AK97" t="s">
        <v>84</v>
      </c>
      <c r="AO97" s="27">
        <v>2</v>
      </c>
      <c r="AP97" s="21" cm="1">
        <f t="array" ref="AP97">SQRT(SUMSQ($K75:$K80-AP75:AP80/COUNTA($K75:$K80-AP75:AP80)))</f>
        <v>215.51870998731584</v>
      </c>
      <c r="AQ97" t="s">
        <v>84</v>
      </c>
    </row>
    <row r="98" spans="1:43" x14ac:dyDescent="0.25">
      <c r="A98" s="1" t="s">
        <v>133</v>
      </c>
      <c r="B98" s="16"/>
      <c r="C98" s="16"/>
      <c r="D98" s="16"/>
      <c r="E98" s="16"/>
      <c r="F98" s="16">
        <v>4.2532124658988861</v>
      </c>
      <c r="G98" s="16"/>
      <c r="M98" s="28">
        <v>3</v>
      </c>
      <c r="N98" s="17" cm="1">
        <f t="array" ref="N98">SQRT(SUMSQ($K75:$K80-O75:O80)/COUNTA($K75:$K80-O75:O80))</f>
        <v>38.552112032336268</v>
      </c>
      <c r="O98" t="s">
        <v>85</v>
      </c>
      <c r="R98" s="28">
        <v>3</v>
      </c>
      <c r="S98" s="17" cm="1">
        <f t="array" ref="S98">SQRT(SUMSQ($K75:$K80-T75:T80)/COUNTA($K75:$K80-T75:T80))</f>
        <v>57.981996629069513</v>
      </c>
      <c r="T98" t="s">
        <v>85</v>
      </c>
      <c r="W98" s="28">
        <v>3</v>
      </c>
      <c r="X98" s="17" cm="1">
        <f t="array" ref="X98">SQRT(SUMSQ($K75:$K80-Y75:Y80)/COUNTA($K75:$K80-Y75:Y80))</f>
        <v>85.773339187142255</v>
      </c>
      <c r="Y98" t="s">
        <v>85</v>
      </c>
      <c r="AC98" s="28">
        <v>3</v>
      </c>
      <c r="AD98" s="17" cm="1">
        <f t="array" ref="AD98">SQRT(SUMSQ($K75:$K80-AE75:AE80)/COUNTA($K75:$K80-AE75:AE80))</f>
        <v>51.879492676349699</v>
      </c>
      <c r="AE98" t="s">
        <v>85</v>
      </c>
      <c r="AI98" s="28">
        <v>3</v>
      </c>
      <c r="AJ98" s="17"/>
      <c r="AK98" t="s">
        <v>85</v>
      </c>
      <c r="AO98" s="28">
        <v>3</v>
      </c>
      <c r="AP98" s="17"/>
      <c r="AQ98" t="s">
        <v>85</v>
      </c>
    </row>
    <row r="99" spans="1:43" x14ac:dyDescent="0.25">
      <c r="A99" s="1" t="s">
        <v>134</v>
      </c>
      <c r="B99" s="16"/>
      <c r="C99" s="16"/>
      <c r="D99" s="16"/>
      <c r="E99" s="16"/>
      <c r="F99" s="16">
        <v>11.842068106913624</v>
      </c>
      <c r="G99" s="16"/>
    </row>
    <row r="126" spans="11:43" x14ac:dyDescent="0.25">
      <c r="L126" s="68" t="s">
        <v>152</v>
      </c>
      <c r="M126" s="68"/>
      <c r="N126" s="68"/>
      <c r="O126" s="68"/>
      <c r="Q126" s="68" t="s">
        <v>157</v>
      </c>
      <c r="R126" s="68"/>
      <c r="S126" s="68"/>
      <c r="T126" s="68"/>
      <c r="V126" s="68" t="s">
        <v>152</v>
      </c>
      <c r="W126" s="68"/>
      <c r="X126" s="68"/>
      <c r="Y126" s="68"/>
      <c r="AB126" s="68" t="s">
        <v>152</v>
      </c>
      <c r="AC126" s="68"/>
      <c r="AD126" s="68"/>
      <c r="AE126" s="68"/>
      <c r="AH126" s="68" t="s">
        <v>152</v>
      </c>
      <c r="AI126" s="68"/>
      <c r="AJ126" s="68"/>
      <c r="AK126" s="68"/>
      <c r="AN126" s="68" t="s">
        <v>152</v>
      </c>
      <c r="AO126" s="68"/>
      <c r="AP126" s="68"/>
      <c r="AQ126" s="68"/>
    </row>
    <row r="127" spans="11:43" ht="45" x14ac:dyDescent="0.25">
      <c r="K127" s="15" t="s">
        <v>77</v>
      </c>
      <c r="L127" s="35" t="s">
        <v>111</v>
      </c>
      <c r="M127" s="23" t="s">
        <v>159</v>
      </c>
      <c r="N127" s="23" t="s">
        <v>160</v>
      </c>
      <c r="O127" s="23" t="s">
        <v>161</v>
      </c>
      <c r="Q127" s="35" t="s">
        <v>112</v>
      </c>
      <c r="R127" s="23" t="s">
        <v>159</v>
      </c>
      <c r="S127" s="23" t="s">
        <v>160</v>
      </c>
      <c r="T127" s="23" t="s">
        <v>161</v>
      </c>
      <c r="U127" s="23" t="s">
        <v>158</v>
      </c>
      <c r="V127" s="35" t="s">
        <v>114</v>
      </c>
      <c r="W127" s="23" t="s">
        <v>159</v>
      </c>
      <c r="X127" s="23" t="s">
        <v>160</v>
      </c>
      <c r="Y127" s="23" t="s">
        <v>161</v>
      </c>
      <c r="AB127" s="35" t="s">
        <v>115</v>
      </c>
      <c r="AC127" s="23" t="s">
        <v>159</v>
      </c>
      <c r="AD127" s="23" t="s">
        <v>160</v>
      </c>
      <c r="AE127" s="23" t="s">
        <v>161</v>
      </c>
      <c r="AH127" s="35" t="s">
        <v>116</v>
      </c>
      <c r="AI127" s="23" t="s">
        <v>159</v>
      </c>
      <c r="AJ127" s="23" t="s">
        <v>160</v>
      </c>
      <c r="AK127" s="23" t="s">
        <v>161</v>
      </c>
      <c r="AN127" s="35" t="s">
        <v>117</v>
      </c>
      <c r="AO127" s="23" t="s">
        <v>159</v>
      </c>
      <c r="AP127" s="23" t="s">
        <v>160</v>
      </c>
      <c r="AQ127" s="23" t="s">
        <v>161</v>
      </c>
    </row>
    <row r="128" spans="11:43" x14ac:dyDescent="0.25">
      <c r="K128" s="1">
        <v>90</v>
      </c>
      <c r="L128" s="31" t="s">
        <v>69</v>
      </c>
      <c r="M128" s="16">
        <f>(G85+0.2797)/0.1308</f>
        <v>95.227895183972151</v>
      </c>
      <c r="N128" s="16">
        <f>3.9718*G85+30.546</f>
        <v>78.907068495194437</v>
      </c>
      <c r="O128" s="58">
        <f>19.313*G85^0.5814</f>
        <v>82.59702247449286</v>
      </c>
      <c r="Q128" s="31" t="s">
        <v>69</v>
      </c>
      <c r="R128" s="16">
        <f>(F85+0.4849)/0.0584</f>
        <v>75.230478586227335</v>
      </c>
      <c r="S128" s="16">
        <f>10.01*F85+30.323</f>
        <v>69.447685093851135</v>
      </c>
      <c r="T128" s="59">
        <f>37.141*F85^0.4897</f>
        <v>72.404274907409402</v>
      </c>
      <c r="U128" s="13">
        <f>37.141*F94^0.4897</f>
        <v>72.404274907409402</v>
      </c>
      <c r="V128" s="31" t="s">
        <v>69</v>
      </c>
      <c r="W128" s="16">
        <f t="shared" ref="W128:W133" si="32">(E85+0.6363)/0.0265</f>
        <v>61.217424542970299</v>
      </c>
      <c r="X128" s="16">
        <f t="shared" ref="X128:X133" si="33">25.558*E85+36.111</f>
        <v>61.310210416434721</v>
      </c>
      <c r="Y128" s="59">
        <f>69.284*E85^0.3338</f>
        <v>68.957807295619332</v>
      </c>
      <c r="AB128" s="31" t="s">
        <v>69</v>
      </c>
      <c r="AC128" s="16">
        <f t="shared" ref="AC128:AC133" si="34">(0.2678+D85)/0.0101</f>
        <v>56.931180626895156</v>
      </c>
      <c r="AD128" s="16">
        <f>66.181*D85+38.036</f>
        <v>58.36712909719234</v>
      </c>
      <c r="AE128" s="16">
        <f>90.603*D85^0.2478</f>
        <v>67.628114502869821</v>
      </c>
      <c r="AH128" s="31" t="s">
        <v>69</v>
      </c>
      <c r="AI128" s="16">
        <f>(C85+0.0586)/0.0026</f>
        <v>48.085648593067866</v>
      </c>
      <c r="AJ128" s="16">
        <f>176.58*C85+43.872</f>
        <v>55.600917954266201</v>
      </c>
      <c r="AK128" s="16"/>
      <c r="AN128" s="31" t="s">
        <v>69</v>
      </c>
      <c r="AO128" s="16">
        <f>(B85+0.0224)/0.0007</f>
        <v>52.757089481867645</v>
      </c>
      <c r="AP128" s="16">
        <f>613.15*B85+47.755</f>
        <v>56.664046591065002</v>
      </c>
      <c r="AQ128" s="16"/>
    </row>
    <row r="129" spans="11:43" x14ac:dyDescent="0.25">
      <c r="K129" s="1">
        <v>45</v>
      </c>
      <c r="L129" s="31" t="s">
        <v>70</v>
      </c>
      <c r="M129" s="16">
        <f>(G86+0.2797)/0.1308</f>
        <v>21.891251699587393</v>
      </c>
      <c r="N129" s="16">
        <f>3.9718*G86+30.546</f>
        <v>40.807843233855095</v>
      </c>
      <c r="O129" s="58">
        <f>19.313*G86^0.5814</f>
        <v>33.537054468443031</v>
      </c>
      <c r="Q129" s="31" t="s">
        <v>70</v>
      </c>
      <c r="R129" s="16">
        <f>(F86+0.4849)/0.0584</f>
        <v>17.108521685249425</v>
      </c>
      <c r="S129" s="16">
        <f>10.01*F86+30.323</f>
        <v>35.470519040849851</v>
      </c>
      <c r="T129" s="59">
        <f>37.141*F86^0.4897</f>
        <v>26.817021909960893</v>
      </c>
      <c r="U129" s="13">
        <f t="shared" ref="U129:U133" si="35">37.141*F95^0.4897</f>
        <v>26.817021909960893</v>
      </c>
      <c r="V129" s="31" t="s">
        <v>70</v>
      </c>
      <c r="W129" s="16">
        <f t="shared" si="32"/>
        <v>25.457711340208132</v>
      </c>
      <c r="X129" s="16">
        <f t="shared" si="33"/>
        <v>37.090621540475539</v>
      </c>
      <c r="Y129" s="59">
        <f>69.284*E86^0.3338</f>
        <v>23.324683235913156</v>
      </c>
      <c r="AB129" s="31" t="s">
        <v>70</v>
      </c>
      <c r="AC129" s="16">
        <f t="shared" si="34"/>
        <v>26.806773423575901</v>
      </c>
      <c r="AD129" s="16">
        <f>66.181*D86+38.036</f>
        <v>38.231128826651336</v>
      </c>
      <c r="AE129" s="16">
        <f>90.603*D86^0.2478</f>
        <v>21.384864913798921</v>
      </c>
      <c r="AH129" s="31" t="s">
        <v>70</v>
      </c>
      <c r="AI129" s="16">
        <f>(C86+0.0586)/0.0026</f>
        <v>22.738579971365379</v>
      </c>
      <c r="AJ129" s="16">
        <f>176.58*C86+43.872</f>
        <v>43.963875973493614</v>
      </c>
      <c r="AK129" s="16"/>
      <c r="AN129" s="31" t="s">
        <v>70</v>
      </c>
      <c r="AO129" s="16">
        <f>(B86+0.0224)/0.0007</f>
        <v>32</v>
      </c>
      <c r="AP129" s="16">
        <f>613.15*B86+47.755</f>
        <v>47.755000000000003</v>
      </c>
      <c r="AQ129" s="16"/>
    </row>
    <row r="130" spans="11:43" x14ac:dyDescent="0.25">
      <c r="K130" s="1">
        <v>90</v>
      </c>
      <c r="L130" s="31" t="s">
        <v>71</v>
      </c>
      <c r="M130" s="16">
        <f>(G87+0.2797)/0.1308</f>
        <v>105.13474984565981</v>
      </c>
      <c r="N130" s="16">
        <f>3.9718*G87+30.546</f>
        <v>84.053792826358517</v>
      </c>
      <c r="O130" s="58">
        <f>19.313*G87^0.5814</f>
        <v>87.599201607786554</v>
      </c>
      <c r="Q130" s="31" t="s">
        <v>71</v>
      </c>
      <c r="R130" s="16">
        <f>(F87+0.4849)/0.0584</f>
        <v>59.994116239478892</v>
      </c>
      <c r="S130" s="16">
        <f>10.01*F87+30.323</f>
        <v>60.540751447739524</v>
      </c>
      <c r="T130" s="59">
        <f>37.141*F87^0.4897</f>
        <v>63.800693168592431</v>
      </c>
      <c r="U130" s="13">
        <f t="shared" si="35"/>
        <v>63.800693168592431</v>
      </c>
      <c r="V130" s="31" t="s">
        <v>71</v>
      </c>
      <c r="W130" s="16">
        <f t="shared" si="32"/>
        <v>31.826917969938059</v>
      </c>
      <c r="X130" s="16">
        <f t="shared" si="33"/>
        <v>41.404402391105435</v>
      </c>
      <c r="Y130" s="59">
        <f>69.284*E87^0.3338</f>
        <v>40.962192851694532</v>
      </c>
      <c r="AB130" s="31" t="s">
        <v>71</v>
      </c>
      <c r="AC130" s="16">
        <f t="shared" si="34"/>
        <v>29.227988736251156</v>
      </c>
      <c r="AD130" s="16">
        <f>66.181*D87+38.036</f>
        <v>39.849537177793763</v>
      </c>
      <c r="AE130" s="16">
        <f>90.603*D87^0.2478</f>
        <v>37.155894206812931</v>
      </c>
      <c r="AH130" s="31" t="s">
        <v>71</v>
      </c>
      <c r="AI130" s="16">
        <f>(C87+0.0586)/0.0026</f>
        <v>24.254193234820722</v>
      </c>
      <c r="AJ130" s="16">
        <f>176.58*C87+43.872</f>
        <v>44.659706147652074</v>
      </c>
      <c r="AK130" s="16"/>
      <c r="AN130" s="31" t="s">
        <v>71</v>
      </c>
      <c r="AO130" s="16">
        <f>(B87+0.0224)/0.0007</f>
        <v>35.641552988190917</v>
      </c>
      <c r="AP130" s="16">
        <f>613.15*B87+47.755</f>
        <v>49.317972750296484</v>
      </c>
      <c r="AQ130" s="16"/>
    </row>
    <row r="131" spans="11:43" x14ac:dyDescent="0.25">
      <c r="K131" s="1">
        <v>128</v>
      </c>
      <c r="L131" s="31" t="s">
        <v>132</v>
      </c>
      <c r="M131" s="16">
        <f>(G88+0.2797)/0.1308</f>
        <v>54.347206424674056</v>
      </c>
      <c r="N131" s="16">
        <f>3.9718*G88+30.546</f>
        <v>57.669083009659673</v>
      </c>
      <c r="O131" s="58">
        <f>19.313*G88^0.5814</f>
        <v>59.012200349879429</v>
      </c>
      <c r="Q131" s="31" t="s">
        <v>132</v>
      </c>
      <c r="R131" s="16">
        <f>(F88+0.4849)/0.0584</f>
        <v>99.968898500341339</v>
      </c>
      <c r="S131" s="16">
        <f>10.01*F88+30.323</f>
        <v>83.909369560923551</v>
      </c>
      <c r="T131" s="59">
        <f>37.141*F88^0.4897</f>
        <v>84.461527753027383</v>
      </c>
      <c r="U131" s="13">
        <f t="shared" si="35"/>
        <v>80.273877098790663</v>
      </c>
      <c r="V131" s="31" t="s">
        <v>132</v>
      </c>
      <c r="W131" s="16">
        <f t="shared" si="32"/>
        <v>68.787065020304397</v>
      </c>
      <c r="X131" s="16">
        <f t="shared" si="33"/>
        <v>66.437029506406901</v>
      </c>
      <c r="Y131" s="59">
        <f>69.284*E88^0.3338</f>
        <v>73.355134355888808</v>
      </c>
      <c r="AB131" s="31" t="s">
        <v>132</v>
      </c>
      <c r="AC131" s="16">
        <f t="shared" si="34"/>
        <v>35.414243080597721</v>
      </c>
      <c r="AD131" s="16">
        <f>66.181*D88+38.036</f>
        <v>43.98460341530209</v>
      </c>
      <c r="AE131" s="16">
        <f>90.603*D88^0.2478</f>
        <v>49.872932023099864</v>
      </c>
      <c r="AH131" s="31" t="s">
        <v>132</v>
      </c>
      <c r="AI131" s="16">
        <f>(C88+0.0586)/0.0026</f>
        <v>24.449405501071524</v>
      </c>
      <c r="AJ131" s="16">
        <f>176.58*C88+43.872</f>
        <v>44.749329660785946</v>
      </c>
      <c r="AK131" s="16"/>
      <c r="AN131" s="31" t="s">
        <v>132</v>
      </c>
      <c r="AO131" s="16">
        <f>(B88+0.0224)/0.0007</f>
        <v>32</v>
      </c>
      <c r="AP131" s="16">
        <f>613.15*B88+47.755</f>
        <v>47.755000000000003</v>
      </c>
      <c r="AQ131" s="16"/>
    </row>
    <row r="132" spans="11:43" x14ac:dyDescent="0.25">
      <c r="K132" s="1">
        <v>64</v>
      </c>
      <c r="L132" s="31" t="s">
        <v>133</v>
      </c>
      <c r="M132" s="16">
        <f>(G89+0.2797)/0.1308</f>
        <v>47.866775368612835</v>
      </c>
      <c r="N132" s="16">
        <f>3.9718*G89+30.546</f>
        <v>54.302424939904583</v>
      </c>
      <c r="O132" s="58">
        <f>19.313*G89^0.5814</f>
        <v>54.635837614422663</v>
      </c>
      <c r="Q132" s="31" t="s">
        <v>133</v>
      </c>
      <c r="R132" s="16">
        <f>(F89+0.4849)/0.0584</f>
        <v>107.82989600402105</v>
      </c>
      <c r="S132" s="16">
        <f>10.01*F89+30.323</f>
        <v>88.504782925614649</v>
      </c>
      <c r="T132" s="59">
        <f>37.141*F89^0.4897</f>
        <v>87.934081462076819</v>
      </c>
      <c r="U132" s="13">
        <f t="shared" si="35"/>
        <v>75.463396074733694</v>
      </c>
      <c r="V132" s="31" t="s">
        <v>133</v>
      </c>
      <c r="W132" s="16">
        <f t="shared" si="32"/>
        <v>129.21261045572717</v>
      </c>
      <c r="X132" s="16">
        <f t="shared" si="33"/>
        <v>107.3624658977281</v>
      </c>
      <c r="Y132" s="59">
        <f>69.284*E89^0.3338</f>
        <v>97.558037849240151</v>
      </c>
      <c r="AB132" s="31" t="s">
        <v>133</v>
      </c>
      <c r="AC132" s="16">
        <f t="shared" si="34"/>
        <v>33.058866225645914</v>
      </c>
      <c r="AD132" s="16">
        <f>66.181*D89+38.036</f>
        <v>42.410203339362667</v>
      </c>
      <c r="AE132" s="16">
        <f>90.603*D89^0.2478</f>
        <v>46.214645317182772</v>
      </c>
      <c r="AH132" s="31" t="s">
        <v>133</v>
      </c>
      <c r="AI132" s="16">
        <f>(C89+0.0586)/0.0026</f>
        <v>22.973008210907455</v>
      </c>
      <c r="AJ132" s="16">
        <f>176.58*C89+43.872</f>
        <v>44.071503853693301</v>
      </c>
      <c r="AK132" s="16"/>
      <c r="AN132" s="31" t="s">
        <v>133</v>
      </c>
      <c r="AO132" s="16">
        <f>(B89+0.0224)/0.0007</f>
        <v>32</v>
      </c>
      <c r="AP132" s="16">
        <f>613.15*B89+47.755</f>
        <v>47.755000000000003</v>
      </c>
      <c r="AQ132" s="16"/>
    </row>
    <row r="133" spans="11:43" x14ac:dyDescent="0.25">
      <c r="K133" s="1">
        <v>128</v>
      </c>
      <c r="L133" s="31" t="s">
        <v>134</v>
      </c>
      <c r="M133" s="16">
        <f t="shared" ref="M133" si="36">(G90+0.2797)/0.1308</f>
        <v>145.6390154749223</v>
      </c>
      <c r="N133" s="16">
        <f t="shared" ref="N133" si="37">3.9718*G90+30.546</f>
        <v>105.09622218955917</v>
      </c>
      <c r="O133" s="58">
        <f t="shared" ref="O133" si="38">19.313*G90^0.5814</f>
        <v>106.2283162144093</v>
      </c>
      <c r="Q133" s="31" t="s">
        <v>134</v>
      </c>
      <c r="R133" s="16">
        <f t="shared" ref="R133" si="39">(F90+0.4849)/0.0584</f>
        <v>325.44063345270519</v>
      </c>
      <c r="S133" s="16">
        <f t="shared" ref="S133" si="40">10.01*F90+30.323</f>
        <v>215.71653826631623</v>
      </c>
      <c r="T133" s="59">
        <f t="shared" ref="T133" si="41">37.141*F90^0.4897</f>
        <v>155.10541040664523</v>
      </c>
      <c r="U133" s="13">
        <f t="shared" si="35"/>
        <v>124.59799853071195</v>
      </c>
      <c r="V133" s="31" t="s">
        <v>134</v>
      </c>
      <c r="W133" s="16">
        <f t="shared" si="32"/>
        <v>763.63587392676732</v>
      </c>
      <c r="X133" s="16">
        <f t="shared" si="33"/>
        <v>537.04909474423846</v>
      </c>
      <c r="Y133" s="59">
        <f t="shared" ref="Y133" si="42">69.284*E90^0.3338</f>
        <v>187.0632193798823</v>
      </c>
      <c r="AB133" s="31" t="s">
        <v>134</v>
      </c>
      <c r="AC133" s="16">
        <f t="shared" si="34"/>
        <v>438.49120473331692</v>
      </c>
      <c r="AD133" s="16">
        <f t="shared" ref="AD133" si="43">66.181*D90+38.036</f>
        <v>313.41257104660201</v>
      </c>
      <c r="AE133" s="16">
        <f t="shared" ref="AE133" si="44">90.603*D90^0.2478</f>
        <v>128.99674971720674</v>
      </c>
      <c r="AH133" s="31" t="s">
        <v>134</v>
      </c>
      <c r="AI133" s="16">
        <f t="shared" ref="AI133" si="45">(C90+0.0586)/0.0026</f>
        <v>120.6633178258692</v>
      </c>
      <c r="AJ133" s="16">
        <f t="shared" ref="AJ133" si="46">176.58*C90+43.872</f>
        <v>88.921906520399148</v>
      </c>
      <c r="AK133" s="16"/>
      <c r="AN133" s="31" t="s">
        <v>134</v>
      </c>
      <c r="AO133" s="16">
        <f t="shared" ref="AO133" si="47">(B90+0.0224)/0.0007</f>
        <v>37.785138919438999</v>
      </c>
      <c r="AP133" s="16">
        <f t="shared" ref="AP133" si="48">613.15*B90+47.755</f>
        <v>50.238010549917817</v>
      </c>
      <c r="AQ133" s="16"/>
    </row>
    <row r="152" spans="13:43" x14ac:dyDescent="0.25">
      <c r="M152" s="25" t="s">
        <v>82</v>
      </c>
      <c r="N152" s="1" t="s">
        <v>118</v>
      </c>
      <c r="R152" s="25" t="s">
        <v>82</v>
      </c>
      <c r="S152" s="1" t="s">
        <v>119</v>
      </c>
      <c r="W152" s="25" t="s">
        <v>82</v>
      </c>
      <c r="X152" s="1" t="s">
        <v>120</v>
      </c>
      <c r="AC152" s="25" t="s">
        <v>82</v>
      </c>
      <c r="AD152" s="1" t="s">
        <v>121</v>
      </c>
      <c r="AI152" s="25" t="s">
        <v>82</v>
      </c>
      <c r="AJ152" s="1" t="s">
        <v>122</v>
      </c>
      <c r="AO152" s="25" t="s">
        <v>82</v>
      </c>
      <c r="AP152" s="1" t="s">
        <v>122</v>
      </c>
    </row>
    <row r="153" spans="13:43" x14ac:dyDescent="0.25">
      <c r="M153" s="26">
        <v>1</v>
      </c>
      <c r="N153" s="19" cm="1">
        <f t="array" ref="N153">SQRT(SUMSQ($K128:$K133-M128:M133)/COUNTA($K128:$K133-M128:M133))</f>
        <v>33.63172013228494</v>
      </c>
      <c r="R153" s="26">
        <v>1</v>
      </c>
      <c r="S153" s="19" cm="1">
        <f t="array" ref="S153">SQRT(SUMSQ($K128:$K133-R128:R133)/COUNTA($K128:$K133-R128:R133))</f>
        <v>85.231090335664234</v>
      </c>
      <c r="W153" s="26">
        <v>1</v>
      </c>
      <c r="X153" s="19" cm="1">
        <f t="array" ref="X153">SQRT(SUMSQ($K128:$K133-W128:W133)/COUNTA($K128:$K133-W128:W133))</f>
        <v>263.43445282868242</v>
      </c>
      <c r="AC153" s="26">
        <v>1</v>
      </c>
      <c r="AD153" s="19" cm="1">
        <f t="array" ref="AD153">SQRT(SUMSQ($K128:$K133-AC128:AC133)/COUNTA($K128:$K133-AC128:AC133))</f>
        <v>136.0465863968179</v>
      </c>
      <c r="AI153" s="26">
        <v>1</v>
      </c>
      <c r="AJ153" s="19" cm="1">
        <f t="array" ref="AJ153">SQRT(SUMSQ($K128:$K133-AI128:AI133)/COUNTA($K128:$K133-AI128:AI133))</f>
        <v>56.324449049572557</v>
      </c>
      <c r="AO153" s="26">
        <v>1</v>
      </c>
      <c r="AP153" s="19" cm="1">
        <f t="array" ref="AP153">SQRT(SUMSQ($K128:$K133-AO128:AO133)/COUNTA($K128:$K133-AO128:AO133))</f>
        <v>61.765141605361556</v>
      </c>
    </row>
    <row r="154" spans="13:43" x14ac:dyDescent="0.25">
      <c r="M154" s="27">
        <v>2</v>
      </c>
      <c r="N154" s="21" cm="1">
        <f t="array" ref="N154">SQRT(SUMSQ($K128:$K133-N128:N133)/COUNTA($K128:$K133-N128:N133))</f>
        <v>30.932853549294144</v>
      </c>
      <c r="O154" t="s">
        <v>84</v>
      </c>
      <c r="R154" s="27">
        <v>2</v>
      </c>
      <c r="S154" s="21" cm="1">
        <f t="array" ref="S154">SQRT(SUMSQ($K128:$K133-S128:S133)/COUNTA($K128:$K133-S128:S133))</f>
        <v>44.007035696558425</v>
      </c>
      <c r="T154" t="s">
        <v>84</v>
      </c>
      <c r="W154" s="27">
        <v>2</v>
      </c>
      <c r="X154" s="21" cm="1">
        <f t="array" ref="X154">SQRT(SUMSQ($K128:$K133-X128:X133)/COUNTA($K128:$K133-X128:X133))</f>
        <v>171.38585078546132</v>
      </c>
      <c r="Y154" t="s">
        <v>84</v>
      </c>
      <c r="AC154" s="27">
        <v>2</v>
      </c>
      <c r="AD154" s="21" cm="1">
        <f t="array" ref="AD154">SQRT(SUMSQ($K128:$K133-AD128:AD133)/COUNTA($K128:$K133-AD128:AD133))</f>
        <v>87.047930039566467</v>
      </c>
      <c r="AE154" t="s">
        <v>84</v>
      </c>
      <c r="AI154" s="27">
        <v>2</v>
      </c>
      <c r="AJ154" s="21" cm="1">
        <f t="array" ref="AJ154">SQRT(SUMSQ($K128:$K133-AJ128:AJ133)/COUNTA($K128:$K133-AJ128:AJ133))</f>
        <v>44.89808664406344</v>
      </c>
      <c r="AK154" t="s">
        <v>84</v>
      </c>
      <c r="AO154" s="27">
        <v>2</v>
      </c>
      <c r="AP154" s="21" cm="1">
        <f t="array" ref="AP154">SQRT(SUMSQ($K128:$K133-AP128:AP133)/COUNTA($K128:$K133-AP128:AP133))</f>
        <v>50.865820562638127</v>
      </c>
      <c r="AQ154" t="s">
        <v>84</v>
      </c>
    </row>
    <row r="155" spans="13:43" x14ac:dyDescent="0.25">
      <c r="M155" s="28">
        <v>3</v>
      </c>
      <c r="N155" s="17" cm="1">
        <f t="array" ref="N155">SQRT(SUMSQ($K128:$K133-O128:O133)/COUNTA($K128:$K133-O128:O133))</f>
        <v>30.312201289335206</v>
      </c>
      <c r="O155" t="s">
        <v>85</v>
      </c>
      <c r="R155" s="28">
        <v>3</v>
      </c>
      <c r="S155" s="17" cm="1">
        <f t="array" ref="S155">SQRT(SUMSQ($K128:$K133-T128:T133)/COUNTA($K128:$K133-T128:T133))</f>
        <v>27.476583989976842</v>
      </c>
      <c r="T155" t="s">
        <v>85</v>
      </c>
      <c r="W155" s="28">
        <v>3</v>
      </c>
      <c r="X155" s="17" cm="1">
        <f t="array" ref="X155">SQRT(SUMSQ($K128:$K133-Y128:Y133)/COUNTA($K128:$K133-Y128:Y133))</f>
        <v>42.657486426996407</v>
      </c>
      <c r="Y155" t="s">
        <v>85</v>
      </c>
      <c r="AC155" s="28">
        <v>3</v>
      </c>
      <c r="AD155" s="17" cm="1">
        <f t="array" ref="AD155">SQRT(SUMSQ($K128:$K133-AE128:AE133)/COUNTA($K128:$K133-AE128:AE133))</f>
        <v>41.37597226405947</v>
      </c>
      <c r="AE155" t="s">
        <v>85</v>
      </c>
      <c r="AI155" s="28">
        <v>3</v>
      </c>
      <c r="AJ155" s="17"/>
      <c r="AK155" t="s">
        <v>85</v>
      </c>
      <c r="AO155" s="28">
        <v>3</v>
      </c>
      <c r="AP155" s="17"/>
      <c r="AQ155" t="s">
        <v>85</v>
      </c>
    </row>
    <row r="156" spans="13:43" x14ac:dyDescent="0.25">
      <c r="S156" s="16" cm="1">
        <f t="array" ref="S156">SQRT(SUMSQ($K128:$K133-U128:U133)/COUNTA($K128:$K133-U128:U133))</f>
        <v>24.991331106831492</v>
      </c>
      <c r="T156" t="s">
        <v>162</v>
      </c>
    </row>
  </sheetData>
  <mergeCells count="27">
    <mergeCell ref="B92:G92"/>
    <mergeCell ref="G18:J18"/>
    <mergeCell ref="B73:G73"/>
    <mergeCell ref="AX90:BC90"/>
    <mergeCell ref="AH18:AK18"/>
    <mergeCell ref="AS1:AX1"/>
    <mergeCell ref="AQ1:AR1"/>
    <mergeCell ref="AN18:AQ18"/>
    <mergeCell ref="AH73:AK73"/>
    <mergeCell ref="AY1:BD1"/>
    <mergeCell ref="AN73:AQ73"/>
    <mergeCell ref="AB126:AE126"/>
    <mergeCell ref="AH126:AK126"/>
    <mergeCell ref="AN126:AQ126"/>
    <mergeCell ref="BE1:BJ1"/>
    <mergeCell ref="B83:G83"/>
    <mergeCell ref="L73:O73"/>
    <mergeCell ref="Q73:T73"/>
    <mergeCell ref="V73:Y73"/>
    <mergeCell ref="L126:O126"/>
    <mergeCell ref="Q126:T126"/>
    <mergeCell ref="V126:Y126"/>
    <mergeCell ref="AB73:AE73"/>
    <mergeCell ref="B18:E18"/>
    <mergeCell ref="V18:X18"/>
    <mergeCell ref="Q18:T18"/>
    <mergeCell ref="L18:O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C25" sqref="C25"/>
    </sheetView>
  </sheetViews>
  <sheetFormatPr defaultRowHeight="15" x14ac:dyDescent="0.25"/>
  <cols>
    <col min="2" max="2" width="16.7109375" customWidth="1"/>
    <col min="3" max="3" width="20.5703125" customWidth="1"/>
    <col min="4" max="4" width="16.140625" customWidth="1"/>
    <col min="5" max="5" width="16.28515625" customWidth="1"/>
    <col min="6" max="6" width="15.5703125" customWidth="1"/>
    <col min="7" max="7" width="18.7109375" customWidth="1"/>
    <col min="8" max="8" width="15.28515625" customWidth="1"/>
    <col min="9" max="9" width="15.42578125" customWidth="1"/>
    <col min="10" max="10" width="13" customWidth="1"/>
    <col min="11" max="11" width="14.28515625" customWidth="1"/>
  </cols>
  <sheetData>
    <row r="1" spans="1:11" x14ac:dyDescent="0.25">
      <c r="A1" s="1"/>
      <c r="B1" s="68" t="s">
        <v>37</v>
      </c>
      <c r="C1" s="68"/>
      <c r="D1" s="68"/>
      <c r="E1" s="68"/>
      <c r="F1" s="68"/>
      <c r="G1" s="68"/>
    </row>
    <row r="2" spans="1:11" x14ac:dyDescent="0.25">
      <c r="A2" s="1"/>
      <c r="B2" s="1" t="s">
        <v>38</v>
      </c>
      <c r="C2" s="1" t="s">
        <v>39</v>
      </c>
      <c r="D2" s="3" t="s">
        <v>40</v>
      </c>
      <c r="E2" s="3" t="s">
        <v>41</v>
      </c>
      <c r="F2" s="1" t="s">
        <v>42</v>
      </c>
      <c r="G2" s="1" t="s">
        <v>43</v>
      </c>
    </row>
    <row r="3" spans="1:11" x14ac:dyDescent="0.25">
      <c r="A3" s="1" t="s">
        <v>44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25">
      <c r="A4" s="1" t="s">
        <v>45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25">
      <c r="A5" s="1" t="s">
        <v>46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25">
      <c r="A6" s="1"/>
      <c r="B6" s="1"/>
      <c r="C6" s="1"/>
      <c r="D6" s="1"/>
      <c r="E6" s="1"/>
      <c r="F6" s="1"/>
      <c r="G6" s="1"/>
    </row>
    <row r="7" spans="1:11" x14ac:dyDescent="0.25">
      <c r="B7" s="69" t="s">
        <v>47</v>
      </c>
      <c r="C7" s="68"/>
      <c r="D7" s="68"/>
      <c r="E7" s="70"/>
      <c r="F7" s="69" t="s">
        <v>48</v>
      </c>
      <c r="G7" s="68"/>
      <c r="H7" s="68"/>
      <c r="I7" s="68"/>
      <c r="J7" s="68"/>
      <c r="K7" s="70"/>
    </row>
    <row r="8" spans="1:11" x14ac:dyDescent="0.25">
      <c r="A8" s="1"/>
      <c r="B8" s="6" t="s">
        <v>49</v>
      </c>
      <c r="C8" s="1" t="s">
        <v>50</v>
      </c>
      <c r="D8" s="1" t="s">
        <v>51</v>
      </c>
      <c r="E8" s="7" t="s">
        <v>52</v>
      </c>
      <c r="F8" s="6" t="s">
        <v>49</v>
      </c>
      <c r="G8" s="1" t="s">
        <v>50</v>
      </c>
      <c r="H8" s="1" t="s">
        <v>53</v>
      </c>
      <c r="I8" s="1" t="s">
        <v>54</v>
      </c>
      <c r="J8" s="1" t="s">
        <v>51</v>
      </c>
      <c r="K8" s="7" t="s">
        <v>52</v>
      </c>
    </row>
    <row r="9" spans="1:11" x14ac:dyDescent="0.25">
      <c r="A9" s="1" t="s">
        <v>55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25">
      <c r="A10" s="1" t="s">
        <v>56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25">
      <c r="A11" s="3" t="s">
        <v>57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25">
      <c r="A12" s="3" t="s">
        <v>58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25">
      <c r="A13" s="1" t="s">
        <v>59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25">
      <c r="A14" s="1" t="s">
        <v>60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5" x14ac:dyDescent="0.25"/>
  <cols>
    <col min="2" max="2" width="15.7109375" customWidth="1"/>
    <col min="3" max="3" width="16.7109375" customWidth="1"/>
    <col min="4" max="4" width="15.28515625" customWidth="1"/>
    <col min="5" max="5" width="15.7109375" customWidth="1"/>
    <col min="6" max="6" width="13.28515625" customWidth="1"/>
    <col min="7" max="7" width="12" customWidth="1"/>
  </cols>
  <sheetData>
    <row r="1" spans="1:7" x14ac:dyDescent="0.25">
      <c r="A1" s="1"/>
      <c r="B1" s="68" t="s">
        <v>21</v>
      </c>
      <c r="C1" s="68"/>
      <c r="D1" s="68" t="s">
        <v>20</v>
      </c>
      <c r="E1" s="68"/>
      <c r="F1" s="68" t="s">
        <v>11</v>
      </c>
      <c r="G1" s="68"/>
    </row>
    <row r="2" spans="1:7" x14ac:dyDescent="0.25">
      <c r="A2" s="1" t="s">
        <v>14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12</v>
      </c>
      <c r="G2" s="1" t="s">
        <v>13</v>
      </c>
    </row>
    <row r="3" spans="1:7" x14ac:dyDescent="0.25">
      <c r="A3" s="1" t="s">
        <v>4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25">
      <c r="A4" s="1" t="s">
        <v>5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25">
      <c r="A5" s="1" t="s">
        <v>6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25">
      <c r="A6" s="1" t="s">
        <v>7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25">
      <c r="A7" s="1" t="s">
        <v>8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25">
      <c r="A9" s="1"/>
      <c r="B9" s="68" t="s">
        <v>21</v>
      </c>
      <c r="C9" s="68"/>
      <c r="D9" s="68" t="s">
        <v>20</v>
      </c>
      <c r="E9" s="68"/>
      <c r="F9" s="68" t="s">
        <v>11</v>
      </c>
      <c r="G9" s="68"/>
    </row>
    <row r="10" spans="1:7" x14ac:dyDescent="0.25">
      <c r="A10" s="1" t="s">
        <v>15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12</v>
      </c>
      <c r="G10" s="1" t="s">
        <v>13</v>
      </c>
    </row>
    <row r="11" spans="1:7" x14ac:dyDescent="0.25">
      <c r="A11" s="1" t="s">
        <v>16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25">
      <c r="A12" s="1" t="s">
        <v>17</v>
      </c>
      <c r="B12" s="1"/>
      <c r="C12" s="1"/>
      <c r="D12" s="1"/>
      <c r="E12" s="1"/>
      <c r="F12" s="1"/>
      <c r="G12" s="1"/>
    </row>
    <row r="13" spans="1:7" x14ac:dyDescent="0.25">
      <c r="A13" s="1" t="s">
        <v>18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25">
      <c r="A14" s="1" t="s">
        <v>19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hilbert envelope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2025-11-19T22:06:57Z</dcterms:modified>
</cp:coreProperties>
</file>