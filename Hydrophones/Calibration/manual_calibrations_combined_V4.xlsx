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2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drawings/drawing3.xml" ContentType="application/vnd.openxmlformats-officedocument.drawing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nicol\Documents\GitHub\La_Jara\Hydrophones\Calibration\"/>
    </mc:Choice>
  </mc:AlternateContent>
  <xr:revisionPtr revIDLastSave="0" documentId="13_ncr:1_{E1B85133-2D80-41A9-9F97-1F683BF7AA5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ilbert envelope" sheetId="1" r:id="rId1"/>
    <sheet name="validation" sheetId="6" r:id="rId2"/>
    <sheet name="r2" sheetId="5" r:id="rId3"/>
    <sheet name="flood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6" l="1"/>
  <c r="R23" i="6"/>
  <c r="K11" i="6"/>
  <c r="K12" i="6"/>
  <c r="H10" i="6"/>
  <c r="K10" i="6"/>
  <c r="F10" i="6"/>
  <c r="G10" i="6"/>
  <c r="I10" i="6"/>
  <c r="J10" i="6"/>
  <c r="F11" i="6"/>
  <c r="BY23" i="6"/>
  <c r="BW24" i="6"/>
  <c r="BW25" i="6"/>
  <c r="BW26" i="6"/>
  <c r="BW27" i="6"/>
  <c r="BW28" i="6"/>
  <c r="BW29" i="6"/>
  <c r="BW30" i="6"/>
  <c r="BW31" i="6"/>
  <c r="BW32" i="6"/>
  <c r="BW23" i="6"/>
  <c r="BP23" i="6"/>
  <c r="BF32" i="6" l="1"/>
  <c r="BF27" i="6"/>
  <c r="BF23" i="6"/>
  <c r="BB32" i="6"/>
  <c r="BB23" i="6"/>
  <c r="AW32" i="6"/>
  <c r="AW27" i="6"/>
  <c r="AW23" i="6"/>
  <c r="BD27" i="6"/>
  <c r="BD32" i="6"/>
  <c r="BD24" i="6"/>
  <c r="AU27" i="6"/>
  <c r="AU28" i="6"/>
  <c r="BD28" i="6" s="1"/>
  <c r="AU29" i="6"/>
  <c r="BD29" i="6" s="1"/>
  <c r="AU30" i="6"/>
  <c r="BD30" i="6" s="1"/>
  <c r="AU31" i="6"/>
  <c r="BD31" i="6" s="1"/>
  <c r="AU32" i="6"/>
  <c r="AU24" i="6"/>
  <c r="AU25" i="6"/>
  <c r="BD25" i="6" s="1"/>
  <c r="AU26" i="6"/>
  <c r="BD26" i="6" s="1"/>
  <c r="AU23" i="6"/>
  <c r="BD23" i="6" s="1"/>
  <c r="BN24" i="6"/>
  <c r="BN25" i="6"/>
  <c r="BN26" i="6"/>
  <c r="BN27" i="6"/>
  <c r="BN28" i="6"/>
  <c r="BN29" i="6"/>
  <c r="BN30" i="6"/>
  <c r="BN31" i="6"/>
  <c r="BN32" i="6"/>
  <c r="BN23" i="6"/>
  <c r="AQ31" i="6"/>
  <c r="AO28" i="6"/>
  <c r="AO31" i="6"/>
  <c r="AK27" i="6"/>
  <c r="J23" i="6"/>
  <c r="J29" i="6"/>
  <c r="I23" i="6"/>
  <c r="H28" i="6"/>
  <c r="H29" i="6"/>
  <c r="H30" i="6"/>
  <c r="H31" i="6"/>
  <c r="H32" i="6"/>
  <c r="H27" i="6"/>
  <c r="H24" i="6"/>
  <c r="H25" i="6"/>
  <c r="H26" i="6"/>
  <c r="C23" i="6"/>
  <c r="H23" i="6"/>
  <c r="AQ28" i="6"/>
  <c r="F12" i="6"/>
  <c r="AQ29" i="6" s="1"/>
  <c r="F13" i="6"/>
  <c r="AP30" i="6" s="1"/>
  <c r="F14" i="6"/>
  <c r="F15" i="6"/>
  <c r="AQ32" i="6" s="1"/>
  <c r="G11" i="6"/>
  <c r="AK28" i="6" s="1"/>
  <c r="G12" i="6"/>
  <c r="AJ29" i="6" s="1"/>
  <c r="G13" i="6"/>
  <c r="AJ30" i="6" s="1"/>
  <c r="G14" i="6"/>
  <c r="AI31" i="6" s="1"/>
  <c r="G15" i="6"/>
  <c r="AK32" i="6" s="1"/>
  <c r="H11" i="6"/>
  <c r="AE28" i="6" s="1"/>
  <c r="H12" i="6"/>
  <c r="AC29" i="6" s="1"/>
  <c r="H13" i="6"/>
  <c r="AC30" i="6" s="1"/>
  <c r="H14" i="6"/>
  <c r="AE31" i="6" s="1"/>
  <c r="H15" i="6"/>
  <c r="AD32" i="6" s="1"/>
  <c r="I11" i="6"/>
  <c r="X28" i="6" s="1"/>
  <c r="I12" i="6"/>
  <c r="X29" i="6" s="1"/>
  <c r="I13" i="6"/>
  <c r="X30" i="6" s="1"/>
  <c r="I14" i="6"/>
  <c r="W31" i="6" s="1"/>
  <c r="I15" i="6"/>
  <c r="W32" i="6" s="1"/>
  <c r="J11" i="6"/>
  <c r="T28" i="6" s="1"/>
  <c r="J12" i="6"/>
  <c r="T29" i="6" s="1"/>
  <c r="J13" i="6"/>
  <c r="T30" i="6" s="1"/>
  <c r="J14" i="6"/>
  <c r="T31" i="6" s="1"/>
  <c r="J15" i="6"/>
  <c r="R32" i="6" s="1"/>
  <c r="M28" i="6"/>
  <c r="N29" i="6"/>
  <c r="K13" i="6"/>
  <c r="N30" i="6" s="1"/>
  <c r="K14" i="6"/>
  <c r="M31" i="6" s="1"/>
  <c r="K15" i="6"/>
  <c r="O32" i="6" s="1"/>
  <c r="M27" i="6"/>
  <c r="AI27" i="6"/>
  <c r="AE27" i="6"/>
  <c r="X27" i="6"/>
  <c r="S27" i="6"/>
  <c r="AP27" i="6"/>
  <c r="F16" i="6"/>
  <c r="BY27" i="6"/>
  <c r="BZ27" i="6"/>
  <c r="CA27" i="6"/>
  <c r="CB27" i="6"/>
  <c r="CC27" i="6"/>
  <c r="CD27" i="6"/>
  <c r="BY28" i="6"/>
  <c r="BZ28" i="6"/>
  <c r="CA28" i="6"/>
  <c r="CB28" i="6"/>
  <c r="CC28" i="6"/>
  <c r="CD28" i="6"/>
  <c r="BY29" i="6"/>
  <c r="BZ29" i="6"/>
  <c r="CA29" i="6"/>
  <c r="CB29" i="6"/>
  <c r="CC29" i="6"/>
  <c r="CD29" i="6"/>
  <c r="BY30" i="6"/>
  <c r="BZ30" i="6"/>
  <c r="CA30" i="6"/>
  <c r="CB30" i="6"/>
  <c r="CC30" i="6"/>
  <c r="CD30" i="6"/>
  <c r="BY31" i="6"/>
  <c r="BZ31" i="6"/>
  <c r="CA31" i="6"/>
  <c r="CB31" i="6"/>
  <c r="CC31" i="6"/>
  <c r="CD31" i="6"/>
  <c r="BY32" i="6"/>
  <c r="BZ32" i="6"/>
  <c r="CA32" i="6"/>
  <c r="CB32" i="6"/>
  <c r="CC32" i="6"/>
  <c r="CD32" i="6"/>
  <c r="BU27" i="6"/>
  <c r="BU28" i="6"/>
  <c r="BU29" i="6"/>
  <c r="BU30" i="6"/>
  <c r="BU31" i="6"/>
  <c r="BU32" i="6"/>
  <c r="BT27" i="6"/>
  <c r="BT28" i="6"/>
  <c r="BT29" i="6"/>
  <c r="BT30" i="6"/>
  <c r="BT31" i="6"/>
  <c r="BT32" i="6"/>
  <c r="BS27" i="6"/>
  <c r="BS28" i="6"/>
  <c r="BS29" i="6"/>
  <c r="BS30" i="6"/>
  <c r="BS31" i="6"/>
  <c r="BS32" i="6"/>
  <c r="BR27" i="6"/>
  <c r="BR28" i="6"/>
  <c r="BR29" i="6"/>
  <c r="BR30" i="6"/>
  <c r="BR31" i="6"/>
  <c r="BR32" i="6"/>
  <c r="BQ27" i="6"/>
  <c r="BQ28" i="6"/>
  <c r="BQ29" i="6"/>
  <c r="BQ30" i="6"/>
  <c r="BQ31" i="6"/>
  <c r="BQ32" i="6"/>
  <c r="BP27" i="6"/>
  <c r="BP28" i="6"/>
  <c r="BP29" i="6"/>
  <c r="BP30" i="6"/>
  <c r="BP31" i="6"/>
  <c r="BP32" i="6"/>
  <c r="BK27" i="6"/>
  <c r="BK28" i="6"/>
  <c r="BK29" i="6"/>
  <c r="BK30" i="6"/>
  <c r="BK31" i="6"/>
  <c r="BK32" i="6"/>
  <c r="BJ27" i="6"/>
  <c r="BJ28" i="6"/>
  <c r="BJ29" i="6"/>
  <c r="BJ30" i="6"/>
  <c r="BJ31" i="6"/>
  <c r="BJ32" i="6"/>
  <c r="BI27" i="6"/>
  <c r="BI28" i="6"/>
  <c r="BI29" i="6"/>
  <c r="BI30" i="6"/>
  <c r="BI31" i="6"/>
  <c r="BI32" i="6"/>
  <c r="BH27" i="6"/>
  <c r="BH28" i="6"/>
  <c r="BH29" i="6"/>
  <c r="BH30" i="6"/>
  <c r="BH31" i="6"/>
  <c r="BH32" i="6"/>
  <c r="BG27" i="6"/>
  <c r="BG28" i="6"/>
  <c r="BG29" i="6"/>
  <c r="BG30" i="6"/>
  <c r="BG31" i="6"/>
  <c r="BG32" i="6"/>
  <c r="BF28" i="6"/>
  <c r="BF29" i="6"/>
  <c r="BF30" i="6"/>
  <c r="BF31" i="6"/>
  <c r="BB27" i="6"/>
  <c r="BB28" i="6"/>
  <c r="BB29" i="6"/>
  <c r="BB30" i="6"/>
  <c r="BB31" i="6"/>
  <c r="BA27" i="6"/>
  <c r="BA28" i="6"/>
  <c r="BA29" i="6"/>
  <c r="BA30" i="6"/>
  <c r="BA31" i="6"/>
  <c r="BA32" i="6"/>
  <c r="AZ27" i="6"/>
  <c r="AZ28" i="6"/>
  <c r="AZ29" i="6"/>
  <c r="AZ30" i="6"/>
  <c r="AZ31" i="6"/>
  <c r="AZ32" i="6"/>
  <c r="AY27" i="6"/>
  <c r="AY28" i="6"/>
  <c r="AY29" i="6"/>
  <c r="AY30" i="6"/>
  <c r="AY31" i="6"/>
  <c r="AY32" i="6"/>
  <c r="AX27" i="6"/>
  <c r="AX28" i="6"/>
  <c r="AX29" i="6"/>
  <c r="AX30" i="6"/>
  <c r="AX31" i="6"/>
  <c r="AX32" i="6"/>
  <c r="AX26" i="6"/>
  <c r="AW28" i="6"/>
  <c r="AW29" i="6"/>
  <c r="AW30" i="6"/>
  <c r="AW31" i="6"/>
  <c r="AJ27" i="6"/>
  <c r="J27" i="6"/>
  <c r="J28" i="6"/>
  <c r="J30" i="6"/>
  <c r="J31" i="6"/>
  <c r="J32" i="6"/>
  <c r="I27" i="6"/>
  <c r="I28" i="6"/>
  <c r="I29" i="6"/>
  <c r="I30" i="6"/>
  <c r="I31" i="6"/>
  <c r="I32" i="6"/>
  <c r="E27" i="6"/>
  <c r="E28" i="6"/>
  <c r="E29" i="6"/>
  <c r="E30" i="6"/>
  <c r="E31" i="6"/>
  <c r="E32" i="6"/>
  <c r="D27" i="6"/>
  <c r="D28" i="6"/>
  <c r="D29" i="6"/>
  <c r="D30" i="6"/>
  <c r="D31" i="6"/>
  <c r="D32" i="6"/>
  <c r="C27" i="6"/>
  <c r="C28" i="6"/>
  <c r="C29" i="6"/>
  <c r="C31" i="6"/>
  <c r="C32" i="6"/>
  <c r="C26" i="6"/>
  <c r="D26" i="6"/>
  <c r="E26" i="6"/>
  <c r="I26" i="6"/>
  <c r="J26" i="6"/>
  <c r="AW26" i="6"/>
  <c r="AY26" i="6"/>
  <c r="AZ26" i="6"/>
  <c r="BA26" i="6"/>
  <c r="BB26" i="6"/>
  <c r="BF26" i="6"/>
  <c r="BG26" i="6"/>
  <c r="BH26" i="6"/>
  <c r="BI26" i="6"/>
  <c r="BJ26" i="6"/>
  <c r="BK26" i="6"/>
  <c r="BP26" i="6"/>
  <c r="BQ26" i="6"/>
  <c r="BR26" i="6"/>
  <c r="BS26" i="6"/>
  <c r="BT26" i="6"/>
  <c r="BU26" i="6"/>
  <c r="BY26" i="6"/>
  <c r="BZ26" i="6"/>
  <c r="CA26" i="6"/>
  <c r="CB26" i="6"/>
  <c r="CC26" i="6"/>
  <c r="CD26" i="6"/>
  <c r="K9" i="6"/>
  <c r="K16" i="6"/>
  <c r="K17" i="6"/>
  <c r="K18" i="6"/>
  <c r="K19" i="6"/>
  <c r="J9" i="6"/>
  <c r="J16" i="6"/>
  <c r="J17" i="6"/>
  <c r="J18" i="6"/>
  <c r="J19" i="6"/>
  <c r="I9" i="6"/>
  <c r="I16" i="6"/>
  <c r="I17" i="6"/>
  <c r="I18" i="6"/>
  <c r="I19" i="6"/>
  <c r="H9" i="6"/>
  <c r="H16" i="6"/>
  <c r="H17" i="6"/>
  <c r="H18" i="6"/>
  <c r="H19" i="6"/>
  <c r="G9" i="6"/>
  <c r="G16" i="6"/>
  <c r="G17" i="6"/>
  <c r="G18" i="6"/>
  <c r="G19" i="6"/>
  <c r="F17" i="6"/>
  <c r="F18" i="6"/>
  <c r="F19" i="6"/>
  <c r="F9" i="6"/>
  <c r="F2" i="6"/>
  <c r="CD23" i="6"/>
  <c r="CD24" i="6"/>
  <c r="CD25" i="6"/>
  <c r="CC23" i="6"/>
  <c r="CC24" i="6"/>
  <c r="CC25" i="6"/>
  <c r="CB23" i="6"/>
  <c r="CB24" i="6"/>
  <c r="CB25" i="6"/>
  <c r="CA23" i="6"/>
  <c r="CA24" i="6"/>
  <c r="CA25" i="6"/>
  <c r="BZ23" i="6"/>
  <c r="BZ24" i="6"/>
  <c r="BZ25" i="6"/>
  <c r="BY24" i="6"/>
  <c r="BY25" i="6"/>
  <c r="BU23" i="6"/>
  <c r="BU24" i="6"/>
  <c r="BU25" i="6"/>
  <c r="BT23" i="6"/>
  <c r="BT24" i="6"/>
  <c r="BT25" i="6"/>
  <c r="BS23" i="6"/>
  <c r="BS24" i="6"/>
  <c r="BS25" i="6"/>
  <c r="BR23" i="6"/>
  <c r="BR24" i="6"/>
  <c r="BR25" i="6"/>
  <c r="BQ23" i="6"/>
  <c r="BQ24" i="6"/>
  <c r="BQ25" i="6"/>
  <c r="BP24" i="6"/>
  <c r="BP25" i="6"/>
  <c r="BK24" i="6"/>
  <c r="BK23" i="6"/>
  <c r="BK25" i="6"/>
  <c r="BJ23" i="6"/>
  <c r="BJ24" i="6"/>
  <c r="BJ25" i="6"/>
  <c r="BI23" i="6"/>
  <c r="BI24" i="6"/>
  <c r="BI25" i="6"/>
  <c r="BH23" i="6"/>
  <c r="BH24" i="6"/>
  <c r="BH25" i="6"/>
  <c r="BG23" i="6"/>
  <c r="BG24" i="6"/>
  <c r="BG25" i="6"/>
  <c r="BF24" i="6"/>
  <c r="BF25" i="6"/>
  <c r="BB24" i="6"/>
  <c r="BB25" i="6"/>
  <c r="BA23" i="6"/>
  <c r="BA24" i="6"/>
  <c r="BA25" i="6"/>
  <c r="AZ23" i="6"/>
  <c r="AZ24" i="6"/>
  <c r="AZ25" i="6"/>
  <c r="AY23" i="6"/>
  <c r="AY24" i="6"/>
  <c r="AY25" i="6"/>
  <c r="AX23" i="6"/>
  <c r="AX24" i="6"/>
  <c r="AX25" i="6"/>
  <c r="AW24" i="6"/>
  <c r="AW25" i="6"/>
  <c r="BC41" i="6" l="1" a="1"/>
  <c r="BC41" i="6" s="1"/>
  <c r="BD38" i="6" a="1"/>
  <c r="BD38" i="6" s="1"/>
  <c r="BD40" i="6" a="1"/>
  <c r="BD40" i="6" s="1"/>
  <c r="BC43" i="6" a="1"/>
  <c r="BC43" i="6" s="1"/>
  <c r="BC40" i="6" a="1"/>
  <c r="BC40" i="6" s="1"/>
  <c r="BV42" i="6" a="1"/>
  <c r="BV42" i="6" s="1"/>
  <c r="AO29" i="6"/>
  <c r="BD43" i="6" a="1"/>
  <c r="BD43" i="6" s="1"/>
  <c r="BV40" i="6" a="1"/>
  <c r="BV40" i="6" s="1"/>
  <c r="BD41" i="6" a="1"/>
  <c r="BD41" i="6" s="1"/>
  <c r="BV43" i="6" a="1"/>
  <c r="BV43" i="6" s="1"/>
  <c r="BV38" i="6" a="1"/>
  <c r="BV38" i="6" s="1"/>
  <c r="BC39" i="6" a="1"/>
  <c r="BC39" i="6" s="1"/>
  <c r="BV41" i="6" a="1"/>
  <c r="BV41" i="6" s="1"/>
  <c r="BC38" i="6" a="1"/>
  <c r="BC38" i="6" s="1"/>
  <c r="BD42" i="6" a="1"/>
  <c r="BD42" i="6" s="1"/>
  <c r="BD39" i="6" a="1"/>
  <c r="BD39" i="6" s="1"/>
  <c r="BC42" i="6" a="1"/>
  <c r="BC42" i="6" s="1"/>
  <c r="BV39" i="6" a="1"/>
  <c r="BV39" i="6" s="1"/>
  <c r="AJ32" i="6"/>
  <c r="AO27" i="6"/>
  <c r="O28" i="6"/>
  <c r="AC27" i="6"/>
  <c r="AO32" i="6"/>
  <c r="AQ30" i="6"/>
  <c r="AC32" i="6"/>
  <c r="AC31" i="6"/>
  <c r="AO30" i="6"/>
  <c r="AQ27" i="6"/>
  <c r="AI28" i="6"/>
  <c r="AI32" i="6"/>
  <c r="AK31" i="6"/>
  <c r="M30" i="6"/>
  <c r="AK30" i="6"/>
  <c r="O31" i="6"/>
  <c r="AI30" i="6"/>
  <c r="AK29" i="6"/>
  <c r="Y28" i="6"/>
  <c r="O30" i="6"/>
  <c r="I51" i="6" a="1"/>
  <c r="I51" i="6" s="1"/>
  <c r="AC28" i="6"/>
  <c r="AI29" i="6"/>
  <c r="Y27" i="6"/>
  <c r="R31" i="6"/>
  <c r="Y32" i="6"/>
  <c r="W30" i="6"/>
  <c r="Y31" i="6"/>
  <c r="X32" i="6"/>
  <c r="Y30" i="6"/>
  <c r="Y29" i="6"/>
  <c r="AD28" i="6"/>
  <c r="W29" i="6"/>
  <c r="X31" i="6"/>
  <c r="AE30" i="6"/>
  <c r="W28" i="6"/>
  <c r="W27" i="6"/>
  <c r="S29" i="6"/>
  <c r="M29" i="6"/>
  <c r="O29" i="6"/>
  <c r="AE32" i="6"/>
  <c r="AJ31" i="6"/>
  <c r="R28" i="6"/>
  <c r="N32" i="6"/>
  <c r="AJ28" i="6"/>
  <c r="S31" i="6"/>
  <c r="M32" i="6"/>
  <c r="S28" i="6"/>
  <c r="S32" i="6"/>
  <c r="T27" i="6"/>
  <c r="N31" i="6"/>
  <c r="AP32" i="6"/>
  <c r="R30" i="6"/>
  <c r="T32" i="6"/>
  <c r="AD31" i="6"/>
  <c r="AP31" i="6"/>
  <c r="O27" i="6"/>
  <c r="R29" i="6"/>
  <c r="S30" i="6"/>
  <c r="R27" i="6"/>
  <c r="N28" i="6"/>
  <c r="AP29" i="6"/>
  <c r="AP28" i="6"/>
  <c r="AD30" i="6"/>
  <c r="AE29" i="6"/>
  <c r="AD29" i="6"/>
  <c r="N27" i="6"/>
  <c r="AD27" i="6"/>
  <c r="BW39" i="6" a="1"/>
  <c r="BW39" i="6" s="1"/>
  <c r="BW40" i="6" a="1"/>
  <c r="BW40" i="6" s="1"/>
  <c r="BW43" i="6" a="1"/>
  <c r="BW43" i="6" s="1"/>
  <c r="BW38" i="6" a="1"/>
  <c r="BW38" i="6" s="1"/>
  <c r="BW42" i="6" a="1"/>
  <c r="BW42" i="6" s="1"/>
  <c r="BW41" i="6" a="1"/>
  <c r="BW41" i="6" s="1"/>
  <c r="G3" i="6"/>
  <c r="H3" i="6"/>
  <c r="AC23" i="6" s="1"/>
  <c r="I3" i="6"/>
  <c r="J3" i="6"/>
  <c r="K3" i="6"/>
  <c r="N23" i="6" s="1"/>
  <c r="G4" i="6"/>
  <c r="H4" i="6"/>
  <c r="AC24" i="6" s="1"/>
  <c r="I4" i="6"/>
  <c r="J4" i="6"/>
  <c r="R24" i="6" s="1"/>
  <c r="K4" i="6"/>
  <c r="N24" i="6" s="1"/>
  <c r="G5" i="6"/>
  <c r="H5" i="6"/>
  <c r="AC25" i="6" s="1"/>
  <c r="I5" i="6"/>
  <c r="W25" i="6" s="1"/>
  <c r="J5" i="6"/>
  <c r="R25" i="6" s="1"/>
  <c r="K5" i="6"/>
  <c r="N25" i="6" s="1"/>
  <c r="G6" i="6"/>
  <c r="H6" i="6"/>
  <c r="AC26" i="6" s="1"/>
  <c r="I6" i="6"/>
  <c r="Y26" i="6" s="1"/>
  <c r="J6" i="6"/>
  <c r="K6" i="6"/>
  <c r="K2" i="6"/>
  <c r="J2" i="6"/>
  <c r="G2" i="6"/>
  <c r="H2" i="6"/>
  <c r="I2" i="6"/>
  <c r="F3" i="6"/>
  <c r="F4" i="6"/>
  <c r="F5" i="6"/>
  <c r="F6" i="6"/>
  <c r="J2" i="1"/>
  <c r="K2" i="1"/>
  <c r="L2" i="1"/>
  <c r="M2" i="1"/>
  <c r="J3" i="1"/>
  <c r="K3" i="1"/>
  <c r="L3" i="1"/>
  <c r="M3" i="1"/>
  <c r="J4" i="1"/>
  <c r="K4" i="1"/>
  <c r="L4" i="1"/>
  <c r="M4" i="1"/>
  <c r="J5" i="1"/>
  <c r="K5" i="1"/>
  <c r="L5" i="1"/>
  <c r="M5" i="1"/>
  <c r="J6" i="1"/>
  <c r="K6" i="1"/>
  <c r="L6" i="1"/>
  <c r="M6" i="1"/>
  <c r="J7" i="1"/>
  <c r="K7" i="1"/>
  <c r="L7" i="1"/>
  <c r="M7" i="1"/>
  <c r="J8" i="1"/>
  <c r="K8" i="1"/>
  <c r="L8" i="1"/>
  <c r="M8" i="1"/>
  <c r="J9" i="1"/>
  <c r="K9" i="1"/>
  <c r="L9" i="1"/>
  <c r="M9" i="1"/>
  <c r="J10" i="1"/>
  <c r="K10" i="1"/>
  <c r="L10" i="1"/>
  <c r="M10" i="1"/>
  <c r="J11" i="1"/>
  <c r="K11" i="1"/>
  <c r="L11" i="1"/>
  <c r="M11" i="1"/>
  <c r="J12" i="1"/>
  <c r="K12" i="1"/>
  <c r="L12" i="1"/>
  <c r="M12" i="1"/>
  <c r="J13" i="1"/>
  <c r="K13" i="1"/>
  <c r="L13" i="1"/>
  <c r="M13" i="1"/>
  <c r="J14" i="1"/>
  <c r="K14" i="1"/>
  <c r="L14" i="1"/>
  <c r="M14" i="1"/>
  <c r="J15" i="1"/>
  <c r="K15" i="1"/>
  <c r="L15" i="1"/>
  <c r="M15" i="1"/>
  <c r="J16" i="1"/>
  <c r="K16" i="1"/>
  <c r="L16" i="1"/>
  <c r="M16" i="1"/>
  <c r="J17" i="1"/>
  <c r="K17" i="1"/>
  <c r="L17" i="1"/>
  <c r="M17" i="1"/>
  <c r="J18" i="1"/>
  <c r="K18" i="1"/>
  <c r="L18" i="1"/>
  <c r="M18" i="1"/>
  <c r="J19" i="1"/>
  <c r="K19" i="1"/>
  <c r="L19" i="1"/>
  <c r="M19" i="1"/>
  <c r="J20" i="1"/>
  <c r="K20" i="1"/>
  <c r="L20" i="1"/>
  <c r="M20" i="1"/>
  <c r="J21" i="1"/>
  <c r="K21" i="1"/>
  <c r="L21" i="1"/>
  <c r="M21" i="1"/>
  <c r="J22" i="1"/>
  <c r="K22" i="1"/>
  <c r="L22" i="1"/>
  <c r="M22" i="1"/>
  <c r="J23" i="1"/>
  <c r="K23" i="1"/>
  <c r="L23" i="1"/>
  <c r="M23" i="1"/>
  <c r="J24" i="1"/>
  <c r="K24" i="1"/>
  <c r="L24" i="1"/>
  <c r="M24" i="1"/>
  <c r="J25" i="1"/>
  <c r="K25" i="1"/>
  <c r="L25" i="1"/>
  <c r="M25" i="1"/>
  <c r="J26" i="1"/>
  <c r="K26" i="1"/>
  <c r="L26" i="1"/>
  <c r="M26" i="1"/>
  <c r="J27" i="1"/>
  <c r="K27" i="1"/>
  <c r="L27" i="1"/>
  <c r="M27" i="1"/>
  <c r="J28" i="1"/>
  <c r="K28" i="1"/>
  <c r="L28" i="1"/>
  <c r="M28" i="1"/>
  <c r="J29" i="1"/>
  <c r="K29" i="1"/>
  <c r="L29" i="1"/>
  <c r="M29" i="1"/>
  <c r="J30" i="1"/>
  <c r="K30" i="1"/>
  <c r="L30" i="1"/>
  <c r="M30" i="1"/>
  <c r="J31" i="1"/>
  <c r="K31" i="1"/>
  <c r="L31" i="1"/>
  <c r="M31" i="1"/>
  <c r="J32" i="1"/>
  <c r="K32" i="1"/>
  <c r="L32" i="1"/>
  <c r="M32" i="1"/>
  <c r="J33" i="1"/>
  <c r="K33" i="1"/>
  <c r="L33" i="1"/>
  <c r="M33" i="1"/>
  <c r="J34" i="1"/>
  <c r="K34" i="1"/>
  <c r="L34" i="1"/>
  <c r="M34" i="1"/>
  <c r="J35" i="1"/>
  <c r="K35" i="1"/>
  <c r="L35" i="1"/>
  <c r="M35" i="1"/>
  <c r="J36" i="1"/>
  <c r="K36" i="1"/>
  <c r="L36" i="1"/>
  <c r="M36" i="1"/>
  <c r="J37" i="1"/>
  <c r="K37" i="1"/>
  <c r="L37" i="1"/>
  <c r="M37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I24" i="6"/>
  <c r="I25" i="6"/>
  <c r="J24" i="6"/>
  <c r="J25" i="6"/>
  <c r="C25" i="6"/>
  <c r="C24" i="6"/>
  <c r="E23" i="6"/>
  <c r="E24" i="6"/>
  <c r="E25" i="6"/>
  <c r="AQ26" i="6" l="1"/>
  <c r="AO26" i="6"/>
  <c r="AQ25" i="6"/>
  <c r="AO25" i="6"/>
  <c r="AQ24" i="6"/>
  <c r="AO24" i="6"/>
  <c r="AO23" i="6"/>
  <c r="AP23" i="6"/>
  <c r="AQ23" i="6"/>
  <c r="I52" i="6" a="1"/>
  <c r="I52" i="6" s="1"/>
  <c r="AR4" i="6" s="1"/>
  <c r="AK24" i="6"/>
  <c r="AI24" i="6"/>
  <c r="AI26" i="6"/>
  <c r="AK26" i="6"/>
  <c r="AJ23" i="6"/>
  <c r="AI23" i="6"/>
  <c r="AK23" i="6"/>
  <c r="C51" i="6" a="1"/>
  <c r="C51" i="6" s="1"/>
  <c r="AQ3" i="6" s="1"/>
  <c r="AI25" i="6"/>
  <c r="AK25" i="6"/>
  <c r="I53" i="6" a="1"/>
  <c r="I53" i="6" s="1"/>
  <c r="AR5" i="6" s="1"/>
  <c r="AC51" i="6" a="1"/>
  <c r="AC51" i="6" s="1"/>
  <c r="C53" i="6" a="1"/>
  <c r="C53" i="6" s="1"/>
  <c r="AQ5" i="6" s="1"/>
  <c r="X24" i="6"/>
  <c r="W24" i="6"/>
  <c r="W26" i="6"/>
  <c r="X23" i="6"/>
  <c r="W23" i="6"/>
  <c r="X51" i="6" s="1" a="1"/>
  <c r="X51" i="6" s="1"/>
  <c r="S23" i="6"/>
  <c r="T26" i="6"/>
  <c r="R26" i="6"/>
  <c r="M26" i="6"/>
  <c r="N26" i="6"/>
  <c r="N52" i="6" s="1" a="1"/>
  <c r="N52" i="6" s="1"/>
  <c r="O26" i="6"/>
  <c r="AD26" i="6"/>
  <c r="AE26" i="6"/>
  <c r="AJ26" i="6"/>
  <c r="X26" i="6"/>
  <c r="S26" i="6"/>
  <c r="AP26" i="6"/>
  <c r="AR3" i="6"/>
  <c r="AJ24" i="6"/>
  <c r="AP25" i="6"/>
  <c r="AD25" i="6"/>
  <c r="AE25" i="6"/>
  <c r="AP24" i="6"/>
  <c r="AJ25" i="6"/>
  <c r="AD23" i="6"/>
  <c r="AE23" i="6"/>
  <c r="M25" i="6"/>
  <c r="M24" i="6"/>
  <c r="O25" i="6"/>
  <c r="AE24" i="6"/>
  <c r="AD24" i="6"/>
  <c r="O24" i="6"/>
  <c r="T24" i="6"/>
  <c r="S24" i="6"/>
  <c r="T25" i="6"/>
  <c r="S25" i="6"/>
  <c r="M23" i="6"/>
  <c r="O23" i="6"/>
  <c r="N53" i="6" s="1" a="1"/>
  <c r="N53" i="6" s="1"/>
  <c r="Y24" i="6"/>
  <c r="X25" i="6"/>
  <c r="Y25" i="6"/>
  <c r="T23" i="6"/>
  <c r="Y23" i="6"/>
  <c r="D23" i="6"/>
  <c r="C52" i="6" s="1" a="1"/>
  <c r="C52" i="6" s="1"/>
  <c r="D24" i="6"/>
  <c r="D25" i="6"/>
  <c r="AC53" i="6" l="1" a="1"/>
  <c r="AC53" i="6" s="1"/>
  <c r="AJ53" i="6" a="1"/>
  <c r="AJ53" i="6" s="1"/>
  <c r="AP53" i="6" a="1"/>
  <c r="AP53" i="6" s="1"/>
  <c r="AC52" i="6" a="1"/>
  <c r="AC52" i="6" s="1"/>
  <c r="AV4" i="6" s="1"/>
  <c r="R52" i="6" a="1"/>
  <c r="R52" i="6" s="1"/>
  <c r="AT4" i="6" s="1"/>
  <c r="AJ51" i="6" a="1"/>
  <c r="AJ51" i="6" s="1"/>
  <c r="AW3" i="6" s="1"/>
  <c r="X52" i="6" a="1"/>
  <c r="X52" i="6" s="1"/>
  <c r="AU4" i="6" s="1"/>
  <c r="AJ52" i="6" a="1"/>
  <c r="AJ52" i="6" s="1"/>
  <c r="AW4" i="6" s="1"/>
  <c r="X53" i="6" a="1"/>
  <c r="X53" i="6" s="1"/>
  <c r="AU5" i="6" s="1"/>
  <c r="R53" i="6" a="1"/>
  <c r="R53" i="6" s="1"/>
  <c r="AT5" i="6" s="1"/>
  <c r="N51" i="6" a="1"/>
  <c r="N51" i="6" s="1"/>
  <c r="AS3" i="6" s="1"/>
  <c r="R51" i="6" a="1"/>
  <c r="R51" i="6" s="1"/>
  <c r="AT3" i="6" s="1"/>
  <c r="AS4" i="6"/>
  <c r="AQ4" i="6"/>
  <c r="AP52" i="6" a="1"/>
  <c r="AP52" i="6" s="1"/>
  <c r="AX4" i="6" s="1"/>
  <c r="AP51" i="6" a="1"/>
  <c r="AP51" i="6" s="1"/>
  <c r="AX3" i="6" s="1"/>
  <c r="AU3" i="6"/>
  <c r="AV5" i="6"/>
  <c r="AV3" i="6"/>
  <c r="AS5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<sst xmlns="http://schemas.openxmlformats.org/spreadsheetml/2006/main" count="451" uniqueCount="149">
  <si>
    <t>Particle #</t>
  </si>
  <si>
    <t>Size (mm)</t>
  </si>
  <si>
    <t>Aprox Time Start</t>
  </si>
  <si>
    <t>Aprox Time End</t>
  </si>
  <si>
    <t>Flood 1</t>
  </si>
  <si>
    <t>Flood 2</t>
  </si>
  <si>
    <t>Flood 3</t>
  </si>
  <si>
    <t>Flood 4</t>
  </si>
  <si>
    <t>Flood 5</t>
  </si>
  <si>
    <t>Pipe</t>
  </si>
  <si>
    <t>Hydrophone</t>
  </si>
  <si>
    <t>Max Size</t>
  </si>
  <si>
    <t>Tracers</t>
  </si>
  <si>
    <t>Bedload</t>
  </si>
  <si>
    <t>H1</t>
  </si>
  <si>
    <t>H4</t>
  </si>
  <si>
    <t>Flood 6</t>
  </si>
  <si>
    <t>Flood 7</t>
  </si>
  <si>
    <t>Flood 8</t>
  </si>
  <si>
    <t>Flood 9</t>
  </si>
  <si>
    <t>Env Max Amplitude</t>
  </si>
  <si>
    <t>Raw Max Amplitude</t>
  </si>
  <si>
    <t>max_amp</t>
  </si>
  <si>
    <t>mean_amp</t>
  </si>
  <si>
    <t>median_amp</t>
  </si>
  <si>
    <t>ch6_imp</t>
  </si>
  <si>
    <t>ch5_imp</t>
  </si>
  <si>
    <t>ch4_imp</t>
  </si>
  <si>
    <t>ch3_imp</t>
  </si>
  <si>
    <t>ch2_imp</t>
  </si>
  <si>
    <t>ch1_imp</t>
  </si>
  <si>
    <t>ch6_mean</t>
  </si>
  <si>
    <t>ch5_mean</t>
  </si>
  <si>
    <t>ch4_mean</t>
  </si>
  <si>
    <t>ch3_mean</t>
  </si>
  <si>
    <t>ch2_mean</t>
  </si>
  <si>
    <t>ch1_mean</t>
  </si>
  <si>
    <t>Total Impact Window</t>
  </si>
  <si>
    <t xml:space="preserve">Max Amp (Hil) </t>
  </si>
  <si>
    <t>Max Amp (Rect)</t>
  </si>
  <si>
    <t>Mean Amp (Hil)</t>
  </si>
  <si>
    <t>Mean Amp (Rect)</t>
  </si>
  <si>
    <t>Med Amp (Hil)</t>
  </si>
  <si>
    <t>Med Amp (Rect)</t>
  </si>
  <si>
    <t>Linear</t>
  </si>
  <si>
    <t>Power</t>
  </si>
  <si>
    <t xml:space="preserve">Log </t>
  </si>
  <si>
    <t>Number of Impulses</t>
  </si>
  <si>
    <t xml:space="preserve">Mean Amplitude Above Treshold (2V) </t>
  </si>
  <si>
    <t>Linear (Hil)</t>
  </si>
  <si>
    <t>Linear (Rect)</t>
  </si>
  <si>
    <t>Log (Hil)</t>
  </si>
  <si>
    <t>Log (Rect)</t>
  </si>
  <si>
    <t>Power (Hil)</t>
  </si>
  <si>
    <t>Power (Rect)</t>
  </si>
  <si>
    <t>ch1</t>
  </si>
  <si>
    <t>ch2</t>
  </si>
  <si>
    <t>ch3</t>
  </si>
  <si>
    <t>ch4</t>
  </si>
  <si>
    <t>ch5</t>
  </si>
  <si>
    <t>ch6</t>
  </si>
  <si>
    <t>Hilbert Env</t>
  </si>
  <si>
    <t>ch6_median</t>
  </si>
  <si>
    <t>ch5_median</t>
  </si>
  <si>
    <t>ch4_median</t>
  </si>
  <si>
    <t>ch3_median</t>
  </si>
  <si>
    <t>ch2_median</t>
  </si>
  <si>
    <t>ch1_median</t>
  </si>
  <si>
    <t>flood1</t>
  </si>
  <si>
    <t>flood2</t>
  </si>
  <si>
    <t>flood3</t>
  </si>
  <si>
    <t>flood4</t>
  </si>
  <si>
    <t>flood5</t>
  </si>
  <si>
    <t>time (s)</t>
  </si>
  <si>
    <t>Max Amp (V)</t>
  </si>
  <si>
    <t xml:space="preserve">Mean Amp (V) </t>
  </si>
  <si>
    <t>Med Amp (V)</t>
  </si>
  <si>
    <t>Experiment</t>
  </si>
  <si>
    <t>Measured Dmax</t>
  </si>
  <si>
    <t>Dmax - Max Amp (2)</t>
  </si>
  <si>
    <t>Dmax - Mean Amp (2)</t>
  </si>
  <si>
    <t>Dmax - Max Amp (3)</t>
  </si>
  <si>
    <t>Max Amp - Dmax (1)</t>
  </si>
  <si>
    <t xml:space="preserve">RMSE </t>
  </si>
  <si>
    <t>Max Amp</t>
  </si>
  <si>
    <t>linear</t>
  </si>
  <si>
    <t>power</t>
  </si>
  <si>
    <t>Over the whole sampling period</t>
  </si>
  <si>
    <t>ch6_max</t>
  </si>
  <si>
    <t>ch5_max</t>
  </si>
  <si>
    <t>ch4_max</t>
  </si>
  <si>
    <t>ch3_max</t>
  </si>
  <si>
    <t>ch2_max</t>
  </si>
  <si>
    <t>ch1_max</t>
  </si>
  <si>
    <t>Dmax - Mean Amp (3)</t>
  </si>
  <si>
    <t>Mean Amp - Dmax (1)</t>
  </si>
  <si>
    <t>Mean Amp</t>
  </si>
  <si>
    <t>ch6_imp/s</t>
  </si>
  <si>
    <t>ch6 imp/s</t>
  </si>
  <si>
    <t>ch5 imp/s</t>
  </si>
  <si>
    <t>ch4 imp/s</t>
  </si>
  <si>
    <t>ch3 imp/s</t>
  </si>
  <si>
    <t>ch1 imp/s</t>
  </si>
  <si>
    <t>ch2 imp/s</t>
  </si>
  <si>
    <t>ch5_imp/s</t>
  </si>
  <si>
    <t>ch4_imp/s</t>
  </si>
  <si>
    <t>ch3_imp/s</t>
  </si>
  <si>
    <t>ch2_imp/s</t>
  </si>
  <si>
    <t>ch1_imp/s</t>
  </si>
  <si>
    <t>Imp/s - Dmax (1)</t>
  </si>
  <si>
    <t>Dmax - Imp/s (2)</t>
  </si>
  <si>
    <t>Dmax - Imp/s (3)</t>
  </si>
  <si>
    <t>Ch1 (x1024)</t>
  </si>
  <si>
    <t>Ch2 (x256)</t>
  </si>
  <si>
    <t>Over the whole sampling period (Imp/s)</t>
  </si>
  <si>
    <t>Ch3 (x64)</t>
  </si>
  <si>
    <t>Ch4 (x16)</t>
  </si>
  <si>
    <t>-</t>
  </si>
  <si>
    <t>Ch5 (x4)</t>
  </si>
  <si>
    <t>Ch6 (x1)</t>
  </si>
  <si>
    <t>Ch1</t>
  </si>
  <si>
    <t>Ch2</t>
  </si>
  <si>
    <t>Ch3</t>
  </si>
  <si>
    <t>Ch4</t>
  </si>
  <si>
    <t>Ch5</t>
  </si>
  <si>
    <t>Ch6</t>
  </si>
  <si>
    <t>RMSE</t>
  </si>
  <si>
    <t>Amplitude</t>
  </si>
  <si>
    <t>Max</t>
  </si>
  <si>
    <t>Mean</t>
  </si>
  <si>
    <t>Solve</t>
  </si>
  <si>
    <t>Max Amp by Channel</t>
  </si>
  <si>
    <t>Events</t>
  </si>
  <si>
    <t>ST1</t>
  </si>
  <si>
    <t>ST2</t>
  </si>
  <si>
    <t>ST3</t>
  </si>
  <si>
    <t>ST4</t>
  </si>
  <si>
    <t>ST5</t>
  </si>
  <si>
    <t>ST6</t>
  </si>
  <si>
    <t>ST7</t>
  </si>
  <si>
    <t>SP1</t>
  </si>
  <si>
    <t>SP2</t>
  </si>
  <si>
    <t>SP3</t>
  </si>
  <si>
    <t>SP4</t>
  </si>
  <si>
    <r>
      <t xml:space="preserve">Max Amplitude by Channel: </t>
    </r>
    <r>
      <rPr>
        <b/>
        <sz val="11"/>
        <color theme="1"/>
        <rFont val="Calibri"/>
        <family val="2"/>
        <scheme val="minor"/>
      </rPr>
      <t>Linear</t>
    </r>
  </si>
  <si>
    <r>
      <t xml:space="preserve">Max Amplitude by Channel: </t>
    </r>
    <r>
      <rPr>
        <b/>
        <sz val="11"/>
        <color theme="1"/>
        <rFont val="Calibri"/>
        <family val="2"/>
        <scheme val="minor"/>
      </rPr>
      <t>Power</t>
    </r>
  </si>
  <si>
    <r>
      <t xml:space="preserve">Mean Amplitude by Channel: </t>
    </r>
    <r>
      <rPr>
        <b/>
        <sz val="11"/>
        <color theme="1"/>
        <rFont val="Calibri"/>
        <family val="2"/>
        <scheme val="minor"/>
      </rPr>
      <t>Power</t>
    </r>
  </si>
  <si>
    <r>
      <t xml:space="preserve">Mean Amplitude by Channel: </t>
    </r>
    <r>
      <rPr>
        <b/>
        <sz val="11"/>
        <color theme="1"/>
        <rFont val="Calibri"/>
        <family val="2"/>
        <scheme val="minor"/>
      </rPr>
      <t>Linear</t>
    </r>
  </si>
  <si>
    <t>Only during impulse (threshold exceedance)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</si>
</sst>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"/>
    <numFmt numFmtId="165" formatCode="0.000"/>
  </numFmts>
  <fonts count="9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ptos Narrow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9" borderId="0" xfId="0" applyFill="1" applyAlignment="1">
      <alignment horizontal="center" vertical="center" wrapText="1"/>
    </xf>
    <xf numFmtId="2" fontId="0" fillId="9" borderId="0" xfId="0" applyNumberFormat="1" applyFill="1" applyAlignment="1">
      <alignment horizontal="center"/>
    </xf>
    <xf numFmtId="0" fontId="0" fillId="0" borderId="0" xfId="0" applyAlignment="1">
      <alignment horizontal="right"/>
    </xf>
    <xf numFmtId="0" fontId="0" fillId="6" borderId="0" xfId="0" applyFill="1" applyAlignment="1">
      <alignment horizontal="right"/>
    </xf>
    <xf numFmtId="0" fontId="0" fillId="7" borderId="0" xfId="0" applyFill="1" applyAlignment="1">
      <alignment horizontal="right"/>
    </xf>
    <xf numFmtId="0" fontId="0" fillId="5" borderId="0" xfId="0" applyFill="1" applyAlignment="1">
      <alignment horizontal="right"/>
    </xf>
    <xf numFmtId="0" fontId="0" fillId="8" borderId="0" xfId="0" applyFill="1" applyAlignment="1">
      <alignment horizontal="right"/>
    </xf>
    <xf numFmtId="0" fontId="0" fillId="9" borderId="0" xfId="0" applyFill="1"/>
    <xf numFmtId="0" fontId="0" fillId="9" borderId="0" xfId="0" applyFill="1" applyAlignment="1">
      <alignment horizontal="center"/>
    </xf>
    <xf numFmtId="165" fontId="0" fillId="9" borderId="0" xfId="0" applyNumberFormat="1" applyFill="1" applyAlignment="1">
      <alignment horizontal="center"/>
    </xf>
    <xf numFmtId="2" fontId="0" fillId="0" borderId="0" xfId="0" applyNumberFormat="1"/>
    <xf numFmtId="11" fontId="0" fillId="0" borderId="0" xfId="0" applyNumberFormat="1" applyAlignment="1">
      <alignment horizontal="center"/>
    </xf>
    <xf numFmtId="11" fontId="0" fillId="5" borderId="0" xfId="0" applyNumberFormat="1" applyFill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/>
    </xf>
    <xf numFmtId="2" fontId="0" fillId="10" borderId="0" xfId="0" applyNumberFormat="1" applyFill="1" applyAlignment="1">
      <alignment horizontal="center"/>
    </xf>
    <xf numFmtId="2" fontId="3" fillId="10" borderId="0" xfId="0" applyNumberFormat="1" applyFont="1" applyFill="1" applyAlignment="1">
      <alignment horizontal="center"/>
    </xf>
    <xf numFmtId="0" fontId="4" fillId="0" borderId="0" xfId="0" applyFont="1" applyAlignment="1">
      <alignment horizontal="center" vertical="center" wrapText="1"/>
    </xf>
    <xf numFmtId="2" fontId="3" fillId="6" borderId="0" xfId="0" applyNumberFormat="1" applyFont="1" applyFill="1" applyAlignment="1">
      <alignment horizontal="center"/>
    </xf>
    <xf numFmtId="0" fontId="0" fillId="11" borderId="0" xfId="0" applyFill="1" applyAlignment="1">
      <alignment horizontal="center" vertical="center" wrapText="1"/>
    </xf>
    <xf numFmtId="0" fontId="0" fillId="11" borderId="0" xfId="0" applyFill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0" fontId="7" fillId="1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5" fillId="10" borderId="0" xfId="0" applyFont="1" applyFill="1" applyAlignment="1">
      <alignment horizontal="center"/>
    </xf>
    <xf numFmtId="43" fontId="0" fillId="0" borderId="0" xfId="1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Fill="1" applyAlignment="1">
      <alignment horizontal="center"/>
    </xf>
    <xf numFmtId="0" fontId="3" fillId="0" borderId="0" xfId="0" applyFont="1" applyFill="1" applyAlignment="1">
      <alignment horizontal="center"/>
    </xf>
    <xf numFmtId="0" fontId="0" fillId="0" borderId="0" xfId="0" applyFill="1"/>
    <xf numFmtId="2" fontId="3" fillId="0" borderId="0" xfId="0" applyNumberFormat="1" applyFont="1" applyFill="1" applyAlignment="1">
      <alignment horizontal="center"/>
    </xf>
    <xf numFmtId="2" fontId="0" fillId="0" borderId="0" xfId="0" applyNumberFormat="1" applyFill="1" applyAlignment="1">
      <alignment horizontal="center"/>
    </xf>
    <xf numFmtId="11" fontId="0" fillId="0" borderId="0" xfId="0" applyNumberFormat="1" applyFill="1" applyAlignment="1">
      <alignment horizontal="center"/>
    </xf>
    <xf numFmtId="2" fontId="0" fillId="0" borderId="0" xfId="0" applyNumberForma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A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Amax </a:t>
            </a:r>
            <a:r>
              <a:rPr lang="en-US" baseline="0"/>
              <a:t>vs Dmax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mov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'hilbert envelope'!$B$2:$B$25</c:f>
              <c:numCache>
                <c:formatCode>General</c:formatCode>
                <c:ptCount val="24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</c:numCache>
            </c:numRef>
          </c:xVal>
          <c:yVal>
            <c:numRef>
              <c:f>'hilbert envelope'!$E$2:$E$25</c:f>
              <c:numCache>
                <c:formatCode>0.0000</c:formatCode>
                <c:ptCount val="24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6">
                  <c:v>6.2688332148029005E-2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13">
                  <c:v>2.2481115003792299E-2</c:v>
                </c:pt>
                <c:pt idx="14">
                  <c:v>1.09573532088619E-2</c:v>
                </c:pt>
                <c:pt idx="15">
                  <c:v>2.2279504588702301E-2</c:v>
                </c:pt>
                <c:pt idx="16">
                  <c:v>1.0897008883362201E-2</c:v>
                </c:pt>
                <c:pt idx="17">
                  <c:v>1.13162316396569E-2</c:v>
                </c:pt>
                <c:pt idx="18">
                  <c:v>2.4554138346802101E-2</c:v>
                </c:pt>
                <c:pt idx="19">
                  <c:v>1.6195175632876601E-2</c:v>
                </c:pt>
                <c:pt idx="20">
                  <c:v>1.06254875376059E-2</c:v>
                </c:pt>
                <c:pt idx="21">
                  <c:v>5.4104257016193398E-3</c:v>
                </c:pt>
                <c:pt idx="22">
                  <c:v>5.4074185586351197E-3</c:v>
                </c:pt>
                <c:pt idx="23">
                  <c:v>6.9634801117522301E-3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F7C-4D93-9FF8-AE77C53E1B22}"/>
            </c:ext>
          </c:extLst>
        </c:ser>
        <c:ser>
          <c:idx val="2"/>
          <c:order val="1"/>
          <c:tx>
            <c:v>mov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Pt>
            <c:idx val="34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1225-42D2-9069-B6468A8E23C9}"/>
              </c:ext>
            </c:extLst>
          </c:dPt>
          <c:xVal>
            <c:numRef>
              <c:f>'hilbert envelope'!$B$26:$B$37</c:f>
              <c:numCache>
                <c:formatCode>General</c:formatCode>
                <c:ptCount val="12"/>
                <c:pt idx="0">
                  <c:v>32</c:v>
                </c:pt>
                <c:pt idx="1">
                  <c:v>32</c:v>
                </c:pt>
                <c:pt idx="2">
                  <c:v>32</c:v>
                </c:pt>
                <c:pt idx="3">
                  <c:v>45</c:v>
                </c:pt>
                <c:pt idx="4">
                  <c:v>45</c:v>
                </c:pt>
                <c:pt idx="5">
                  <c:v>45</c:v>
                </c:pt>
                <c:pt idx="6">
                  <c:v>64</c:v>
                </c:pt>
                <c:pt idx="7">
                  <c:v>64</c:v>
                </c:pt>
                <c:pt idx="8">
                  <c:v>64</c:v>
                </c:pt>
                <c:pt idx="9">
                  <c:v>90</c:v>
                </c:pt>
                <c:pt idx="10">
                  <c:v>90</c:v>
                </c:pt>
                <c:pt idx="11">
                  <c:v>90</c:v>
                </c:pt>
              </c:numCache>
            </c:numRef>
          </c:xVal>
          <c:yVal>
            <c:numRef>
              <c:f>'hilbert envelope'!$E$26:$E$37</c:f>
              <c:numCache>
                <c:formatCode>0.0000</c:formatCode>
                <c:ptCount val="12"/>
                <c:pt idx="0">
                  <c:v>1.40031756933689E-2</c:v>
                </c:pt>
                <c:pt idx="1">
                  <c:v>1.0890800850407899E-2</c:v>
                </c:pt>
                <c:pt idx="2">
                  <c:v>2.3197934886697399E-2</c:v>
                </c:pt>
                <c:pt idx="3">
                  <c:v>3.5345925929864103E-2</c:v>
                </c:pt>
                <c:pt idx="4">
                  <c:v>2.4016207968108199E-2</c:v>
                </c:pt>
                <c:pt idx="5">
                  <c:v>1.9422121419342901E-2</c:v>
                </c:pt>
                <c:pt idx="6">
                  <c:v>0.12653412852816501</c:v>
                </c:pt>
                <c:pt idx="7">
                  <c:v>5.1502950973667999E-2</c:v>
                </c:pt>
                <c:pt idx="8">
                  <c:v>5.04335454776157E-2</c:v>
                </c:pt>
                <c:pt idx="9">
                  <c:v>9.6840712231762202E-2</c:v>
                </c:pt>
                <c:pt idx="10">
                  <c:v>4.1669974213015902E-2</c:v>
                </c:pt>
                <c:pt idx="11">
                  <c:v>6.5041528765672305E-2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F7C-4D93-9FF8-AE77C53E1B22}"/>
            </c:ext>
          </c:extLst>
        </c:ser>
        <c:ser>
          <c:idx val="0"/>
          <c:order val="2"/>
          <c:tx>
            <c:v>total</c:v>
          </c:tx>
          <c:spPr>
            <a:ln w="25400" cap="rnd">
              <a:noFill/>
              <a:round/>
            </a:ln>
            <a:effectLst/>
          </c:spPr>
          <c:marker>
            <c:symbol val="dot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1.9180329874064924E-2"/>
                  <c:y val="0.24884582823098897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8888571955463971E-2"/>
                  <c:y val="0.36449907306748014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envelope'!$B$2:$B$40</c:f>
              <c:numCache>
                <c:formatCode>General</c:formatCode>
                <c:ptCount val="39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envelope'!$E$2:$E$37</c:f>
              <c:numCache>
                <c:formatCode>0.0000</c:formatCode>
                <c:ptCount val="36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6">
                  <c:v>6.2688332148029005E-2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13">
                  <c:v>2.2481115003792299E-2</c:v>
                </c:pt>
                <c:pt idx="14">
                  <c:v>1.09573532088619E-2</c:v>
                </c:pt>
                <c:pt idx="15">
                  <c:v>2.2279504588702301E-2</c:v>
                </c:pt>
                <c:pt idx="16">
                  <c:v>1.0897008883362201E-2</c:v>
                </c:pt>
                <c:pt idx="17">
                  <c:v>1.13162316396569E-2</c:v>
                </c:pt>
                <c:pt idx="18">
                  <c:v>2.4554138346802101E-2</c:v>
                </c:pt>
                <c:pt idx="19">
                  <c:v>1.6195175632876601E-2</c:v>
                </c:pt>
                <c:pt idx="20">
                  <c:v>1.06254875376059E-2</c:v>
                </c:pt>
                <c:pt idx="21">
                  <c:v>5.4104257016193398E-3</c:v>
                </c:pt>
                <c:pt idx="22">
                  <c:v>5.4074185586351197E-3</c:v>
                </c:pt>
                <c:pt idx="23">
                  <c:v>6.9634801117522301E-3</c:v>
                </c:pt>
                <c:pt idx="24">
                  <c:v>1.40031756933689E-2</c:v>
                </c:pt>
                <c:pt idx="25">
                  <c:v>1.0890800850407899E-2</c:v>
                </c:pt>
                <c:pt idx="26">
                  <c:v>2.3197934886697399E-2</c:v>
                </c:pt>
                <c:pt idx="27">
                  <c:v>3.5345925929864103E-2</c:v>
                </c:pt>
                <c:pt idx="28">
                  <c:v>2.4016207968108199E-2</c:v>
                </c:pt>
                <c:pt idx="29">
                  <c:v>1.9422121419342901E-2</c:v>
                </c:pt>
                <c:pt idx="30">
                  <c:v>0.12653412852816501</c:v>
                </c:pt>
                <c:pt idx="31">
                  <c:v>5.1502950973667999E-2</c:v>
                </c:pt>
                <c:pt idx="32">
                  <c:v>5.04335454776157E-2</c:v>
                </c:pt>
                <c:pt idx="33">
                  <c:v>9.6840712231762202E-2</c:v>
                </c:pt>
                <c:pt idx="34">
                  <c:v>4.1669974213015902E-2</c:v>
                </c:pt>
                <c:pt idx="35">
                  <c:v>6.5041528765672305E-2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B6-4F99-BA73-E5CB745AC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Amplitude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Amean </a:t>
            </a:r>
            <a:r>
              <a:rPr lang="en-US" baseline="0"/>
              <a:t>vs Dmax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Movement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'hilbert envelope'!$B$2:$B$25</c:f>
              <c:numCache>
                <c:formatCode>General</c:formatCode>
                <c:ptCount val="24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</c:numCache>
            </c:numRef>
          </c:xVal>
          <c:yVal>
            <c:numRef>
              <c:f>'hilbert envelope'!$F$2:$F$25</c:f>
              <c:numCache>
                <c:formatCode>0.0000</c:formatCode>
                <c:ptCount val="24"/>
                <c:pt idx="0">
                  <c:v>3.3154403752457901E-2</c:v>
                </c:pt>
                <c:pt idx="1">
                  <c:v>1.43345982575964E-2</c:v>
                </c:pt>
                <c:pt idx="2">
                  <c:v>3.2526116479269097E-2</c:v>
                </c:pt>
                <c:pt idx="3">
                  <c:v>2.1060905578879598E-2</c:v>
                </c:pt>
                <c:pt idx="4">
                  <c:v>1.9737041545963101E-2</c:v>
                </c:pt>
                <c:pt idx="5">
                  <c:v>2.3629413923689099E-2</c:v>
                </c:pt>
                <c:pt idx="6">
                  <c:v>1.8357479777712401E-2</c:v>
                </c:pt>
                <c:pt idx="7">
                  <c:v>2.3869849132825499E-2</c:v>
                </c:pt>
                <c:pt idx="8">
                  <c:v>2.3352349155409499E-2</c:v>
                </c:pt>
                <c:pt idx="9">
                  <c:v>1.9277468694701001E-2</c:v>
                </c:pt>
                <c:pt idx="10">
                  <c:v>1.50358559887077E-2</c:v>
                </c:pt>
                <c:pt idx="11">
                  <c:v>1.6430974908246999E-2</c:v>
                </c:pt>
                <c:pt idx="12">
                  <c:v>1.4478880481023E-2</c:v>
                </c:pt>
                <c:pt idx="13">
                  <c:v>9.1860908476934702E-3</c:v>
                </c:pt>
                <c:pt idx="14">
                  <c:v>4.9905746416529098E-3</c:v>
                </c:pt>
                <c:pt idx="15">
                  <c:v>9.4453501582737708E-3</c:v>
                </c:pt>
                <c:pt idx="16">
                  <c:v>7.27047978157239E-3</c:v>
                </c:pt>
                <c:pt idx="17">
                  <c:v>6.77105129691932E-3</c:v>
                </c:pt>
                <c:pt idx="18">
                  <c:v>8.2745106205033593E-3</c:v>
                </c:pt>
                <c:pt idx="19">
                  <c:v>8.7837172608482301E-3</c:v>
                </c:pt>
                <c:pt idx="20">
                  <c:v>5.3979442955963304E-3</c:v>
                </c:pt>
                <c:pt idx="21">
                  <c:v>4.2237913969842902E-3</c:v>
                </c:pt>
                <c:pt idx="22">
                  <c:v>3.7739188928974099E-3</c:v>
                </c:pt>
                <c:pt idx="23">
                  <c:v>4.7306891897243297E-3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64-4310-B45A-94DB5772C795}"/>
            </c:ext>
          </c:extLst>
        </c:ser>
        <c:ser>
          <c:idx val="2"/>
          <c:order val="1"/>
          <c:tx>
            <c:v>Movement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Pt>
            <c:idx val="34"/>
            <c:marker>
              <c:symbol val="dot"/>
              <c:size val="3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AE64-4310-B45A-94DB5772C795}"/>
              </c:ext>
            </c:extLst>
          </c:dPt>
          <c:xVal>
            <c:numRef>
              <c:f>'hilbert envelope'!$B$26:$B$37</c:f>
              <c:numCache>
                <c:formatCode>General</c:formatCode>
                <c:ptCount val="12"/>
                <c:pt idx="0">
                  <c:v>32</c:v>
                </c:pt>
                <c:pt idx="1">
                  <c:v>32</c:v>
                </c:pt>
                <c:pt idx="2">
                  <c:v>32</c:v>
                </c:pt>
                <c:pt idx="3">
                  <c:v>45</c:v>
                </c:pt>
                <c:pt idx="4">
                  <c:v>45</c:v>
                </c:pt>
                <c:pt idx="5">
                  <c:v>45</c:v>
                </c:pt>
                <c:pt idx="6">
                  <c:v>64</c:v>
                </c:pt>
                <c:pt idx="7">
                  <c:v>64</c:v>
                </c:pt>
                <c:pt idx="8">
                  <c:v>64</c:v>
                </c:pt>
                <c:pt idx="9">
                  <c:v>90</c:v>
                </c:pt>
                <c:pt idx="10">
                  <c:v>90</c:v>
                </c:pt>
                <c:pt idx="11">
                  <c:v>90</c:v>
                </c:pt>
              </c:numCache>
            </c:numRef>
          </c:xVal>
          <c:yVal>
            <c:numRef>
              <c:f>'hilbert envelope'!$F$26:$F$37</c:f>
              <c:numCache>
                <c:formatCode>0.0000</c:formatCode>
                <c:ptCount val="12"/>
                <c:pt idx="0">
                  <c:v>5.6784984243662398E-3</c:v>
                </c:pt>
                <c:pt idx="1">
                  <c:v>4.8212415579803897E-3</c:v>
                </c:pt>
                <c:pt idx="2">
                  <c:v>9.1426900455134907E-3</c:v>
                </c:pt>
                <c:pt idx="3">
                  <c:v>7.8507383881498607E-3</c:v>
                </c:pt>
                <c:pt idx="4">
                  <c:v>6.5149661727545603E-3</c:v>
                </c:pt>
                <c:pt idx="5">
                  <c:v>7.5773751595888898E-3</c:v>
                </c:pt>
                <c:pt idx="6">
                  <c:v>1.5222331559222001E-2</c:v>
                </c:pt>
                <c:pt idx="7">
                  <c:v>1.37528556522491E-2</c:v>
                </c:pt>
                <c:pt idx="8">
                  <c:v>9.8602655911611495E-3</c:v>
                </c:pt>
                <c:pt idx="9">
                  <c:v>2.94139388502281E-2</c:v>
                </c:pt>
                <c:pt idx="10">
                  <c:v>9.9725509064199202E-3</c:v>
                </c:pt>
                <c:pt idx="11">
                  <c:v>1.5521667521925899E-2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E64-4310-B45A-94DB5772C795}"/>
            </c:ext>
          </c:extLst>
        </c:ser>
        <c:ser>
          <c:idx val="0"/>
          <c:order val="2"/>
          <c:tx>
            <c:v>total</c:v>
          </c:tx>
          <c:spPr>
            <a:ln w="19050" cap="rnd">
              <a:noFill/>
              <a:round/>
            </a:ln>
            <a:effectLst/>
          </c:spPr>
          <c:marker>
            <c:symbol val="dot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5277231094746644"/>
                  <c:y val="-0.19893591264595567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1973941474636344"/>
                  <c:y val="-8.462780962998101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envelope'!$B$2:$B$40</c:f>
              <c:numCache>
                <c:formatCode>General</c:formatCode>
                <c:ptCount val="39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envelope'!$F$2:$F$40</c:f>
              <c:numCache>
                <c:formatCode>0.0000</c:formatCode>
                <c:ptCount val="39"/>
                <c:pt idx="0">
                  <c:v>3.3154403752457901E-2</c:v>
                </c:pt>
                <c:pt idx="1">
                  <c:v>1.43345982575964E-2</c:v>
                </c:pt>
                <c:pt idx="2">
                  <c:v>3.2526116479269097E-2</c:v>
                </c:pt>
                <c:pt idx="3">
                  <c:v>2.1060905578879598E-2</c:v>
                </c:pt>
                <c:pt idx="4">
                  <c:v>1.9737041545963101E-2</c:v>
                </c:pt>
                <c:pt idx="5">
                  <c:v>2.3629413923689099E-2</c:v>
                </c:pt>
                <c:pt idx="6">
                  <c:v>1.8357479777712401E-2</c:v>
                </c:pt>
                <c:pt idx="7">
                  <c:v>2.3869849132825499E-2</c:v>
                </c:pt>
                <c:pt idx="8">
                  <c:v>2.3352349155409499E-2</c:v>
                </c:pt>
                <c:pt idx="9">
                  <c:v>1.9277468694701001E-2</c:v>
                </c:pt>
                <c:pt idx="10">
                  <c:v>1.50358559887077E-2</c:v>
                </c:pt>
                <c:pt idx="11">
                  <c:v>1.6430974908246999E-2</c:v>
                </c:pt>
                <c:pt idx="12">
                  <c:v>1.4478880481023E-2</c:v>
                </c:pt>
                <c:pt idx="13">
                  <c:v>9.1860908476934702E-3</c:v>
                </c:pt>
                <c:pt idx="14">
                  <c:v>4.9905746416529098E-3</c:v>
                </c:pt>
                <c:pt idx="15">
                  <c:v>9.4453501582737708E-3</c:v>
                </c:pt>
                <c:pt idx="16">
                  <c:v>7.27047978157239E-3</c:v>
                </c:pt>
                <c:pt idx="17">
                  <c:v>6.77105129691932E-3</c:v>
                </c:pt>
                <c:pt idx="18">
                  <c:v>8.2745106205033593E-3</c:v>
                </c:pt>
                <c:pt idx="19">
                  <c:v>8.7837172608482301E-3</c:v>
                </c:pt>
                <c:pt idx="20">
                  <c:v>5.3979442955963304E-3</c:v>
                </c:pt>
                <c:pt idx="21">
                  <c:v>4.2237913969842902E-3</c:v>
                </c:pt>
                <c:pt idx="22">
                  <c:v>3.7739188928974099E-3</c:v>
                </c:pt>
                <c:pt idx="23">
                  <c:v>4.7306891897243297E-3</c:v>
                </c:pt>
                <c:pt idx="24">
                  <c:v>5.6784984243662398E-3</c:v>
                </c:pt>
                <c:pt idx="25">
                  <c:v>4.8212415579803897E-3</c:v>
                </c:pt>
                <c:pt idx="26">
                  <c:v>9.1426900455134907E-3</c:v>
                </c:pt>
                <c:pt idx="27">
                  <c:v>7.8507383881498607E-3</c:v>
                </c:pt>
                <c:pt idx="28">
                  <c:v>6.5149661727545603E-3</c:v>
                </c:pt>
                <c:pt idx="29">
                  <c:v>7.5773751595888898E-3</c:v>
                </c:pt>
                <c:pt idx="30">
                  <c:v>1.5222331559222001E-2</c:v>
                </c:pt>
                <c:pt idx="31">
                  <c:v>1.37528556522491E-2</c:v>
                </c:pt>
                <c:pt idx="32">
                  <c:v>9.8602655911611495E-3</c:v>
                </c:pt>
                <c:pt idx="33">
                  <c:v>2.94139388502281E-2</c:v>
                </c:pt>
                <c:pt idx="34">
                  <c:v>9.9725509064199202E-3</c:v>
                </c:pt>
                <c:pt idx="35">
                  <c:v>1.5521667521925899E-2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E64-4310-B45A-94DB5772C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Amplitude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Amed </a:t>
            </a:r>
            <a:r>
              <a:rPr lang="en-US" baseline="0"/>
              <a:t>vs Dmax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mov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'hilbert envelope'!$B$2:$B$25</c:f>
              <c:numCache>
                <c:formatCode>General</c:formatCode>
                <c:ptCount val="24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</c:numCache>
            </c:numRef>
          </c:xVal>
          <c:yVal>
            <c:numRef>
              <c:f>'hilbert envelope'!$G$2:$G$25</c:f>
              <c:numCache>
                <c:formatCode>0.0000</c:formatCode>
                <c:ptCount val="24"/>
                <c:pt idx="0">
                  <c:v>2.2914216154744201E-2</c:v>
                </c:pt>
                <c:pt idx="1">
                  <c:v>7.2966466530169603E-3</c:v>
                </c:pt>
                <c:pt idx="2">
                  <c:v>7.7989329746457701E-3</c:v>
                </c:pt>
                <c:pt idx="3">
                  <c:v>9.6694169987568603E-3</c:v>
                </c:pt>
                <c:pt idx="4">
                  <c:v>1.1301251811562101E-2</c:v>
                </c:pt>
                <c:pt idx="5">
                  <c:v>3.0143536797057099E-2</c:v>
                </c:pt>
                <c:pt idx="6">
                  <c:v>5.3392743586913897E-3</c:v>
                </c:pt>
                <c:pt idx="7">
                  <c:v>8.4624680045280194E-3</c:v>
                </c:pt>
                <c:pt idx="8">
                  <c:v>2.1759151907210301E-2</c:v>
                </c:pt>
                <c:pt idx="9">
                  <c:v>5.1627678565697001E-3</c:v>
                </c:pt>
                <c:pt idx="10">
                  <c:v>9.2196022769056602E-3</c:v>
                </c:pt>
                <c:pt idx="11">
                  <c:v>6.0105568763227698E-3</c:v>
                </c:pt>
                <c:pt idx="12">
                  <c:v>1.4642800293065399E-2</c:v>
                </c:pt>
                <c:pt idx="13">
                  <c:v>5.26397191560033E-3</c:v>
                </c:pt>
                <c:pt idx="14">
                  <c:v>4.5767283517164602E-3</c:v>
                </c:pt>
                <c:pt idx="15">
                  <c:v>6.3512880877902899E-3</c:v>
                </c:pt>
                <c:pt idx="16">
                  <c:v>6.8585843273274603E-3</c:v>
                </c:pt>
                <c:pt idx="17">
                  <c:v>5.0494700428746703E-3</c:v>
                </c:pt>
                <c:pt idx="18">
                  <c:v>4.2829956428710502E-3</c:v>
                </c:pt>
                <c:pt idx="19">
                  <c:v>7.5116788153303899E-3</c:v>
                </c:pt>
                <c:pt idx="20">
                  <c:v>5.0606462291010196E-3</c:v>
                </c:pt>
                <c:pt idx="21">
                  <c:v>4.0412722569313003E-3</c:v>
                </c:pt>
                <c:pt idx="22">
                  <c:v>3.5257352179030601E-3</c:v>
                </c:pt>
                <c:pt idx="23">
                  <c:v>4.5595536316889104E-3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B3-45C2-A8ED-FEBED1ABC14E}"/>
            </c:ext>
          </c:extLst>
        </c:ser>
        <c:ser>
          <c:idx val="2"/>
          <c:order val="1"/>
          <c:tx>
            <c:v>mov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Pt>
            <c:idx val="34"/>
            <c:marker>
              <c:symbol val="dot"/>
              <c:size val="3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FEB3-45C2-A8ED-FEBED1ABC14E}"/>
              </c:ext>
            </c:extLst>
          </c:dPt>
          <c:xVal>
            <c:numRef>
              <c:f>'hilbert envelope'!$B$26:$B$37</c:f>
              <c:numCache>
                <c:formatCode>General</c:formatCode>
                <c:ptCount val="12"/>
                <c:pt idx="0">
                  <c:v>32</c:v>
                </c:pt>
                <c:pt idx="1">
                  <c:v>32</c:v>
                </c:pt>
                <c:pt idx="2">
                  <c:v>32</c:v>
                </c:pt>
                <c:pt idx="3">
                  <c:v>45</c:v>
                </c:pt>
                <c:pt idx="4">
                  <c:v>45</c:v>
                </c:pt>
                <c:pt idx="5">
                  <c:v>45</c:v>
                </c:pt>
                <c:pt idx="6">
                  <c:v>64</c:v>
                </c:pt>
                <c:pt idx="7">
                  <c:v>64</c:v>
                </c:pt>
                <c:pt idx="8">
                  <c:v>64</c:v>
                </c:pt>
                <c:pt idx="9">
                  <c:v>90</c:v>
                </c:pt>
                <c:pt idx="10">
                  <c:v>90</c:v>
                </c:pt>
                <c:pt idx="11">
                  <c:v>90</c:v>
                </c:pt>
              </c:numCache>
            </c:numRef>
          </c:xVal>
          <c:yVal>
            <c:numRef>
              <c:f>'hilbert envelope'!$G$26:$G$37</c:f>
              <c:numCache>
                <c:formatCode>0.0000</c:formatCode>
                <c:ptCount val="12"/>
                <c:pt idx="0">
                  <c:v>4.6667095589632999E-3</c:v>
                </c:pt>
                <c:pt idx="1">
                  <c:v>4.1135640493545804E-3</c:v>
                </c:pt>
                <c:pt idx="2">
                  <c:v>6.1375608082080103E-3</c:v>
                </c:pt>
                <c:pt idx="3">
                  <c:v>4.0069409325786598E-3</c:v>
                </c:pt>
                <c:pt idx="4">
                  <c:v>4.26435563054003E-3</c:v>
                </c:pt>
                <c:pt idx="5">
                  <c:v>5.3544304928017398E-3</c:v>
                </c:pt>
                <c:pt idx="6">
                  <c:v>4.5052689799184196E-3</c:v>
                </c:pt>
                <c:pt idx="7">
                  <c:v>4.5700514622563203E-3</c:v>
                </c:pt>
                <c:pt idx="8">
                  <c:v>4.3864038070395503E-3</c:v>
                </c:pt>
                <c:pt idx="9">
                  <c:v>9.5407724532447606E-3</c:v>
                </c:pt>
                <c:pt idx="10">
                  <c:v>6.2822795747625101E-3</c:v>
                </c:pt>
                <c:pt idx="11">
                  <c:v>9.3037999635866304E-3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EB3-45C2-A8ED-FEBED1ABC14E}"/>
            </c:ext>
          </c:extLst>
        </c:ser>
        <c:ser>
          <c:idx val="0"/>
          <c:order val="2"/>
          <c:tx>
            <c:v>total</c:v>
          </c:tx>
          <c:spPr>
            <a:ln w="25400" cap="rnd">
              <a:noFill/>
              <a:round/>
            </a:ln>
            <a:effectLst/>
          </c:spPr>
          <c:marker>
            <c:symbol val="dot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8244778932124731"/>
                  <c:y val="-0.32004671727174189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5238245313445168"/>
                  <c:y val="-0.18872008864955456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envelope'!$G$2:$G$37</c:f>
              <c:numCache>
                <c:formatCode>0.0000</c:formatCode>
                <c:ptCount val="36"/>
                <c:pt idx="0">
                  <c:v>2.2914216154744201E-2</c:v>
                </c:pt>
                <c:pt idx="1">
                  <c:v>7.2966466530169603E-3</c:v>
                </c:pt>
                <c:pt idx="2">
                  <c:v>7.7989329746457701E-3</c:v>
                </c:pt>
                <c:pt idx="3">
                  <c:v>9.6694169987568603E-3</c:v>
                </c:pt>
                <c:pt idx="4">
                  <c:v>1.1301251811562101E-2</c:v>
                </c:pt>
                <c:pt idx="5">
                  <c:v>3.0143536797057099E-2</c:v>
                </c:pt>
                <c:pt idx="6">
                  <c:v>5.3392743586913897E-3</c:v>
                </c:pt>
                <c:pt idx="7">
                  <c:v>8.4624680045280194E-3</c:v>
                </c:pt>
                <c:pt idx="8">
                  <c:v>2.1759151907210301E-2</c:v>
                </c:pt>
                <c:pt idx="9">
                  <c:v>5.1627678565697001E-3</c:v>
                </c:pt>
                <c:pt idx="10">
                  <c:v>9.2196022769056602E-3</c:v>
                </c:pt>
                <c:pt idx="11">
                  <c:v>6.0105568763227698E-3</c:v>
                </c:pt>
                <c:pt idx="12">
                  <c:v>1.4642800293065399E-2</c:v>
                </c:pt>
                <c:pt idx="13">
                  <c:v>5.26397191560033E-3</c:v>
                </c:pt>
                <c:pt idx="14">
                  <c:v>4.5767283517164602E-3</c:v>
                </c:pt>
                <c:pt idx="15">
                  <c:v>6.3512880877902899E-3</c:v>
                </c:pt>
                <c:pt idx="16">
                  <c:v>6.8585843273274603E-3</c:v>
                </c:pt>
                <c:pt idx="17">
                  <c:v>5.0494700428746703E-3</c:v>
                </c:pt>
                <c:pt idx="18">
                  <c:v>4.2829956428710502E-3</c:v>
                </c:pt>
                <c:pt idx="19">
                  <c:v>7.5116788153303899E-3</c:v>
                </c:pt>
                <c:pt idx="20">
                  <c:v>5.0606462291010196E-3</c:v>
                </c:pt>
                <c:pt idx="21">
                  <c:v>4.0412722569313003E-3</c:v>
                </c:pt>
                <c:pt idx="22">
                  <c:v>3.5257352179030601E-3</c:v>
                </c:pt>
                <c:pt idx="23">
                  <c:v>4.5595536316889104E-3</c:v>
                </c:pt>
                <c:pt idx="24">
                  <c:v>4.6667095589632999E-3</c:v>
                </c:pt>
                <c:pt idx="25">
                  <c:v>4.1135640493545804E-3</c:v>
                </c:pt>
                <c:pt idx="26">
                  <c:v>6.1375608082080103E-3</c:v>
                </c:pt>
                <c:pt idx="27">
                  <c:v>4.0069409325786598E-3</c:v>
                </c:pt>
                <c:pt idx="28">
                  <c:v>4.26435563054003E-3</c:v>
                </c:pt>
                <c:pt idx="29">
                  <c:v>5.3544304928017398E-3</c:v>
                </c:pt>
                <c:pt idx="30">
                  <c:v>4.5052689799184196E-3</c:v>
                </c:pt>
                <c:pt idx="31">
                  <c:v>4.5700514622563203E-3</c:v>
                </c:pt>
                <c:pt idx="32">
                  <c:v>4.3864038070395503E-3</c:v>
                </c:pt>
                <c:pt idx="33">
                  <c:v>9.5407724532447606E-3</c:v>
                </c:pt>
                <c:pt idx="34">
                  <c:v>6.2822795747625101E-3</c:v>
                </c:pt>
                <c:pt idx="35">
                  <c:v>9.3037999635866304E-3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EB3-45C2-A8ED-FEBED1ABC1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Median Amplitude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Impulses per second</a:t>
            </a:r>
            <a:r>
              <a:rPr lang="en-US"/>
              <a:t> </a:t>
            </a:r>
            <a:r>
              <a:rPr lang="en-US" baseline="0"/>
              <a:t>vs Dmax (Linear)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1592613075692936E-2"/>
                  <c:y val="9.5299613438272465E-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envelope'!$H$2:$H$37</c:f>
              <c:numCache>
                <c:formatCode>0.00</c:formatCode>
                <c:ptCount val="36"/>
                <c:pt idx="0">
                  <c:v>0.8571428571428571</c:v>
                </c:pt>
                <c:pt idx="1">
                  <c:v>0.2</c:v>
                </c:pt>
                <c:pt idx="2">
                  <c:v>1</c:v>
                </c:pt>
                <c:pt idx="3">
                  <c:v>0.4</c:v>
                </c:pt>
                <c:pt idx="4">
                  <c:v>0.4</c:v>
                </c:pt>
                <c:pt idx="5">
                  <c:v>0.75</c:v>
                </c:pt>
                <c:pt idx="6">
                  <c:v>0.3</c:v>
                </c:pt>
                <c:pt idx="7">
                  <c:v>0.9</c:v>
                </c:pt>
                <c:pt idx="8">
                  <c:v>1</c:v>
                </c:pt>
                <c:pt idx="9">
                  <c:v>0.375</c:v>
                </c:pt>
                <c:pt idx="10">
                  <c:v>0.33333333333333331</c:v>
                </c:pt>
                <c:pt idx="11">
                  <c:v>0.5</c:v>
                </c:pt>
                <c:pt idx="12">
                  <c:v>0.2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6.6666666666666666E-2</c:v>
                </c:pt>
                <c:pt idx="29">
                  <c:v>0</c:v>
                </c:pt>
                <c:pt idx="30">
                  <c:v>0.5</c:v>
                </c:pt>
                <c:pt idx="31">
                  <c:v>0.13333333333333333</c:v>
                </c:pt>
                <c:pt idx="32">
                  <c:v>0.2</c:v>
                </c:pt>
                <c:pt idx="33">
                  <c:v>0.8</c:v>
                </c:pt>
                <c:pt idx="34">
                  <c:v>0</c:v>
                </c:pt>
                <c:pt idx="35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6A-4141-A8D3-CB9C0E04A2F1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9055611748035408E-3"/>
                  <c:y val="7.3960818151714458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envelope'!$I$2:$I$37</c:f>
              <c:numCache>
                <c:formatCode>0.00</c:formatCode>
                <c:ptCount val="36"/>
                <c:pt idx="0">
                  <c:v>2.2857142857142856</c:v>
                </c:pt>
                <c:pt idx="1">
                  <c:v>0.8</c:v>
                </c:pt>
                <c:pt idx="2">
                  <c:v>3.1</c:v>
                </c:pt>
                <c:pt idx="3">
                  <c:v>1.6</c:v>
                </c:pt>
                <c:pt idx="4">
                  <c:v>3.2</c:v>
                </c:pt>
                <c:pt idx="5">
                  <c:v>3.625</c:v>
                </c:pt>
                <c:pt idx="6">
                  <c:v>2.1</c:v>
                </c:pt>
                <c:pt idx="7">
                  <c:v>3.2</c:v>
                </c:pt>
                <c:pt idx="8">
                  <c:v>4.666666666666667</c:v>
                </c:pt>
                <c:pt idx="9">
                  <c:v>2.75</c:v>
                </c:pt>
                <c:pt idx="10">
                  <c:v>1.5</c:v>
                </c:pt>
                <c:pt idx="11">
                  <c:v>1.8</c:v>
                </c:pt>
                <c:pt idx="12">
                  <c:v>2.6</c:v>
                </c:pt>
                <c:pt idx="13">
                  <c:v>0.8</c:v>
                </c:pt>
                <c:pt idx="14">
                  <c:v>0</c:v>
                </c:pt>
                <c:pt idx="15">
                  <c:v>1</c:v>
                </c:pt>
                <c:pt idx="16">
                  <c:v>0.25</c:v>
                </c:pt>
                <c:pt idx="17">
                  <c:v>0.16666666666666666</c:v>
                </c:pt>
                <c:pt idx="18">
                  <c:v>1</c:v>
                </c:pt>
                <c:pt idx="19">
                  <c:v>0.6</c:v>
                </c:pt>
                <c:pt idx="20">
                  <c:v>0.1</c:v>
                </c:pt>
                <c:pt idx="21">
                  <c:v>0</c:v>
                </c:pt>
                <c:pt idx="22">
                  <c:v>0</c:v>
                </c:pt>
                <c:pt idx="23">
                  <c:v>0.1</c:v>
                </c:pt>
                <c:pt idx="24">
                  <c:v>0.05</c:v>
                </c:pt>
                <c:pt idx="25">
                  <c:v>0.05</c:v>
                </c:pt>
                <c:pt idx="26">
                  <c:v>0.4</c:v>
                </c:pt>
                <c:pt idx="27">
                  <c:v>0.55000000000000004</c:v>
                </c:pt>
                <c:pt idx="28">
                  <c:v>0.33333333333333331</c:v>
                </c:pt>
                <c:pt idx="29">
                  <c:v>0.3</c:v>
                </c:pt>
                <c:pt idx="30">
                  <c:v>1.9</c:v>
                </c:pt>
                <c:pt idx="31">
                  <c:v>2</c:v>
                </c:pt>
                <c:pt idx="32">
                  <c:v>1</c:v>
                </c:pt>
                <c:pt idx="33">
                  <c:v>4.0666666666666664</c:v>
                </c:pt>
                <c:pt idx="34">
                  <c:v>0.75</c:v>
                </c:pt>
                <c:pt idx="35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A6A-4141-A8D3-CB9C0E04A2F1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9656348865378817E-4"/>
                  <c:y val="7.125497251875528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envelope'!$J$2:$J$37</c:f>
              <c:numCache>
                <c:formatCode>0.00</c:formatCode>
                <c:ptCount val="36"/>
                <c:pt idx="0">
                  <c:v>13.714285714285714</c:v>
                </c:pt>
                <c:pt idx="1">
                  <c:v>6.5</c:v>
                </c:pt>
                <c:pt idx="2">
                  <c:v>8.9</c:v>
                </c:pt>
                <c:pt idx="3">
                  <c:v>11</c:v>
                </c:pt>
                <c:pt idx="4">
                  <c:v>8.1999999999999993</c:v>
                </c:pt>
                <c:pt idx="5">
                  <c:v>12.75</c:v>
                </c:pt>
                <c:pt idx="6">
                  <c:v>9.1</c:v>
                </c:pt>
                <c:pt idx="7">
                  <c:v>7.5</c:v>
                </c:pt>
                <c:pt idx="8">
                  <c:v>13.666666666666666</c:v>
                </c:pt>
                <c:pt idx="9">
                  <c:v>7.25</c:v>
                </c:pt>
                <c:pt idx="10">
                  <c:v>8.1666666666666661</c:v>
                </c:pt>
                <c:pt idx="11">
                  <c:v>4.3</c:v>
                </c:pt>
                <c:pt idx="12">
                  <c:v>7.8</c:v>
                </c:pt>
                <c:pt idx="13">
                  <c:v>4</c:v>
                </c:pt>
                <c:pt idx="14">
                  <c:v>0.73333333333333328</c:v>
                </c:pt>
                <c:pt idx="15">
                  <c:v>4</c:v>
                </c:pt>
                <c:pt idx="16">
                  <c:v>3</c:v>
                </c:pt>
                <c:pt idx="17">
                  <c:v>2.8333333333333335</c:v>
                </c:pt>
                <c:pt idx="18">
                  <c:v>4.5</c:v>
                </c:pt>
                <c:pt idx="19">
                  <c:v>4.2</c:v>
                </c:pt>
                <c:pt idx="20">
                  <c:v>1.1000000000000001</c:v>
                </c:pt>
                <c:pt idx="21">
                  <c:v>0.2</c:v>
                </c:pt>
                <c:pt idx="22">
                  <c:v>0.13333333333333333</c:v>
                </c:pt>
                <c:pt idx="23">
                  <c:v>0.4</c:v>
                </c:pt>
                <c:pt idx="24">
                  <c:v>0.9</c:v>
                </c:pt>
                <c:pt idx="25">
                  <c:v>0.55000000000000004</c:v>
                </c:pt>
                <c:pt idx="26">
                  <c:v>3.5</c:v>
                </c:pt>
                <c:pt idx="27">
                  <c:v>2.8</c:v>
                </c:pt>
                <c:pt idx="28">
                  <c:v>1.7333333333333334</c:v>
                </c:pt>
                <c:pt idx="29">
                  <c:v>2.8</c:v>
                </c:pt>
                <c:pt idx="30">
                  <c:v>5.65</c:v>
                </c:pt>
                <c:pt idx="31">
                  <c:v>7.333333333333333</c:v>
                </c:pt>
                <c:pt idx="32">
                  <c:v>3.4</c:v>
                </c:pt>
                <c:pt idx="33">
                  <c:v>12.466666666666667</c:v>
                </c:pt>
                <c:pt idx="34">
                  <c:v>4.0999999999999996</c:v>
                </c:pt>
                <c:pt idx="35">
                  <c:v>7.1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A6A-4141-A8D3-CB9C0E04A2F1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0978922628538587E-4"/>
                  <c:y val="5.2629631326803317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envelope'!$K$2:$K$37</c:f>
              <c:numCache>
                <c:formatCode>0.00</c:formatCode>
                <c:ptCount val="36"/>
                <c:pt idx="0">
                  <c:v>37.714285714285715</c:v>
                </c:pt>
                <c:pt idx="1">
                  <c:v>19.5</c:v>
                </c:pt>
                <c:pt idx="2">
                  <c:v>23</c:v>
                </c:pt>
                <c:pt idx="3">
                  <c:v>25.5</c:v>
                </c:pt>
                <c:pt idx="4">
                  <c:v>27.8</c:v>
                </c:pt>
                <c:pt idx="5">
                  <c:v>30.75</c:v>
                </c:pt>
                <c:pt idx="6">
                  <c:v>21.2</c:v>
                </c:pt>
                <c:pt idx="7">
                  <c:v>23.3</c:v>
                </c:pt>
                <c:pt idx="8">
                  <c:v>34.333333333333336</c:v>
                </c:pt>
                <c:pt idx="9">
                  <c:v>20.625</c:v>
                </c:pt>
                <c:pt idx="10">
                  <c:v>22</c:v>
                </c:pt>
                <c:pt idx="11">
                  <c:v>13.9</c:v>
                </c:pt>
                <c:pt idx="12">
                  <c:v>15.6</c:v>
                </c:pt>
                <c:pt idx="13">
                  <c:v>12.1</c:v>
                </c:pt>
                <c:pt idx="14">
                  <c:v>4.8</c:v>
                </c:pt>
                <c:pt idx="15">
                  <c:v>17.166666666666668</c:v>
                </c:pt>
                <c:pt idx="16">
                  <c:v>14.25</c:v>
                </c:pt>
                <c:pt idx="17">
                  <c:v>12.666666666666666</c:v>
                </c:pt>
                <c:pt idx="18">
                  <c:v>10.666666666666666</c:v>
                </c:pt>
                <c:pt idx="19">
                  <c:v>14.8</c:v>
                </c:pt>
                <c:pt idx="20">
                  <c:v>6.2</c:v>
                </c:pt>
                <c:pt idx="21">
                  <c:v>3.2</c:v>
                </c:pt>
                <c:pt idx="22">
                  <c:v>2</c:v>
                </c:pt>
                <c:pt idx="23">
                  <c:v>5.0999999999999996</c:v>
                </c:pt>
                <c:pt idx="24">
                  <c:v>7.55</c:v>
                </c:pt>
                <c:pt idx="25">
                  <c:v>5.15</c:v>
                </c:pt>
                <c:pt idx="26">
                  <c:v>16.3</c:v>
                </c:pt>
                <c:pt idx="27">
                  <c:v>10.199999999999999</c:v>
                </c:pt>
                <c:pt idx="28">
                  <c:v>7.4666666666666668</c:v>
                </c:pt>
                <c:pt idx="29">
                  <c:v>14.7</c:v>
                </c:pt>
                <c:pt idx="30">
                  <c:v>15.6</c:v>
                </c:pt>
                <c:pt idx="31">
                  <c:v>18.600000000000001</c:v>
                </c:pt>
                <c:pt idx="32">
                  <c:v>12.25</c:v>
                </c:pt>
                <c:pt idx="33">
                  <c:v>32.666666666666664</c:v>
                </c:pt>
                <c:pt idx="34">
                  <c:v>17.649999999999999</c:v>
                </c:pt>
                <c:pt idx="35">
                  <c:v>20.95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A6A-4141-A8D3-CB9C0E04A2F1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3971847077831058E-2"/>
                  <c:y val="3.3361720964856692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envelope'!$L$2:$L$37</c:f>
              <c:numCache>
                <c:formatCode>0.00</c:formatCode>
                <c:ptCount val="36"/>
                <c:pt idx="0">
                  <c:v>86.285714285714292</c:v>
                </c:pt>
                <c:pt idx="1">
                  <c:v>62.8</c:v>
                </c:pt>
                <c:pt idx="2">
                  <c:v>50.9</c:v>
                </c:pt>
                <c:pt idx="3">
                  <c:v>48.9</c:v>
                </c:pt>
                <c:pt idx="4">
                  <c:v>82.8</c:v>
                </c:pt>
                <c:pt idx="5">
                  <c:v>61.625</c:v>
                </c:pt>
                <c:pt idx="6">
                  <c:v>66</c:v>
                </c:pt>
                <c:pt idx="7">
                  <c:v>70</c:v>
                </c:pt>
                <c:pt idx="8">
                  <c:v>107.66666666666667</c:v>
                </c:pt>
                <c:pt idx="9">
                  <c:v>69.875</c:v>
                </c:pt>
                <c:pt idx="10">
                  <c:v>90.666666666666671</c:v>
                </c:pt>
                <c:pt idx="11">
                  <c:v>58.6</c:v>
                </c:pt>
                <c:pt idx="12">
                  <c:v>69</c:v>
                </c:pt>
                <c:pt idx="13">
                  <c:v>63.1</c:v>
                </c:pt>
                <c:pt idx="14">
                  <c:v>51.8</c:v>
                </c:pt>
                <c:pt idx="15">
                  <c:v>69.666666666666671</c:v>
                </c:pt>
                <c:pt idx="16">
                  <c:v>68.75</c:v>
                </c:pt>
                <c:pt idx="17">
                  <c:v>54.666666666666664</c:v>
                </c:pt>
                <c:pt idx="18">
                  <c:v>60.666666666666664</c:v>
                </c:pt>
                <c:pt idx="19">
                  <c:v>79</c:v>
                </c:pt>
                <c:pt idx="20">
                  <c:v>60.7</c:v>
                </c:pt>
                <c:pt idx="21">
                  <c:v>53.6</c:v>
                </c:pt>
                <c:pt idx="22">
                  <c:v>40.06666666666667</c:v>
                </c:pt>
                <c:pt idx="23">
                  <c:v>49.4</c:v>
                </c:pt>
                <c:pt idx="24">
                  <c:v>59.8</c:v>
                </c:pt>
                <c:pt idx="25">
                  <c:v>48.6</c:v>
                </c:pt>
                <c:pt idx="26">
                  <c:v>78.8</c:v>
                </c:pt>
                <c:pt idx="27">
                  <c:v>60.75</c:v>
                </c:pt>
                <c:pt idx="28">
                  <c:v>54.06666666666667</c:v>
                </c:pt>
                <c:pt idx="29">
                  <c:v>70</c:v>
                </c:pt>
                <c:pt idx="30">
                  <c:v>60.6</c:v>
                </c:pt>
                <c:pt idx="31">
                  <c:v>68.8</c:v>
                </c:pt>
                <c:pt idx="32">
                  <c:v>57.75</c:v>
                </c:pt>
                <c:pt idx="33">
                  <c:v>67.933333333333337</c:v>
                </c:pt>
                <c:pt idx="34">
                  <c:v>69.7</c:v>
                </c:pt>
                <c:pt idx="35">
                  <c:v>76.55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A6A-4141-A8D3-CB9C0E04A2F1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0989043152102299E-3"/>
                  <c:y val="-6.8433962443595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envelope'!$M$2:$M$37</c:f>
              <c:numCache>
                <c:formatCode>0.00</c:formatCode>
                <c:ptCount val="36"/>
                <c:pt idx="0">
                  <c:v>139.71428571428572</c:v>
                </c:pt>
                <c:pt idx="1">
                  <c:v>169</c:v>
                </c:pt>
                <c:pt idx="2">
                  <c:v>149.30000000000001</c:v>
                </c:pt>
                <c:pt idx="3">
                  <c:v>135.1</c:v>
                </c:pt>
                <c:pt idx="4">
                  <c:v>176.4</c:v>
                </c:pt>
                <c:pt idx="5">
                  <c:v>166.125</c:v>
                </c:pt>
                <c:pt idx="6">
                  <c:v>158.1</c:v>
                </c:pt>
                <c:pt idx="7">
                  <c:v>163.9</c:v>
                </c:pt>
                <c:pt idx="8">
                  <c:v>186.33333333333334</c:v>
                </c:pt>
                <c:pt idx="9">
                  <c:v>173</c:v>
                </c:pt>
                <c:pt idx="10">
                  <c:v>173.5</c:v>
                </c:pt>
                <c:pt idx="11">
                  <c:v>173</c:v>
                </c:pt>
                <c:pt idx="12">
                  <c:v>188.6</c:v>
                </c:pt>
                <c:pt idx="13">
                  <c:v>188.1</c:v>
                </c:pt>
                <c:pt idx="14">
                  <c:v>188</c:v>
                </c:pt>
                <c:pt idx="15">
                  <c:v>189.83333333333334</c:v>
                </c:pt>
                <c:pt idx="16">
                  <c:v>207.5</c:v>
                </c:pt>
                <c:pt idx="17">
                  <c:v>204.66666666666666</c:v>
                </c:pt>
                <c:pt idx="18">
                  <c:v>200.16666666666666</c:v>
                </c:pt>
                <c:pt idx="19">
                  <c:v>198</c:v>
                </c:pt>
                <c:pt idx="20">
                  <c:v>191.1</c:v>
                </c:pt>
                <c:pt idx="21">
                  <c:v>202</c:v>
                </c:pt>
                <c:pt idx="22">
                  <c:v>200.2</c:v>
                </c:pt>
                <c:pt idx="23">
                  <c:v>193.1</c:v>
                </c:pt>
                <c:pt idx="24">
                  <c:v>180.85</c:v>
                </c:pt>
                <c:pt idx="25">
                  <c:v>175.05</c:v>
                </c:pt>
                <c:pt idx="26">
                  <c:v>174.9</c:v>
                </c:pt>
                <c:pt idx="27">
                  <c:v>171.2</c:v>
                </c:pt>
                <c:pt idx="28">
                  <c:v>187.2</c:v>
                </c:pt>
                <c:pt idx="29">
                  <c:v>183.8</c:v>
                </c:pt>
                <c:pt idx="30">
                  <c:v>165.3</c:v>
                </c:pt>
                <c:pt idx="31">
                  <c:v>171.33333333333334</c:v>
                </c:pt>
                <c:pt idx="32">
                  <c:v>167.8</c:v>
                </c:pt>
                <c:pt idx="33">
                  <c:v>150.53333333333333</c:v>
                </c:pt>
                <c:pt idx="34">
                  <c:v>167.75</c:v>
                </c:pt>
                <c:pt idx="35">
                  <c:v>164.3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A6A-4141-A8D3-CB9C0E04A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logBase val="10"/>
          <c:orientation val="minMax"/>
          <c:min val="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Impulses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Impulses per second</a:t>
            </a:r>
            <a:r>
              <a:rPr lang="en-US"/>
              <a:t> </a:t>
            </a:r>
            <a:r>
              <a:rPr lang="en-US" baseline="0"/>
              <a:t>vs Dmax (Log)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1.1592613075692936E-2"/>
                  <c:y val="9.5299613438272465E-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envelope'!$H$2:$H$37</c:f>
              <c:numCache>
                <c:formatCode>0.00</c:formatCode>
                <c:ptCount val="36"/>
                <c:pt idx="0">
                  <c:v>0.8571428571428571</c:v>
                </c:pt>
                <c:pt idx="1">
                  <c:v>0.2</c:v>
                </c:pt>
                <c:pt idx="2">
                  <c:v>1</c:v>
                </c:pt>
                <c:pt idx="3">
                  <c:v>0.4</c:v>
                </c:pt>
                <c:pt idx="4">
                  <c:v>0.4</c:v>
                </c:pt>
                <c:pt idx="5">
                  <c:v>0.75</c:v>
                </c:pt>
                <c:pt idx="6">
                  <c:v>0.3</c:v>
                </c:pt>
                <c:pt idx="7">
                  <c:v>0.9</c:v>
                </c:pt>
                <c:pt idx="8">
                  <c:v>1</c:v>
                </c:pt>
                <c:pt idx="9">
                  <c:v>0.375</c:v>
                </c:pt>
                <c:pt idx="10">
                  <c:v>0.33333333333333331</c:v>
                </c:pt>
                <c:pt idx="11">
                  <c:v>0.5</c:v>
                </c:pt>
                <c:pt idx="12">
                  <c:v>0.2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6.6666666666666666E-2</c:v>
                </c:pt>
                <c:pt idx="29">
                  <c:v>0</c:v>
                </c:pt>
                <c:pt idx="30">
                  <c:v>0.5</c:v>
                </c:pt>
                <c:pt idx="31">
                  <c:v>0.13333333333333333</c:v>
                </c:pt>
                <c:pt idx="32">
                  <c:v>0.2</c:v>
                </c:pt>
                <c:pt idx="33">
                  <c:v>0.8</c:v>
                </c:pt>
                <c:pt idx="34">
                  <c:v>0</c:v>
                </c:pt>
                <c:pt idx="35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45-4497-AC3F-3347B2F6FE6B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8.9055611748035408E-3"/>
                  <c:y val="7.3960818151714458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envelope'!$I$2:$I$37</c:f>
              <c:numCache>
                <c:formatCode>0.00</c:formatCode>
                <c:ptCount val="36"/>
                <c:pt idx="0">
                  <c:v>2.2857142857142856</c:v>
                </c:pt>
                <c:pt idx="1">
                  <c:v>0.8</c:v>
                </c:pt>
                <c:pt idx="2">
                  <c:v>3.1</c:v>
                </c:pt>
                <c:pt idx="3">
                  <c:v>1.6</c:v>
                </c:pt>
                <c:pt idx="4">
                  <c:v>3.2</c:v>
                </c:pt>
                <c:pt idx="5">
                  <c:v>3.625</c:v>
                </c:pt>
                <c:pt idx="6">
                  <c:v>2.1</c:v>
                </c:pt>
                <c:pt idx="7">
                  <c:v>3.2</c:v>
                </c:pt>
                <c:pt idx="8">
                  <c:v>4.666666666666667</c:v>
                </c:pt>
                <c:pt idx="9">
                  <c:v>2.75</c:v>
                </c:pt>
                <c:pt idx="10">
                  <c:v>1.5</c:v>
                </c:pt>
                <c:pt idx="11">
                  <c:v>1.8</c:v>
                </c:pt>
                <c:pt idx="12">
                  <c:v>2.6</c:v>
                </c:pt>
                <c:pt idx="13">
                  <c:v>0.8</c:v>
                </c:pt>
                <c:pt idx="14">
                  <c:v>0</c:v>
                </c:pt>
                <c:pt idx="15">
                  <c:v>1</c:v>
                </c:pt>
                <c:pt idx="16">
                  <c:v>0.25</c:v>
                </c:pt>
                <c:pt idx="17">
                  <c:v>0.16666666666666666</c:v>
                </c:pt>
                <c:pt idx="18">
                  <c:v>1</c:v>
                </c:pt>
                <c:pt idx="19">
                  <c:v>0.6</c:v>
                </c:pt>
                <c:pt idx="20">
                  <c:v>0.1</c:v>
                </c:pt>
                <c:pt idx="21">
                  <c:v>0</c:v>
                </c:pt>
                <c:pt idx="22">
                  <c:v>0</c:v>
                </c:pt>
                <c:pt idx="23">
                  <c:v>0.1</c:v>
                </c:pt>
                <c:pt idx="24">
                  <c:v>0.05</c:v>
                </c:pt>
                <c:pt idx="25">
                  <c:v>0.05</c:v>
                </c:pt>
                <c:pt idx="26">
                  <c:v>0.4</c:v>
                </c:pt>
                <c:pt idx="27">
                  <c:v>0.55000000000000004</c:v>
                </c:pt>
                <c:pt idx="28">
                  <c:v>0.33333333333333331</c:v>
                </c:pt>
                <c:pt idx="29">
                  <c:v>0.3</c:v>
                </c:pt>
                <c:pt idx="30">
                  <c:v>1.9</c:v>
                </c:pt>
                <c:pt idx="31">
                  <c:v>2</c:v>
                </c:pt>
                <c:pt idx="32">
                  <c:v>1</c:v>
                </c:pt>
                <c:pt idx="33">
                  <c:v>4.0666666666666664</c:v>
                </c:pt>
                <c:pt idx="34">
                  <c:v>0.75</c:v>
                </c:pt>
                <c:pt idx="35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045-4497-AC3F-3347B2F6FE6B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3.9656348865378817E-4"/>
                  <c:y val="7.125497251875528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envelope'!$J$2:$J$37</c:f>
              <c:numCache>
                <c:formatCode>0.00</c:formatCode>
                <c:ptCount val="36"/>
                <c:pt idx="0">
                  <c:v>13.714285714285714</c:v>
                </c:pt>
                <c:pt idx="1">
                  <c:v>6.5</c:v>
                </c:pt>
                <c:pt idx="2">
                  <c:v>8.9</c:v>
                </c:pt>
                <c:pt idx="3">
                  <c:v>11</c:v>
                </c:pt>
                <c:pt idx="4">
                  <c:v>8.1999999999999993</c:v>
                </c:pt>
                <c:pt idx="5">
                  <c:v>12.75</c:v>
                </c:pt>
                <c:pt idx="6">
                  <c:v>9.1</c:v>
                </c:pt>
                <c:pt idx="7">
                  <c:v>7.5</c:v>
                </c:pt>
                <c:pt idx="8">
                  <c:v>13.666666666666666</c:v>
                </c:pt>
                <c:pt idx="9">
                  <c:v>7.25</c:v>
                </c:pt>
                <c:pt idx="10">
                  <c:v>8.1666666666666661</c:v>
                </c:pt>
                <c:pt idx="11">
                  <c:v>4.3</c:v>
                </c:pt>
                <c:pt idx="12">
                  <c:v>7.8</c:v>
                </c:pt>
                <c:pt idx="13">
                  <c:v>4</c:v>
                </c:pt>
                <c:pt idx="14">
                  <c:v>0.73333333333333328</c:v>
                </c:pt>
                <c:pt idx="15">
                  <c:v>4</c:v>
                </c:pt>
                <c:pt idx="16">
                  <c:v>3</c:v>
                </c:pt>
                <c:pt idx="17">
                  <c:v>2.8333333333333335</c:v>
                </c:pt>
                <c:pt idx="18">
                  <c:v>4.5</c:v>
                </c:pt>
                <c:pt idx="19">
                  <c:v>4.2</c:v>
                </c:pt>
                <c:pt idx="20">
                  <c:v>1.1000000000000001</c:v>
                </c:pt>
                <c:pt idx="21">
                  <c:v>0.2</c:v>
                </c:pt>
                <c:pt idx="22">
                  <c:v>0.13333333333333333</c:v>
                </c:pt>
                <c:pt idx="23">
                  <c:v>0.4</c:v>
                </c:pt>
                <c:pt idx="24">
                  <c:v>0.9</c:v>
                </c:pt>
                <c:pt idx="25">
                  <c:v>0.55000000000000004</c:v>
                </c:pt>
                <c:pt idx="26">
                  <c:v>3.5</c:v>
                </c:pt>
                <c:pt idx="27">
                  <c:v>2.8</c:v>
                </c:pt>
                <c:pt idx="28">
                  <c:v>1.7333333333333334</c:v>
                </c:pt>
                <c:pt idx="29">
                  <c:v>2.8</c:v>
                </c:pt>
                <c:pt idx="30">
                  <c:v>5.65</c:v>
                </c:pt>
                <c:pt idx="31">
                  <c:v>7.333333333333333</c:v>
                </c:pt>
                <c:pt idx="32">
                  <c:v>3.4</c:v>
                </c:pt>
                <c:pt idx="33">
                  <c:v>12.466666666666667</c:v>
                </c:pt>
                <c:pt idx="34">
                  <c:v>4.0999999999999996</c:v>
                </c:pt>
                <c:pt idx="35">
                  <c:v>7.1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045-4497-AC3F-3347B2F6FE6B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9.0978922628538587E-4"/>
                  <c:y val="5.2629631326803317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envelope'!$K$2:$K$37</c:f>
              <c:numCache>
                <c:formatCode>0.00</c:formatCode>
                <c:ptCount val="36"/>
                <c:pt idx="0">
                  <c:v>37.714285714285715</c:v>
                </c:pt>
                <c:pt idx="1">
                  <c:v>19.5</c:v>
                </c:pt>
                <c:pt idx="2">
                  <c:v>23</c:v>
                </c:pt>
                <c:pt idx="3">
                  <c:v>25.5</c:v>
                </c:pt>
                <c:pt idx="4">
                  <c:v>27.8</c:v>
                </c:pt>
                <c:pt idx="5">
                  <c:v>30.75</c:v>
                </c:pt>
                <c:pt idx="6">
                  <c:v>21.2</c:v>
                </c:pt>
                <c:pt idx="7">
                  <c:v>23.3</c:v>
                </c:pt>
                <c:pt idx="8">
                  <c:v>34.333333333333336</c:v>
                </c:pt>
                <c:pt idx="9">
                  <c:v>20.625</c:v>
                </c:pt>
                <c:pt idx="10">
                  <c:v>22</c:v>
                </c:pt>
                <c:pt idx="11">
                  <c:v>13.9</c:v>
                </c:pt>
                <c:pt idx="12">
                  <c:v>15.6</c:v>
                </c:pt>
                <c:pt idx="13">
                  <c:v>12.1</c:v>
                </c:pt>
                <c:pt idx="14">
                  <c:v>4.8</c:v>
                </c:pt>
                <c:pt idx="15">
                  <c:v>17.166666666666668</c:v>
                </c:pt>
                <c:pt idx="16">
                  <c:v>14.25</c:v>
                </c:pt>
                <c:pt idx="17">
                  <c:v>12.666666666666666</c:v>
                </c:pt>
                <c:pt idx="18">
                  <c:v>10.666666666666666</c:v>
                </c:pt>
                <c:pt idx="19">
                  <c:v>14.8</c:v>
                </c:pt>
                <c:pt idx="20">
                  <c:v>6.2</c:v>
                </c:pt>
                <c:pt idx="21">
                  <c:v>3.2</c:v>
                </c:pt>
                <c:pt idx="22">
                  <c:v>2</c:v>
                </c:pt>
                <c:pt idx="23">
                  <c:v>5.0999999999999996</c:v>
                </c:pt>
                <c:pt idx="24">
                  <c:v>7.55</c:v>
                </c:pt>
                <c:pt idx="25">
                  <c:v>5.15</c:v>
                </c:pt>
                <c:pt idx="26">
                  <c:v>16.3</c:v>
                </c:pt>
                <c:pt idx="27">
                  <c:v>10.199999999999999</c:v>
                </c:pt>
                <c:pt idx="28">
                  <c:v>7.4666666666666668</c:v>
                </c:pt>
                <c:pt idx="29">
                  <c:v>14.7</c:v>
                </c:pt>
                <c:pt idx="30">
                  <c:v>15.6</c:v>
                </c:pt>
                <c:pt idx="31">
                  <c:v>18.600000000000001</c:v>
                </c:pt>
                <c:pt idx="32">
                  <c:v>12.25</c:v>
                </c:pt>
                <c:pt idx="33">
                  <c:v>32.666666666666664</c:v>
                </c:pt>
                <c:pt idx="34">
                  <c:v>17.649999999999999</c:v>
                </c:pt>
                <c:pt idx="35">
                  <c:v>20.95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045-4497-AC3F-3347B2F6FE6B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1.3971847077831058E-2"/>
                  <c:y val="3.3361720964856692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envelope'!$L$2:$L$37</c:f>
              <c:numCache>
                <c:formatCode>0.00</c:formatCode>
                <c:ptCount val="36"/>
                <c:pt idx="0">
                  <c:v>86.285714285714292</c:v>
                </c:pt>
                <c:pt idx="1">
                  <c:v>62.8</c:v>
                </c:pt>
                <c:pt idx="2">
                  <c:v>50.9</c:v>
                </c:pt>
                <c:pt idx="3">
                  <c:v>48.9</c:v>
                </c:pt>
                <c:pt idx="4">
                  <c:v>82.8</c:v>
                </c:pt>
                <c:pt idx="5">
                  <c:v>61.625</c:v>
                </c:pt>
                <c:pt idx="6">
                  <c:v>66</c:v>
                </c:pt>
                <c:pt idx="7">
                  <c:v>70</c:v>
                </c:pt>
                <c:pt idx="8">
                  <c:v>107.66666666666667</c:v>
                </c:pt>
                <c:pt idx="9">
                  <c:v>69.875</c:v>
                </c:pt>
                <c:pt idx="10">
                  <c:v>90.666666666666671</c:v>
                </c:pt>
                <c:pt idx="11">
                  <c:v>58.6</c:v>
                </c:pt>
                <c:pt idx="12">
                  <c:v>69</c:v>
                </c:pt>
                <c:pt idx="13">
                  <c:v>63.1</c:v>
                </c:pt>
                <c:pt idx="14">
                  <c:v>51.8</c:v>
                </c:pt>
                <c:pt idx="15">
                  <c:v>69.666666666666671</c:v>
                </c:pt>
                <c:pt idx="16">
                  <c:v>68.75</c:v>
                </c:pt>
                <c:pt idx="17">
                  <c:v>54.666666666666664</c:v>
                </c:pt>
                <c:pt idx="18">
                  <c:v>60.666666666666664</c:v>
                </c:pt>
                <c:pt idx="19">
                  <c:v>79</c:v>
                </c:pt>
                <c:pt idx="20">
                  <c:v>60.7</c:v>
                </c:pt>
                <c:pt idx="21">
                  <c:v>53.6</c:v>
                </c:pt>
                <c:pt idx="22">
                  <c:v>40.06666666666667</c:v>
                </c:pt>
                <c:pt idx="23">
                  <c:v>49.4</c:v>
                </c:pt>
                <c:pt idx="24">
                  <c:v>59.8</c:v>
                </c:pt>
                <c:pt idx="25">
                  <c:v>48.6</c:v>
                </c:pt>
                <c:pt idx="26">
                  <c:v>78.8</c:v>
                </c:pt>
                <c:pt idx="27">
                  <c:v>60.75</c:v>
                </c:pt>
                <c:pt idx="28">
                  <c:v>54.06666666666667</c:v>
                </c:pt>
                <c:pt idx="29">
                  <c:v>70</c:v>
                </c:pt>
                <c:pt idx="30">
                  <c:v>60.6</c:v>
                </c:pt>
                <c:pt idx="31">
                  <c:v>68.8</c:v>
                </c:pt>
                <c:pt idx="32">
                  <c:v>57.75</c:v>
                </c:pt>
                <c:pt idx="33">
                  <c:v>67.933333333333337</c:v>
                </c:pt>
                <c:pt idx="34">
                  <c:v>69.7</c:v>
                </c:pt>
                <c:pt idx="35">
                  <c:v>76.55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045-4497-AC3F-3347B2F6FE6B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5.0989043152102299E-3"/>
                  <c:y val="-6.8433962443595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envelope'!$M$2:$M$37</c:f>
              <c:numCache>
                <c:formatCode>0.00</c:formatCode>
                <c:ptCount val="36"/>
                <c:pt idx="0">
                  <c:v>139.71428571428572</c:v>
                </c:pt>
                <c:pt idx="1">
                  <c:v>169</c:v>
                </c:pt>
                <c:pt idx="2">
                  <c:v>149.30000000000001</c:v>
                </c:pt>
                <c:pt idx="3">
                  <c:v>135.1</c:v>
                </c:pt>
                <c:pt idx="4">
                  <c:v>176.4</c:v>
                </c:pt>
                <c:pt idx="5">
                  <c:v>166.125</c:v>
                </c:pt>
                <c:pt idx="6">
                  <c:v>158.1</c:v>
                </c:pt>
                <c:pt idx="7">
                  <c:v>163.9</c:v>
                </c:pt>
                <c:pt idx="8">
                  <c:v>186.33333333333334</c:v>
                </c:pt>
                <c:pt idx="9">
                  <c:v>173</c:v>
                </c:pt>
                <c:pt idx="10">
                  <c:v>173.5</c:v>
                </c:pt>
                <c:pt idx="11">
                  <c:v>173</c:v>
                </c:pt>
                <c:pt idx="12">
                  <c:v>188.6</c:v>
                </c:pt>
                <c:pt idx="13">
                  <c:v>188.1</c:v>
                </c:pt>
                <c:pt idx="14">
                  <c:v>188</c:v>
                </c:pt>
                <c:pt idx="15">
                  <c:v>189.83333333333334</c:v>
                </c:pt>
                <c:pt idx="16">
                  <c:v>207.5</c:v>
                </c:pt>
                <c:pt idx="17">
                  <c:v>204.66666666666666</c:v>
                </c:pt>
                <c:pt idx="18">
                  <c:v>200.16666666666666</c:v>
                </c:pt>
                <c:pt idx="19">
                  <c:v>198</c:v>
                </c:pt>
                <c:pt idx="20">
                  <c:v>191.1</c:v>
                </c:pt>
                <c:pt idx="21">
                  <c:v>202</c:v>
                </c:pt>
                <c:pt idx="22">
                  <c:v>200.2</c:v>
                </c:pt>
                <c:pt idx="23">
                  <c:v>193.1</c:v>
                </c:pt>
                <c:pt idx="24">
                  <c:v>180.85</c:v>
                </c:pt>
                <c:pt idx="25">
                  <c:v>175.05</c:v>
                </c:pt>
                <c:pt idx="26">
                  <c:v>174.9</c:v>
                </c:pt>
                <c:pt idx="27">
                  <c:v>171.2</c:v>
                </c:pt>
                <c:pt idx="28">
                  <c:v>187.2</c:v>
                </c:pt>
                <c:pt idx="29">
                  <c:v>183.8</c:v>
                </c:pt>
                <c:pt idx="30">
                  <c:v>165.3</c:v>
                </c:pt>
                <c:pt idx="31">
                  <c:v>171.33333333333334</c:v>
                </c:pt>
                <c:pt idx="32">
                  <c:v>167.8</c:v>
                </c:pt>
                <c:pt idx="33">
                  <c:v>150.53333333333333</c:v>
                </c:pt>
                <c:pt idx="34">
                  <c:v>167.75</c:v>
                </c:pt>
                <c:pt idx="35">
                  <c:v>164.3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045-4497-AC3F-3347B2F6F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logBase val="10"/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Impulses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Impulses</a:t>
            </a:r>
            <a:r>
              <a:rPr lang="en-US"/>
              <a:t> </a:t>
            </a:r>
            <a:r>
              <a:rPr lang="en-US" baseline="0"/>
              <a:t>vs Dmax (Linear)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ch6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1592613075692936E-2"/>
                  <c:y val="9.5299613438272465E-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envelope'!$BA$2:$BA$37</c:f>
              <c:numCache>
                <c:formatCode>General</c:formatCode>
                <c:ptCount val="36"/>
                <c:pt idx="0">
                  <c:v>6</c:v>
                </c:pt>
                <c:pt idx="1">
                  <c:v>2</c:v>
                </c:pt>
                <c:pt idx="2">
                  <c:v>10</c:v>
                </c:pt>
                <c:pt idx="3">
                  <c:v>4</c:v>
                </c:pt>
                <c:pt idx="4">
                  <c:v>2</c:v>
                </c:pt>
                <c:pt idx="5">
                  <c:v>6</c:v>
                </c:pt>
                <c:pt idx="6">
                  <c:v>3</c:v>
                </c:pt>
                <c:pt idx="7">
                  <c:v>9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5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10</c:v>
                </c:pt>
                <c:pt idx="31">
                  <c:v>2</c:v>
                </c:pt>
                <c:pt idx="32">
                  <c:v>4</c:v>
                </c:pt>
                <c:pt idx="33">
                  <c:v>12</c:v>
                </c:pt>
                <c:pt idx="34">
                  <c:v>0</c:v>
                </c:pt>
                <c:pt idx="3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4B-498C-9EDA-7ED7E56A7BBD}"/>
            </c:ext>
          </c:extLst>
        </c:ser>
        <c:ser>
          <c:idx val="0"/>
          <c:order val="1"/>
          <c:tx>
            <c:v>ch5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9055611748035408E-3"/>
                  <c:y val="7.3960818151714458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envelope'!$BB$2:$BB$37</c:f>
              <c:numCache>
                <c:formatCode>General</c:formatCode>
                <c:ptCount val="36"/>
                <c:pt idx="0">
                  <c:v>16</c:v>
                </c:pt>
                <c:pt idx="1">
                  <c:v>8</c:v>
                </c:pt>
                <c:pt idx="2">
                  <c:v>31</c:v>
                </c:pt>
                <c:pt idx="3">
                  <c:v>16</c:v>
                </c:pt>
                <c:pt idx="4">
                  <c:v>16</c:v>
                </c:pt>
                <c:pt idx="5">
                  <c:v>29</c:v>
                </c:pt>
                <c:pt idx="6">
                  <c:v>21</c:v>
                </c:pt>
                <c:pt idx="7">
                  <c:v>32</c:v>
                </c:pt>
                <c:pt idx="8">
                  <c:v>14</c:v>
                </c:pt>
                <c:pt idx="9">
                  <c:v>22</c:v>
                </c:pt>
                <c:pt idx="10">
                  <c:v>9</c:v>
                </c:pt>
                <c:pt idx="11">
                  <c:v>18</c:v>
                </c:pt>
                <c:pt idx="12">
                  <c:v>13</c:v>
                </c:pt>
                <c:pt idx="13">
                  <c:v>8</c:v>
                </c:pt>
                <c:pt idx="14">
                  <c:v>0</c:v>
                </c:pt>
                <c:pt idx="15">
                  <c:v>6</c:v>
                </c:pt>
                <c:pt idx="16">
                  <c:v>1</c:v>
                </c:pt>
                <c:pt idx="17">
                  <c:v>1</c:v>
                </c:pt>
                <c:pt idx="18">
                  <c:v>6</c:v>
                </c:pt>
                <c:pt idx="19">
                  <c:v>3</c:v>
                </c:pt>
                <c:pt idx="20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4</c:v>
                </c:pt>
                <c:pt idx="27">
                  <c:v>11</c:v>
                </c:pt>
                <c:pt idx="28">
                  <c:v>5</c:v>
                </c:pt>
                <c:pt idx="29">
                  <c:v>3</c:v>
                </c:pt>
                <c:pt idx="30">
                  <c:v>38</c:v>
                </c:pt>
                <c:pt idx="31">
                  <c:v>30</c:v>
                </c:pt>
                <c:pt idx="32">
                  <c:v>20</c:v>
                </c:pt>
                <c:pt idx="33">
                  <c:v>61</c:v>
                </c:pt>
                <c:pt idx="34">
                  <c:v>15</c:v>
                </c:pt>
                <c:pt idx="35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4B-498C-9EDA-7ED7E56A7BBD}"/>
            </c:ext>
          </c:extLst>
        </c:ser>
        <c:ser>
          <c:idx val="2"/>
          <c:order val="2"/>
          <c:tx>
            <c:v>ch4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9656348865378817E-4"/>
                  <c:y val="7.125497251875528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envelope'!$BC$2:$BC$37</c:f>
              <c:numCache>
                <c:formatCode>General</c:formatCode>
                <c:ptCount val="36"/>
                <c:pt idx="0">
                  <c:v>96</c:v>
                </c:pt>
                <c:pt idx="1">
                  <c:v>65</c:v>
                </c:pt>
                <c:pt idx="2">
                  <c:v>89</c:v>
                </c:pt>
                <c:pt idx="3">
                  <c:v>110</c:v>
                </c:pt>
                <c:pt idx="4">
                  <c:v>41</c:v>
                </c:pt>
                <c:pt idx="5">
                  <c:v>102</c:v>
                </c:pt>
                <c:pt idx="6">
                  <c:v>91</c:v>
                </c:pt>
                <c:pt idx="7">
                  <c:v>75</c:v>
                </c:pt>
                <c:pt idx="8">
                  <c:v>41</c:v>
                </c:pt>
                <c:pt idx="9">
                  <c:v>58</c:v>
                </c:pt>
                <c:pt idx="10">
                  <c:v>49</c:v>
                </c:pt>
                <c:pt idx="11">
                  <c:v>43</c:v>
                </c:pt>
                <c:pt idx="12">
                  <c:v>39</c:v>
                </c:pt>
                <c:pt idx="13">
                  <c:v>40</c:v>
                </c:pt>
                <c:pt idx="14">
                  <c:v>11</c:v>
                </c:pt>
                <c:pt idx="15">
                  <c:v>24</c:v>
                </c:pt>
                <c:pt idx="16">
                  <c:v>12</c:v>
                </c:pt>
                <c:pt idx="17">
                  <c:v>17</c:v>
                </c:pt>
                <c:pt idx="18">
                  <c:v>27</c:v>
                </c:pt>
                <c:pt idx="19">
                  <c:v>21</c:v>
                </c:pt>
                <c:pt idx="20">
                  <c:v>11</c:v>
                </c:pt>
                <c:pt idx="21">
                  <c:v>2</c:v>
                </c:pt>
                <c:pt idx="22">
                  <c:v>2</c:v>
                </c:pt>
                <c:pt idx="23">
                  <c:v>4</c:v>
                </c:pt>
                <c:pt idx="24">
                  <c:v>18</c:v>
                </c:pt>
                <c:pt idx="25">
                  <c:v>11</c:v>
                </c:pt>
                <c:pt idx="26">
                  <c:v>35</c:v>
                </c:pt>
                <c:pt idx="27">
                  <c:v>56</c:v>
                </c:pt>
                <c:pt idx="28">
                  <c:v>26</c:v>
                </c:pt>
                <c:pt idx="29">
                  <c:v>28</c:v>
                </c:pt>
                <c:pt idx="30">
                  <c:v>113</c:v>
                </c:pt>
                <c:pt idx="31">
                  <c:v>110</c:v>
                </c:pt>
                <c:pt idx="32">
                  <c:v>68</c:v>
                </c:pt>
                <c:pt idx="33">
                  <c:v>187</c:v>
                </c:pt>
                <c:pt idx="34">
                  <c:v>82</c:v>
                </c:pt>
                <c:pt idx="35">
                  <c:v>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A4B-498C-9EDA-7ED7E56A7BBD}"/>
            </c:ext>
          </c:extLst>
        </c:ser>
        <c:ser>
          <c:idx val="3"/>
          <c:order val="3"/>
          <c:tx>
            <c:v>ch3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0978922628538587E-4"/>
                  <c:y val="5.2629631326803317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envelope'!$BD$2:$BD$37</c:f>
              <c:numCache>
                <c:formatCode>General</c:formatCode>
                <c:ptCount val="36"/>
                <c:pt idx="0">
                  <c:v>264</c:v>
                </c:pt>
                <c:pt idx="1">
                  <c:v>195</c:v>
                </c:pt>
                <c:pt idx="2">
                  <c:v>230</c:v>
                </c:pt>
                <c:pt idx="3">
                  <c:v>255</c:v>
                </c:pt>
                <c:pt idx="4">
                  <c:v>139</c:v>
                </c:pt>
                <c:pt idx="5">
                  <c:v>246</c:v>
                </c:pt>
                <c:pt idx="6">
                  <c:v>212</c:v>
                </c:pt>
                <c:pt idx="7">
                  <c:v>233</c:v>
                </c:pt>
                <c:pt idx="8">
                  <c:v>103</c:v>
                </c:pt>
                <c:pt idx="9">
                  <c:v>165</c:v>
                </c:pt>
                <c:pt idx="10">
                  <c:v>132</c:v>
                </c:pt>
                <c:pt idx="11">
                  <c:v>139</c:v>
                </c:pt>
                <c:pt idx="12">
                  <c:v>78</c:v>
                </c:pt>
                <c:pt idx="13">
                  <c:v>121</c:v>
                </c:pt>
                <c:pt idx="14">
                  <c:v>72</c:v>
                </c:pt>
                <c:pt idx="15">
                  <c:v>103</c:v>
                </c:pt>
                <c:pt idx="16">
                  <c:v>57</c:v>
                </c:pt>
                <c:pt idx="17">
                  <c:v>76</c:v>
                </c:pt>
                <c:pt idx="18">
                  <c:v>64</c:v>
                </c:pt>
                <c:pt idx="19">
                  <c:v>74</c:v>
                </c:pt>
                <c:pt idx="20">
                  <c:v>62</c:v>
                </c:pt>
                <c:pt idx="21">
                  <c:v>32</c:v>
                </c:pt>
                <c:pt idx="22">
                  <c:v>30</c:v>
                </c:pt>
                <c:pt idx="23">
                  <c:v>51</c:v>
                </c:pt>
                <c:pt idx="24">
                  <c:v>151</c:v>
                </c:pt>
                <c:pt idx="25">
                  <c:v>103</c:v>
                </c:pt>
                <c:pt idx="26">
                  <c:v>163</c:v>
                </c:pt>
                <c:pt idx="27">
                  <c:v>204</c:v>
                </c:pt>
                <c:pt idx="28">
                  <c:v>112</c:v>
                </c:pt>
                <c:pt idx="29">
                  <c:v>147</c:v>
                </c:pt>
                <c:pt idx="30">
                  <c:v>312</c:v>
                </c:pt>
                <c:pt idx="31">
                  <c:v>279</c:v>
                </c:pt>
                <c:pt idx="32">
                  <c:v>245</c:v>
                </c:pt>
                <c:pt idx="33">
                  <c:v>490</c:v>
                </c:pt>
                <c:pt idx="34">
                  <c:v>353</c:v>
                </c:pt>
                <c:pt idx="35">
                  <c:v>419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A4B-498C-9EDA-7ED7E56A7BBD}"/>
            </c:ext>
          </c:extLst>
        </c:ser>
        <c:ser>
          <c:idx val="4"/>
          <c:order val="4"/>
          <c:tx>
            <c:v>ch2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3971847077831058E-2"/>
                  <c:y val="3.3361720964856692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envelope'!$BE$2:$BE$37</c:f>
              <c:numCache>
                <c:formatCode>General</c:formatCode>
                <c:ptCount val="36"/>
                <c:pt idx="0">
                  <c:v>604</c:v>
                </c:pt>
                <c:pt idx="1">
                  <c:v>628</c:v>
                </c:pt>
                <c:pt idx="2">
                  <c:v>509</c:v>
                </c:pt>
                <c:pt idx="3">
                  <c:v>489</c:v>
                </c:pt>
                <c:pt idx="4">
                  <c:v>414</c:v>
                </c:pt>
                <c:pt idx="5">
                  <c:v>493</c:v>
                </c:pt>
                <c:pt idx="6">
                  <c:v>660</c:v>
                </c:pt>
                <c:pt idx="7">
                  <c:v>700</c:v>
                </c:pt>
                <c:pt idx="8">
                  <c:v>323</c:v>
                </c:pt>
                <c:pt idx="9">
                  <c:v>559</c:v>
                </c:pt>
                <c:pt idx="10">
                  <c:v>544</c:v>
                </c:pt>
                <c:pt idx="11">
                  <c:v>586</c:v>
                </c:pt>
                <c:pt idx="12">
                  <c:v>345</c:v>
                </c:pt>
                <c:pt idx="13">
                  <c:v>631</c:v>
                </c:pt>
                <c:pt idx="14">
                  <c:v>777</c:v>
                </c:pt>
                <c:pt idx="15">
                  <c:v>418</c:v>
                </c:pt>
                <c:pt idx="16">
                  <c:v>275</c:v>
                </c:pt>
                <c:pt idx="17">
                  <c:v>328</c:v>
                </c:pt>
                <c:pt idx="18">
                  <c:v>364</c:v>
                </c:pt>
                <c:pt idx="19">
                  <c:v>395</c:v>
                </c:pt>
                <c:pt idx="20">
                  <c:v>607</c:v>
                </c:pt>
                <c:pt idx="21">
                  <c:v>536</c:v>
                </c:pt>
                <c:pt idx="22">
                  <c:v>601</c:v>
                </c:pt>
                <c:pt idx="23">
                  <c:v>494</c:v>
                </c:pt>
                <c:pt idx="24">
                  <c:v>1196</c:v>
                </c:pt>
                <c:pt idx="25">
                  <c:v>972</c:v>
                </c:pt>
                <c:pt idx="26">
                  <c:v>788</c:v>
                </c:pt>
                <c:pt idx="27">
                  <c:v>1215</c:v>
                </c:pt>
                <c:pt idx="28">
                  <c:v>811</c:v>
                </c:pt>
                <c:pt idx="29">
                  <c:v>700</c:v>
                </c:pt>
                <c:pt idx="30">
                  <c:v>1212</c:v>
                </c:pt>
                <c:pt idx="31">
                  <c:v>1032</c:v>
                </c:pt>
                <c:pt idx="32">
                  <c:v>1155</c:v>
                </c:pt>
                <c:pt idx="33">
                  <c:v>1019</c:v>
                </c:pt>
                <c:pt idx="34">
                  <c:v>1394</c:v>
                </c:pt>
                <c:pt idx="35">
                  <c:v>1531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A4B-498C-9EDA-7ED7E56A7BBD}"/>
            </c:ext>
          </c:extLst>
        </c:ser>
        <c:ser>
          <c:idx val="5"/>
          <c:order val="5"/>
          <c:tx>
            <c:v>ch1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0989043152102299E-3"/>
                  <c:y val="-6.8433962443595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envelope'!$BF$2:$BF$37</c:f>
              <c:numCache>
                <c:formatCode>General</c:formatCode>
                <c:ptCount val="36"/>
                <c:pt idx="0">
                  <c:v>978</c:v>
                </c:pt>
                <c:pt idx="1">
                  <c:v>1690</c:v>
                </c:pt>
                <c:pt idx="2">
                  <c:v>1493</c:v>
                </c:pt>
                <c:pt idx="3">
                  <c:v>1351</c:v>
                </c:pt>
                <c:pt idx="4">
                  <c:v>882</c:v>
                </c:pt>
                <c:pt idx="5">
                  <c:v>1329</c:v>
                </c:pt>
                <c:pt idx="6">
                  <c:v>1581</c:v>
                </c:pt>
                <c:pt idx="7">
                  <c:v>1639</c:v>
                </c:pt>
                <c:pt idx="8">
                  <c:v>559</c:v>
                </c:pt>
                <c:pt idx="9">
                  <c:v>1384</c:v>
                </c:pt>
                <c:pt idx="10">
                  <c:v>1041</c:v>
                </c:pt>
                <c:pt idx="11">
                  <c:v>1730</c:v>
                </c:pt>
                <c:pt idx="12">
                  <c:v>943</c:v>
                </c:pt>
                <c:pt idx="13">
                  <c:v>1881</c:v>
                </c:pt>
                <c:pt idx="14">
                  <c:v>2820</c:v>
                </c:pt>
                <c:pt idx="15">
                  <c:v>1139</c:v>
                </c:pt>
                <c:pt idx="16">
                  <c:v>830</c:v>
                </c:pt>
                <c:pt idx="17">
                  <c:v>1228</c:v>
                </c:pt>
                <c:pt idx="18">
                  <c:v>1201</c:v>
                </c:pt>
                <c:pt idx="19">
                  <c:v>990</c:v>
                </c:pt>
                <c:pt idx="20">
                  <c:v>1911</c:v>
                </c:pt>
                <c:pt idx="21">
                  <c:v>2020</c:v>
                </c:pt>
                <c:pt idx="22">
                  <c:v>3003</c:v>
                </c:pt>
                <c:pt idx="23">
                  <c:v>1931</c:v>
                </c:pt>
                <c:pt idx="24">
                  <c:v>3617</c:v>
                </c:pt>
                <c:pt idx="25">
                  <c:v>3501</c:v>
                </c:pt>
                <c:pt idx="26">
                  <c:v>1749</c:v>
                </c:pt>
                <c:pt idx="27">
                  <c:v>3424</c:v>
                </c:pt>
                <c:pt idx="28">
                  <c:v>2808</c:v>
                </c:pt>
                <c:pt idx="29">
                  <c:v>1838</c:v>
                </c:pt>
                <c:pt idx="30">
                  <c:v>3306</c:v>
                </c:pt>
                <c:pt idx="31">
                  <c:v>2570</c:v>
                </c:pt>
                <c:pt idx="32">
                  <c:v>3356</c:v>
                </c:pt>
                <c:pt idx="33">
                  <c:v>2258</c:v>
                </c:pt>
                <c:pt idx="34">
                  <c:v>3355</c:v>
                </c:pt>
                <c:pt idx="35">
                  <c:v>3286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A4B-498C-9EDA-7ED7E56A7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logBase val="10"/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Impulses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Impulses</a:t>
            </a:r>
            <a:r>
              <a:rPr lang="en-US"/>
              <a:t> </a:t>
            </a:r>
            <a:r>
              <a:rPr lang="en-US" baseline="0"/>
              <a:t>vs Dmax (Log)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ch6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1.1592613075692936E-2"/>
                  <c:y val="9.5299613438272465E-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envelope'!$BA$2:$BA$37</c:f>
              <c:numCache>
                <c:formatCode>General</c:formatCode>
                <c:ptCount val="36"/>
                <c:pt idx="0">
                  <c:v>6</c:v>
                </c:pt>
                <c:pt idx="1">
                  <c:v>2</c:v>
                </c:pt>
                <c:pt idx="2">
                  <c:v>10</c:v>
                </c:pt>
                <c:pt idx="3">
                  <c:v>4</c:v>
                </c:pt>
                <c:pt idx="4">
                  <c:v>2</c:v>
                </c:pt>
                <c:pt idx="5">
                  <c:v>6</c:v>
                </c:pt>
                <c:pt idx="6">
                  <c:v>3</c:v>
                </c:pt>
                <c:pt idx="7">
                  <c:v>9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5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10</c:v>
                </c:pt>
                <c:pt idx="31">
                  <c:v>2</c:v>
                </c:pt>
                <c:pt idx="32">
                  <c:v>4</c:v>
                </c:pt>
                <c:pt idx="33">
                  <c:v>12</c:v>
                </c:pt>
                <c:pt idx="34">
                  <c:v>0</c:v>
                </c:pt>
                <c:pt idx="3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48-4474-AFFA-85227DE5E7BE}"/>
            </c:ext>
          </c:extLst>
        </c:ser>
        <c:ser>
          <c:idx val="0"/>
          <c:order val="1"/>
          <c:tx>
            <c:v>ch5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8.9055611748035408E-3"/>
                  <c:y val="7.3960818151714458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envelope'!$BB$2:$BB$37</c:f>
              <c:numCache>
                <c:formatCode>General</c:formatCode>
                <c:ptCount val="36"/>
                <c:pt idx="0">
                  <c:v>16</c:v>
                </c:pt>
                <c:pt idx="1">
                  <c:v>8</c:v>
                </c:pt>
                <c:pt idx="2">
                  <c:v>31</c:v>
                </c:pt>
                <c:pt idx="3">
                  <c:v>16</c:v>
                </c:pt>
                <c:pt idx="4">
                  <c:v>16</c:v>
                </c:pt>
                <c:pt idx="5">
                  <c:v>29</c:v>
                </c:pt>
                <c:pt idx="6">
                  <c:v>21</c:v>
                </c:pt>
                <c:pt idx="7">
                  <c:v>32</c:v>
                </c:pt>
                <c:pt idx="8">
                  <c:v>14</c:v>
                </c:pt>
                <c:pt idx="9">
                  <c:v>22</c:v>
                </c:pt>
                <c:pt idx="10">
                  <c:v>9</c:v>
                </c:pt>
                <c:pt idx="11">
                  <c:v>18</c:v>
                </c:pt>
                <c:pt idx="12">
                  <c:v>13</c:v>
                </c:pt>
                <c:pt idx="13">
                  <c:v>8</c:v>
                </c:pt>
                <c:pt idx="14">
                  <c:v>0</c:v>
                </c:pt>
                <c:pt idx="15">
                  <c:v>6</c:v>
                </c:pt>
                <c:pt idx="16">
                  <c:v>1</c:v>
                </c:pt>
                <c:pt idx="17">
                  <c:v>1</c:v>
                </c:pt>
                <c:pt idx="18">
                  <c:v>6</c:v>
                </c:pt>
                <c:pt idx="19">
                  <c:v>3</c:v>
                </c:pt>
                <c:pt idx="20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4</c:v>
                </c:pt>
                <c:pt idx="27">
                  <c:v>11</c:v>
                </c:pt>
                <c:pt idx="28">
                  <c:v>5</c:v>
                </c:pt>
                <c:pt idx="29">
                  <c:v>3</c:v>
                </c:pt>
                <c:pt idx="30">
                  <c:v>38</c:v>
                </c:pt>
                <c:pt idx="31">
                  <c:v>30</c:v>
                </c:pt>
                <c:pt idx="32">
                  <c:v>20</c:v>
                </c:pt>
                <c:pt idx="33">
                  <c:v>61</c:v>
                </c:pt>
                <c:pt idx="34">
                  <c:v>15</c:v>
                </c:pt>
                <c:pt idx="35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648-4474-AFFA-85227DE5E7BE}"/>
            </c:ext>
          </c:extLst>
        </c:ser>
        <c:ser>
          <c:idx val="2"/>
          <c:order val="2"/>
          <c:tx>
            <c:v>ch4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3.9656348865378817E-4"/>
                  <c:y val="7.125497251875528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envelope'!$BC$2:$BC$37</c:f>
              <c:numCache>
                <c:formatCode>General</c:formatCode>
                <c:ptCount val="36"/>
                <c:pt idx="0">
                  <c:v>96</c:v>
                </c:pt>
                <c:pt idx="1">
                  <c:v>65</c:v>
                </c:pt>
                <c:pt idx="2">
                  <c:v>89</c:v>
                </c:pt>
                <c:pt idx="3">
                  <c:v>110</c:v>
                </c:pt>
                <c:pt idx="4">
                  <c:v>41</c:v>
                </c:pt>
                <c:pt idx="5">
                  <c:v>102</c:v>
                </c:pt>
                <c:pt idx="6">
                  <c:v>91</c:v>
                </c:pt>
                <c:pt idx="7">
                  <c:v>75</c:v>
                </c:pt>
                <c:pt idx="8">
                  <c:v>41</c:v>
                </c:pt>
                <c:pt idx="9">
                  <c:v>58</c:v>
                </c:pt>
                <c:pt idx="10">
                  <c:v>49</c:v>
                </c:pt>
                <c:pt idx="11">
                  <c:v>43</c:v>
                </c:pt>
                <c:pt idx="12">
                  <c:v>39</c:v>
                </c:pt>
                <c:pt idx="13">
                  <c:v>40</c:v>
                </c:pt>
                <c:pt idx="14">
                  <c:v>11</c:v>
                </c:pt>
                <c:pt idx="15">
                  <c:v>24</c:v>
                </c:pt>
                <c:pt idx="16">
                  <c:v>12</c:v>
                </c:pt>
                <c:pt idx="17">
                  <c:v>17</c:v>
                </c:pt>
                <c:pt idx="18">
                  <c:v>27</c:v>
                </c:pt>
                <c:pt idx="19">
                  <c:v>21</c:v>
                </c:pt>
                <c:pt idx="20">
                  <c:v>11</c:v>
                </c:pt>
                <c:pt idx="21">
                  <c:v>2</c:v>
                </c:pt>
                <c:pt idx="22">
                  <c:v>2</c:v>
                </c:pt>
                <c:pt idx="23">
                  <c:v>4</c:v>
                </c:pt>
                <c:pt idx="24">
                  <c:v>18</c:v>
                </c:pt>
                <c:pt idx="25">
                  <c:v>11</c:v>
                </c:pt>
                <c:pt idx="26">
                  <c:v>35</c:v>
                </c:pt>
                <c:pt idx="27">
                  <c:v>56</c:v>
                </c:pt>
                <c:pt idx="28">
                  <c:v>26</c:v>
                </c:pt>
                <c:pt idx="29">
                  <c:v>28</c:v>
                </c:pt>
                <c:pt idx="30">
                  <c:v>113</c:v>
                </c:pt>
                <c:pt idx="31">
                  <c:v>110</c:v>
                </c:pt>
                <c:pt idx="32">
                  <c:v>68</c:v>
                </c:pt>
                <c:pt idx="33">
                  <c:v>187</c:v>
                </c:pt>
                <c:pt idx="34">
                  <c:v>82</c:v>
                </c:pt>
                <c:pt idx="35">
                  <c:v>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648-4474-AFFA-85227DE5E7BE}"/>
            </c:ext>
          </c:extLst>
        </c:ser>
        <c:ser>
          <c:idx val="3"/>
          <c:order val="3"/>
          <c:tx>
            <c:v>ch3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9.0978922628538587E-4"/>
                  <c:y val="5.2629631326803317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envelope'!$BD$2:$BD$37</c:f>
              <c:numCache>
                <c:formatCode>General</c:formatCode>
                <c:ptCount val="36"/>
                <c:pt idx="0">
                  <c:v>264</c:v>
                </c:pt>
                <c:pt idx="1">
                  <c:v>195</c:v>
                </c:pt>
                <c:pt idx="2">
                  <c:v>230</c:v>
                </c:pt>
                <c:pt idx="3">
                  <c:v>255</c:v>
                </c:pt>
                <c:pt idx="4">
                  <c:v>139</c:v>
                </c:pt>
                <c:pt idx="5">
                  <c:v>246</c:v>
                </c:pt>
                <c:pt idx="6">
                  <c:v>212</c:v>
                </c:pt>
                <c:pt idx="7">
                  <c:v>233</c:v>
                </c:pt>
                <c:pt idx="8">
                  <c:v>103</c:v>
                </c:pt>
                <c:pt idx="9">
                  <c:v>165</c:v>
                </c:pt>
                <c:pt idx="10">
                  <c:v>132</c:v>
                </c:pt>
                <c:pt idx="11">
                  <c:v>139</c:v>
                </c:pt>
                <c:pt idx="12">
                  <c:v>78</c:v>
                </c:pt>
                <c:pt idx="13">
                  <c:v>121</c:v>
                </c:pt>
                <c:pt idx="14">
                  <c:v>72</c:v>
                </c:pt>
                <c:pt idx="15">
                  <c:v>103</c:v>
                </c:pt>
                <c:pt idx="16">
                  <c:v>57</c:v>
                </c:pt>
                <c:pt idx="17">
                  <c:v>76</c:v>
                </c:pt>
                <c:pt idx="18">
                  <c:v>64</c:v>
                </c:pt>
                <c:pt idx="19">
                  <c:v>74</c:v>
                </c:pt>
                <c:pt idx="20">
                  <c:v>62</c:v>
                </c:pt>
                <c:pt idx="21">
                  <c:v>32</c:v>
                </c:pt>
                <c:pt idx="22">
                  <c:v>30</c:v>
                </c:pt>
                <c:pt idx="23">
                  <c:v>51</c:v>
                </c:pt>
                <c:pt idx="24">
                  <c:v>151</c:v>
                </c:pt>
                <c:pt idx="25">
                  <c:v>103</c:v>
                </c:pt>
                <c:pt idx="26">
                  <c:v>163</c:v>
                </c:pt>
                <c:pt idx="27">
                  <c:v>204</c:v>
                </c:pt>
                <c:pt idx="28">
                  <c:v>112</c:v>
                </c:pt>
                <c:pt idx="29">
                  <c:v>147</c:v>
                </c:pt>
                <c:pt idx="30">
                  <c:v>312</c:v>
                </c:pt>
                <c:pt idx="31">
                  <c:v>279</c:v>
                </c:pt>
                <c:pt idx="32">
                  <c:v>245</c:v>
                </c:pt>
                <c:pt idx="33">
                  <c:v>490</c:v>
                </c:pt>
                <c:pt idx="34">
                  <c:v>353</c:v>
                </c:pt>
                <c:pt idx="35">
                  <c:v>419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648-4474-AFFA-85227DE5E7BE}"/>
            </c:ext>
          </c:extLst>
        </c:ser>
        <c:ser>
          <c:idx val="4"/>
          <c:order val="4"/>
          <c:tx>
            <c:v>ch2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1.3971847077831058E-2"/>
                  <c:y val="3.3361720964856692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envelope'!$BE$2:$BE$37</c:f>
              <c:numCache>
                <c:formatCode>General</c:formatCode>
                <c:ptCount val="36"/>
                <c:pt idx="0">
                  <c:v>604</c:v>
                </c:pt>
                <c:pt idx="1">
                  <c:v>628</c:v>
                </c:pt>
                <c:pt idx="2">
                  <c:v>509</c:v>
                </c:pt>
                <c:pt idx="3">
                  <c:v>489</c:v>
                </c:pt>
                <c:pt idx="4">
                  <c:v>414</c:v>
                </c:pt>
                <c:pt idx="5">
                  <c:v>493</c:v>
                </c:pt>
                <c:pt idx="6">
                  <c:v>660</c:v>
                </c:pt>
                <c:pt idx="7">
                  <c:v>700</c:v>
                </c:pt>
                <c:pt idx="8">
                  <c:v>323</c:v>
                </c:pt>
                <c:pt idx="9">
                  <c:v>559</c:v>
                </c:pt>
                <c:pt idx="10">
                  <c:v>544</c:v>
                </c:pt>
                <c:pt idx="11">
                  <c:v>586</c:v>
                </c:pt>
                <c:pt idx="12">
                  <c:v>345</c:v>
                </c:pt>
                <c:pt idx="13">
                  <c:v>631</c:v>
                </c:pt>
                <c:pt idx="14">
                  <c:v>777</c:v>
                </c:pt>
                <c:pt idx="15">
                  <c:v>418</c:v>
                </c:pt>
                <c:pt idx="16">
                  <c:v>275</c:v>
                </c:pt>
                <c:pt idx="17">
                  <c:v>328</c:v>
                </c:pt>
                <c:pt idx="18">
                  <c:v>364</c:v>
                </c:pt>
                <c:pt idx="19">
                  <c:v>395</c:v>
                </c:pt>
                <c:pt idx="20">
                  <c:v>607</c:v>
                </c:pt>
                <c:pt idx="21">
                  <c:v>536</c:v>
                </c:pt>
                <c:pt idx="22">
                  <c:v>601</c:v>
                </c:pt>
                <c:pt idx="23">
                  <c:v>494</c:v>
                </c:pt>
                <c:pt idx="24">
                  <c:v>1196</c:v>
                </c:pt>
                <c:pt idx="25">
                  <c:v>972</c:v>
                </c:pt>
                <c:pt idx="26">
                  <c:v>788</c:v>
                </c:pt>
                <c:pt idx="27">
                  <c:v>1215</c:v>
                </c:pt>
                <c:pt idx="28">
                  <c:v>811</c:v>
                </c:pt>
                <c:pt idx="29">
                  <c:v>700</c:v>
                </c:pt>
                <c:pt idx="30">
                  <c:v>1212</c:v>
                </c:pt>
                <c:pt idx="31">
                  <c:v>1032</c:v>
                </c:pt>
                <c:pt idx="32">
                  <c:v>1155</c:v>
                </c:pt>
                <c:pt idx="33">
                  <c:v>1019</c:v>
                </c:pt>
                <c:pt idx="34">
                  <c:v>1394</c:v>
                </c:pt>
                <c:pt idx="35">
                  <c:v>1531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648-4474-AFFA-85227DE5E7BE}"/>
            </c:ext>
          </c:extLst>
        </c:ser>
        <c:ser>
          <c:idx val="5"/>
          <c:order val="5"/>
          <c:tx>
            <c:v>ch1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5.0989043152102299E-3"/>
                  <c:y val="-6.8433962443595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envelope'!$BF$2:$BF$37</c:f>
              <c:numCache>
                <c:formatCode>General</c:formatCode>
                <c:ptCount val="36"/>
                <c:pt idx="0">
                  <c:v>978</c:v>
                </c:pt>
                <c:pt idx="1">
                  <c:v>1690</c:v>
                </c:pt>
                <c:pt idx="2">
                  <c:v>1493</c:v>
                </c:pt>
                <c:pt idx="3">
                  <c:v>1351</c:v>
                </c:pt>
                <c:pt idx="4">
                  <c:v>882</c:v>
                </c:pt>
                <c:pt idx="5">
                  <c:v>1329</c:v>
                </c:pt>
                <c:pt idx="6">
                  <c:v>1581</c:v>
                </c:pt>
                <c:pt idx="7">
                  <c:v>1639</c:v>
                </c:pt>
                <c:pt idx="8">
                  <c:v>559</c:v>
                </c:pt>
                <c:pt idx="9">
                  <c:v>1384</c:v>
                </c:pt>
                <c:pt idx="10">
                  <c:v>1041</c:v>
                </c:pt>
                <c:pt idx="11">
                  <c:v>1730</c:v>
                </c:pt>
                <c:pt idx="12">
                  <c:v>943</c:v>
                </c:pt>
                <c:pt idx="13">
                  <c:v>1881</c:v>
                </c:pt>
                <c:pt idx="14">
                  <c:v>2820</c:v>
                </c:pt>
                <c:pt idx="15">
                  <c:v>1139</c:v>
                </c:pt>
                <c:pt idx="16">
                  <c:v>830</c:v>
                </c:pt>
                <c:pt idx="17">
                  <c:v>1228</c:v>
                </c:pt>
                <c:pt idx="18">
                  <c:v>1201</c:v>
                </c:pt>
                <c:pt idx="19">
                  <c:v>990</c:v>
                </c:pt>
                <c:pt idx="20">
                  <c:v>1911</c:v>
                </c:pt>
                <c:pt idx="21">
                  <c:v>2020</c:v>
                </c:pt>
                <c:pt idx="22">
                  <c:v>3003</c:v>
                </c:pt>
                <c:pt idx="23">
                  <c:v>1931</c:v>
                </c:pt>
                <c:pt idx="24">
                  <c:v>3617</c:v>
                </c:pt>
                <c:pt idx="25">
                  <c:v>3501</c:v>
                </c:pt>
                <c:pt idx="26">
                  <c:v>1749</c:v>
                </c:pt>
                <c:pt idx="27">
                  <c:v>3424</c:v>
                </c:pt>
                <c:pt idx="28">
                  <c:v>2808</c:v>
                </c:pt>
                <c:pt idx="29">
                  <c:v>1838</c:v>
                </c:pt>
                <c:pt idx="30">
                  <c:v>3306</c:v>
                </c:pt>
                <c:pt idx="31">
                  <c:v>2570</c:v>
                </c:pt>
                <c:pt idx="32">
                  <c:v>3356</c:v>
                </c:pt>
                <c:pt idx="33">
                  <c:v>2258</c:v>
                </c:pt>
                <c:pt idx="34">
                  <c:v>3355</c:v>
                </c:pt>
                <c:pt idx="35">
                  <c:v>3286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648-4474-AFFA-85227DE5E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logBase val="10"/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Impulses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Ch5 Imp/s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6.4437236921630323E-2"/>
                  <c:y val="0.2071322428238821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envelope'!$H$2:$H$37</c:f>
              <c:numCache>
                <c:formatCode>0.00</c:formatCode>
                <c:ptCount val="36"/>
                <c:pt idx="0">
                  <c:v>0.8571428571428571</c:v>
                </c:pt>
                <c:pt idx="1">
                  <c:v>0.2</c:v>
                </c:pt>
                <c:pt idx="2">
                  <c:v>1</c:v>
                </c:pt>
                <c:pt idx="3">
                  <c:v>0.4</c:v>
                </c:pt>
                <c:pt idx="4">
                  <c:v>0.4</c:v>
                </c:pt>
                <c:pt idx="5">
                  <c:v>0.75</c:v>
                </c:pt>
                <c:pt idx="6">
                  <c:v>0.3</c:v>
                </c:pt>
                <c:pt idx="7">
                  <c:v>0.9</c:v>
                </c:pt>
                <c:pt idx="8">
                  <c:v>1</c:v>
                </c:pt>
                <c:pt idx="9">
                  <c:v>0.375</c:v>
                </c:pt>
                <c:pt idx="10">
                  <c:v>0.33333333333333331</c:v>
                </c:pt>
                <c:pt idx="11">
                  <c:v>0.5</c:v>
                </c:pt>
                <c:pt idx="12">
                  <c:v>0.2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6.6666666666666666E-2</c:v>
                </c:pt>
                <c:pt idx="29">
                  <c:v>0</c:v>
                </c:pt>
                <c:pt idx="30">
                  <c:v>0.5</c:v>
                </c:pt>
                <c:pt idx="31">
                  <c:v>0.13333333333333333</c:v>
                </c:pt>
                <c:pt idx="32">
                  <c:v>0.2</c:v>
                </c:pt>
                <c:pt idx="33">
                  <c:v>0.8</c:v>
                </c:pt>
                <c:pt idx="34">
                  <c:v>0</c:v>
                </c:pt>
                <c:pt idx="35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40-4C78-94C4-A5A26B7AD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layout>
            <c:manualLayout>
              <c:xMode val="edge"/>
              <c:yMode val="edge"/>
              <c:x val="6.8547409397845677E-2"/>
              <c:y val="0.330643038693590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Ch5 </a:t>
            </a:r>
            <a:r>
              <a:rPr lang="en-US" sz="1100" baseline="0"/>
              <a:t>Dmax vs Imp/s 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26519980719541736"/>
                  <c:y val="-0.1565187407064341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envelope'!$H$2:$H$37</c:f>
              <c:numCache>
                <c:formatCode>0.00</c:formatCode>
                <c:ptCount val="36"/>
                <c:pt idx="0">
                  <c:v>0.8571428571428571</c:v>
                </c:pt>
                <c:pt idx="1">
                  <c:v>0.2</c:v>
                </c:pt>
                <c:pt idx="2">
                  <c:v>1</c:v>
                </c:pt>
                <c:pt idx="3">
                  <c:v>0.4</c:v>
                </c:pt>
                <c:pt idx="4">
                  <c:v>0.4</c:v>
                </c:pt>
                <c:pt idx="5">
                  <c:v>0.75</c:v>
                </c:pt>
                <c:pt idx="6">
                  <c:v>0.3</c:v>
                </c:pt>
                <c:pt idx="7">
                  <c:v>0.9</c:v>
                </c:pt>
                <c:pt idx="8">
                  <c:v>1</c:v>
                </c:pt>
                <c:pt idx="9">
                  <c:v>0.375</c:v>
                </c:pt>
                <c:pt idx="10">
                  <c:v>0.33333333333333331</c:v>
                </c:pt>
                <c:pt idx="11">
                  <c:v>0.5</c:v>
                </c:pt>
                <c:pt idx="12">
                  <c:v>0.2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6.6666666666666666E-2</c:v>
                </c:pt>
                <c:pt idx="29">
                  <c:v>0</c:v>
                </c:pt>
                <c:pt idx="30">
                  <c:v>0.5</c:v>
                </c:pt>
                <c:pt idx="31">
                  <c:v>0.13333333333333333</c:v>
                </c:pt>
                <c:pt idx="32">
                  <c:v>0.2</c:v>
                </c:pt>
                <c:pt idx="33">
                  <c:v>0.8</c:v>
                </c:pt>
                <c:pt idx="34">
                  <c:v>0</c:v>
                </c:pt>
                <c:pt idx="35">
                  <c:v>0.3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97-4BF8-9AAD-4379EAD82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</a:t>
            </a:r>
            <a:r>
              <a:rPr lang="en-US" baseline="0"/>
              <a:t> Amplitude by Channel v/s Max Size - Linear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75258319916485"/>
          <c:y val="0.17381898388579803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tx>
            <c:v>ch6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envelope'!$V$2:$V$37</c:f>
              <c:numCache>
                <c:formatCode>General</c:formatCode>
                <c:ptCount val="36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6">
                  <c:v>4.5463397884194803E-2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28">
                  <c:v>2.4016207968108199E-2</c:v>
                </c:pt>
                <c:pt idx="30">
                  <c:v>0.12653412852816501</c:v>
                </c:pt>
                <c:pt idx="31">
                  <c:v>3.4786896818932399E-2</c:v>
                </c:pt>
                <c:pt idx="32">
                  <c:v>5.04335454776157E-2</c:v>
                </c:pt>
                <c:pt idx="33">
                  <c:v>9.6840712231762202E-2</c:v>
                </c:pt>
                <c:pt idx="35">
                  <c:v>6.5041528765672305E-2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EF-4FE1-BC07-F1F4B82CC469}"/>
            </c:ext>
          </c:extLst>
        </c:ser>
        <c:ser>
          <c:idx val="0"/>
          <c:order val="1"/>
          <c:tx>
            <c:v>ch5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envelope'!$W$2:$W$37</c:f>
              <c:numCache>
                <c:formatCode>General</c:formatCode>
                <c:ptCount val="36"/>
                <c:pt idx="0">
                  <c:v>0.41927640072245398</c:v>
                </c:pt>
                <c:pt idx="1">
                  <c:v>0.20568921240475099</c:v>
                </c:pt>
                <c:pt idx="2">
                  <c:v>0.64777887394095901</c:v>
                </c:pt>
                <c:pt idx="3">
                  <c:v>0.35766654738860698</c:v>
                </c:pt>
                <c:pt idx="4">
                  <c:v>0.18739975134602699</c:v>
                </c:pt>
                <c:pt idx="5">
                  <c:v>0.20701756688990799</c:v>
                </c:pt>
                <c:pt idx="6">
                  <c:v>0.25075332859211602</c:v>
                </c:pt>
                <c:pt idx="7">
                  <c:v>0.41172733850827198</c:v>
                </c:pt>
                <c:pt idx="8">
                  <c:v>0.17817418715271299</c:v>
                </c:pt>
                <c:pt idx="9">
                  <c:v>0.382556649604614</c:v>
                </c:pt>
                <c:pt idx="10">
                  <c:v>0.120317698949799</c:v>
                </c:pt>
                <c:pt idx="11">
                  <c:v>0.42153154818843802</c:v>
                </c:pt>
                <c:pt idx="12">
                  <c:v>0.110899540822579</c:v>
                </c:pt>
                <c:pt idx="13">
                  <c:v>8.9924460015169197E-2</c:v>
                </c:pt>
                <c:pt idx="15">
                  <c:v>8.9118018354809397E-2</c:v>
                </c:pt>
                <c:pt idx="16">
                  <c:v>4.3588035533449102E-2</c:v>
                </c:pt>
                <c:pt idx="17">
                  <c:v>4.5264926558627801E-2</c:v>
                </c:pt>
                <c:pt idx="18">
                  <c:v>9.8216553387208499E-2</c:v>
                </c:pt>
                <c:pt idx="19">
                  <c:v>6.4780702531506598E-2</c:v>
                </c:pt>
                <c:pt idx="20">
                  <c:v>4.2501950150423698E-2</c:v>
                </c:pt>
                <c:pt idx="23">
                  <c:v>2.7853920447008899E-2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0.14138370371945599</c:v>
                </c:pt>
                <c:pt idx="28">
                  <c:v>9.6064831872432796E-2</c:v>
                </c:pt>
                <c:pt idx="29">
                  <c:v>7.7688485677371896E-2</c:v>
                </c:pt>
                <c:pt idx="30">
                  <c:v>0.50613651411266203</c:v>
                </c:pt>
                <c:pt idx="31">
                  <c:v>0.206011803894672</c:v>
                </c:pt>
                <c:pt idx="32">
                  <c:v>0.201734181910463</c:v>
                </c:pt>
                <c:pt idx="33">
                  <c:v>0.38736284892704798</c:v>
                </c:pt>
                <c:pt idx="34">
                  <c:v>0.166679896852063</c:v>
                </c:pt>
                <c:pt idx="35">
                  <c:v>0.260166115062689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EF-4FE1-BC07-F1F4B82CC469}"/>
            </c:ext>
          </c:extLst>
        </c:ser>
        <c:ser>
          <c:idx val="2"/>
          <c:order val="2"/>
          <c:tx>
            <c:v>ch4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envelope'!$X$2:$X$37</c:f>
              <c:numCache>
                <c:formatCode>General</c:formatCode>
                <c:ptCount val="36"/>
                <c:pt idx="0">
                  <c:v>1.6771056028898099</c:v>
                </c:pt>
                <c:pt idx="1">
                  <c:v>0.82275684961900697</c:v>
                </c:pt>
                <c:pt idx="2">
                  <c:v>2.5911154957638298</c:v>
                </c:pt>
                <c:pt idx="3">
                  <c:v>1.4306661895544299</c:v>
                </c:pt>
                <c:pt idx="4">
                  <c:v>0.74959900538411095</c:v>
                </c:pt>
                <c:pt idx="5">
                  <c:v>0.82807026755963298</c:v>
                </c:pt>
                <c:pt idx="6">
                  <c:v>1.0030133143684601</c:v>
                </c:pt>
                <c:pt idx="7">
                  <c:v>1.6469093540330899</c:v>
                </c:pt>
                <c:pt idx="8">
                  <c:v>0.71269674861085297</c:v>
                </c:pt>
                <c:pt idx="9">
                  <c:v>1.53022659841845</c:v>
                </c:pt>
                <c:pt idx="10">
                  <c:v>0.48127079579919901</c:v>
                </c:pt>
                <c:pt idx="11">
                  <c:v>1.6861261927537501</c:v>
                </c:pt>
                <c:pt idx="12">
                  <c:v>0.44359816329031698</c:v>
                </c:pt>
                <c:pt idx="13">
                  <c:v>0.35969784006067601</c:v>
                </c:pt>
                <c:pt idx="14">
                  <c:v>0.175317651341791</c:v>
                </c:pt>
                <c:pt idx="15">
                  <c:v>0.35647207341923698</c:v>
                </c:pt>
                <c:pt idx="16">
                  <c:v>0.17435214213379599</c:v>
                </c:pt>
                <c:pt idx="17">
                  <c:v>0.18105970623451101</c:v>
                </c:pt>
                <c:pt idx="18">
                  <c:v>0.392866213548834</c:v>
                </c:pt>
                <c:pt idx="19">
                  <c:v>0.259122810126026</c:v>
                </c:pt>
                <c:pt idx="20">
                  <c:v>0.17000780060169399</c:v>
                </c:pt>
                <c:pt idx="21">
                  <c:v>8.56390953438151E-2</c:v>
                </c:pt>
                <c:pt idx="22">
                  <c:v>8.5713069200916994E-2</c:v>
                </c:pt>
                <c:pt idx="23">
                  <c:v>0.111415681788035</c:v>
                </c:pt>
                <c:pt idx="24">
                  <c:v>0.22405081109390301</c:v>
                </c:pt>
                <c:pt idx="25">
                  <c:v>0.174252813606527</c:v>
                </c:pt>
                <c:pt idx="26">
                  <c:v>0.371166958187158</c:v>
                </c:pt>
                <c:pt idx="27">
                  <c:v>0.56553481487782498</c:v>
                </c:pt>
                <c:pt idx="28">
                  <c:v>0.38425932748973102</c:v>
                </c:pt>
                <c:pt idx="29">
                  <c:v>0.31075394270948697</c:v>
                </c:pt>
                <c:pt idx="30">
                  <c:v>2.0245460564506401</c:v>
                </c:pt>
                <c:pt idx="31">
                  <c:v>0.82404721557868799</c:v>
                </c:pt>
                <c:pt idx="32">
                  <c:v>0.80693672764185198</c:v>
                </c:pt>
                <c:pt idx="33">
                  <c:v>1.5494513957081899</c:v>
                </c:pt>
                <c:pt idx="34">
                  <c:v>0.66671958740825399</c:v>
                </c:pt>
                <c:pt idx="35">
                  <c:v>1.04066446025075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6EF-4FE1-BC07-F1F4B82CC469}"/>
            </c:ext>
          </c:extLst>
        </c:ser>
        <c:ser>
          <c:idx val="3"/>
          <c:order val="3"/>
          <c:tx>
            <c:v>ch3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envelope'!$Y$2:$Y$37</c:f>
              <c:numCache>
                <c:formatCode>General</c:formatCode>
                <c:ptCount val="36"/>
                <c:pt idx="0">
                  <c:v>6.7084224115592699</c:v>
                </c:pt>
                <c:pt idx="1">
                  <c:v>3.2910273984760301</c:v>
                </c:pt>
                <c:pt idx="2">
                  <c:v>10.3644619830553</c:v>
                </c:pt>
                <c:pt idx="3">
                  <c:v>5.7226647582177197</c:v>
                </c:pt>
                <c:pt idx="4">
                  <c:v>2.9983960215364398</c:v>
                </c:pt>
                <c:pt idx="5">
                  <c:v>3.3122810702385301</c:v>
                </c:pt>
                <c:pt idx="6">
                  <c:v>4.0120532574738599</c:v>
                </c:pt>
                <c:pt idx="7">
                  <c:v>6.5876374161323596</c:v>
                </c:pt>
                <c:pt idx="8">
                  <c:v>2.8507869944434101</c:v>
                </c:pt>
                <c:pt idx="9">
                  <c:v>6.1209063936738302</c:v>
                </c:pt>
                <c:pt idx="10">
                  <c:v>1.9250831831967901</c:v>
                </c:pt>
                <c:pt idx="11">
                  <c:v>6.7445047710150003</c:v>
                </c:pt>
                <c:pt idx="12">
                  <c:v>1.7743926531612599</c:v>
                </c:pt>
                <c:pt idx="13">
                  <c:v>1.4387913602427</c:v>
                </c:pt>
                <c:pt idx="14">
                  <c:v>0.70127060536716501</c:v>
                </c:pt>
                <c:pt idx="15">
                  <c:v>1.4258882936769499</c:v>
                </c:pt>
                <c:pt idx="16">
                  <c:v>0.69740856853518496</c:v>
                </c:pt>
                <c:pt idx="17">
                  <c:v>0.72423882493804503</c:v>
                </c:pt>
                <c:pt idx="18">
                  <c:v>1.57146485419533</c:v>
                </c:pt>
                <c:pt idx="19">
                  <c:v>1.0364912405041</c:v>
                </c:pt>
                <c:pt idx="20">
                  <c:v>0.68003120240677895</c:v>
                </c:pt>
                <c:pt idx="21">
                  <c:v>0.34626724490363803</c:v>
                </c:pt>
                <c:pt idx="22">
                  <c:v>0.346074787752647</c:v>
                </c:pt>
                <c:pt idx="23">
                  <c:v>0.445662727152142</c:v>
                </c:pt>
                <c:pt idx="24">
                  <c:v>0.89620324437561405</c:v>
                </c:pt>
                <c:pt idx="25">
                  <c:v>0.69701125442610801</c:v>
                </c:pt>
                <c:pt idx="26">
                  <c:v>1.48466783274863</c:v>
                </c:pt>
                <c:pt idx="27">
                  <c:v>2.2621392595112999</c:v>
                </c:pt>
                <c:pt idx="28">
                  <c:v>1.5370373099589201</c:v>
                </c:pt>
                <c:pt idx="29">
                  <c:v>1.2430157708379499</c:v>
                </c:pt>
                <c:pt idx="30">
                  <c:v>8.0981842258025907</c:v>
                </c:pt>
                <c:pt idx="31">
                  <c:v>3.2961888623147502</c:v>
                </c:pt>
                <c:pt idx="32">
                  <c:v>3.2277469105674101</c:v>
                </c:pt>
                <c:pt idx="33">
                  <c:v>6.19780558283278</c:v>
                </c:pt>
                <c:pt idx="34">
                  <c:v>2.6668783496330102</c:v>
                </c:pt>
                <c:pt idx="35">
                  <c:v>4.1626578410030204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6EF-4FE1-BC07-F1F4B82CC469}"/>
            </c:ext>
          </c:extLst>
        </c:ser>
        <c:ser>
          <c:idx val="4"/>
          <c:order val="4"/>
          <c:tx>
            <c:v>ch2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envelope'!$Z$2:$Z$37</c:f>
              <c:numCache>
                <c:formatCode>General</c:formatCode>
                <c:ptCount val="36"/>
                <c:pt idx="0">
                  <c:v>26.833689646237001</c:v>
                </c:pt>
                <c:pt idx="1">
                  <c:v>13.164109593904101</c:v>
                </c:pt>
                <c:pt idx="2">
                  <c:v>41.457847932221398</c:v>
                </c:pt>
                <c:pt idx="3">
                  <c:v>22.890659032870801</c:v>
                </c:pt>
                <c:pt idx="4">
                  <c:v>11.993584086145701</c:v>
                </c:pt>
                <c:pt idx="5">
                  <c:v>13.249124280954099</c:v>
                </c:pt>
                <c:pt idx="6">
                  <c:v>16.0482130298954</c:v>
                </c:pt>
                <c:pt idx="7">
                  <c:v>26.3505496645294</c:v>
                </c:pt>
                <c:pt idx="8">
                  <c:v>11.4031479777736</c:v>
                </c:pt>
                <c:pt idx="9">
                  <c:v>24.483625574695299</c:v>
                </c:pt>
                <c:pt idx="10">
                  <c:v>7.7003327327871904</c:v>
                </c:pt>
                <c:pt idx="11">
                  <c:v>26.978019084060001</c:v>
                </c:pt>
                <c:pt idx="12">
                  <c:v>7.0975706126450699</c:v>
                </c:pt>
                <c:pt idx="13">
                  <c:v>5.7551654409708304</c:v>
                </c:pt>
                <c:pt idx="14">
                  <c:v>2.80508242146866</c:v>
                </c:pt>
                <c:pt idx="15">
                  <c:v>5.7035531747077997</c:v>
                </c:pt>
                <c:pt idx="16">
                  <c:v>2.7896342741407398</c:v>
                </c:pt>
                <c:pt idx="17">
                  <c:v>2.8969552997521801</c:v>
                </c:pt>
                <c:pt idx="18">
                  <c:v>6.2858594167813404</c:v>
                </c:pt>
                <c:pt idx="19">
                  <c:v>4.1459649620164196</c:v>
                </c:pt>
                <c:pt idx="20">
                  <c:v>2.72012480962711</c:v>
                </c:pt>
                <c:pt idx="21">
                  <c:v>1.3850689796145501</c:v>
                </c:pt>
                <c:pt idx="22">
                  <c:v>1.38429915101059</c:v>
                </c:pt>
                <c:pt idx="23">
                  <c:v>1.78265090860857</c:v>
                </c:pt>
                <c:pt idx="24">
                  <c:v>3.58481297750245</c:v>
                </c:pt>
                <c:pt idx="25">
                  <c:v>2.7880450177044298</c:v>
                </c:pt>
                <c:pt idx="26">
                  <c:v>5.9386713309945298</c:v>
                </c:pt>
                <c:pt idx="27">
                  <c:v>9.0485570380452103</c:v>
                </c:pt>
                <c:pt idx="28">
                  <c:v>6.1481492398356998</c:v>
                </c:pt>
                <c:pt idx="29">
                  <c:v>4.9720630833517996</c:v>
                </c:pt>
                <c:pt idx="30">
                  <c:v>32.392736903210299</c:v>
                </c:pt>
                <c:pt idx="31">
                  <c:v>13.184755449259001</c:v>
                </c:pt>
                <c:pt idx="32">
                  <c:v>12.9109876422696</c:v>
                </c:pt>
                <c:pt idx="33">
                  <c:v>24.791222331331099</c:v>
                </c:pt>
                <c:pt idx="34">
                  <c:v>10.667513398532</c:v>
                </c:pt>
                <c:pt idx="35">
                  <c:v>16.650631364012099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6EF-4FE1-BC07-F1F4B82CC469}"/>
            </c:ext>
          </c:extLst>
        </c:ser>
        <c:ser>
          <c:idx val="5"/>
          <c:order val="5"/>
          <c:tx>
            <c:v>ch1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envelope'!$AA$2:$AA$37</c:f>
              <c:numCache>
                <c:formatCode>General</c:formatCode>
                <c:ptCount val="36"/>
                <c:pt idx="0">
                  <c:v>107.33475858494801</c:v>
                </c:pt>
                <c:pt idx="1">
                  <c:v>52.656438375616403</c:v>
                </c:pt>
                <c:pt idx="2">
                  <c:v>165.831391728885</c:v>
                </c:pt>
                <c:pt idx="3">
                  <c:v>91.562636131483501</c:v>
                </c:pt>
                <c:pt idx="4">
                  <c:v>47.974336344583101</c:v>
                </c:pt>
                <c:pt idx="5">
                  <c:v>52.996497123816503</c:v>
                </c:pt>
                <c:pt idx="6">
                  <c:v>64.192852119581701</c:v>
                </c:pt>
                <c:pt idx="7">
                  <c:v>105.402198658117</c:v>
                </c:pt>
                <c:pt idx="8">
                  <c:v>45.612591911094597</c:v>
                </c:pt>
                <c:pt idx="9">
                  <c:v>97.934502298781396</c:v>
                </c:pt>
                <c:pt idx="10">
                  <c:v>30.801330931148701</c:v>
                </c:pt>
                <c:pt idx="11">
                  <c:v>107.91207633624001</c:v>
                </c:pt>
                <c:pt idx="12">
                  <c:v>28.390282450580202</c:v>
                </c:pt>
                <c:pt idx="13">
                  <c:v>23.0206617638833</c:v>
                </c:pt>
                <c:pt idx="14">
                  <c:v>11.220329685874599</c:v>
                </c:pt>
                <c:pt idx="15">
                  <c:v>22.814212698831199</c:v>
                </c:pt>
                <c:pt idx="16">
                  <c:v>11.158537096562901</c:v>
                </c:pt>
                <c:pt idx="17">
                  <c:v>11.587821199008699</c:v>
                </c:pt>
                <c:pt idx="18">
                  <c:v>25.143437667125301</c:v>
                </c:pt>
                <c:pt idx="19">
                  <c:v>16.5838598480656</c:v>
                </c:pt>
                <c:pt idx="20">
                  <c:v>10.880499238508399</c:v>
                </c:pt>
                <c:pt idx="21">
                  <c:v>5.5402759184582102</c:v>
                </c:pt>
                <c:pt idx="22">
                  <c:v>5.5371966040423599</c:v>
                </c:pt>
                <c:pt idx="23">
                  <c:v>7.13060363443428</c:v>
                </c:pt>
                <c:pt idx="24">
                  <c:v>14.3392519100098</c:v>
                </c:pt>
                <c:pt idx="25">
                  <c:v>11.1521800708177</c:v>
                </c:pt>
                <c:pt idx="26">
                  <c:v>23.754685323978102</c:v>
                </c:pt>
                <c:pt idx="27">
                  <c:v>36.194228152180798</c:v>
                </c:pt>
                <c:pt idx="28">
                  <c:v>24.592596959342799</c:v>
                </c:pt>
                <c:pt idx="29">
                  <c:v>19.888252333407198</c:v>
                </c:pt>
                <c:pt idx="30">
                  <c:v>129.570947612841</c:v>
                </c:pt>
                <c:pt idx="31">
                  <c:v>52.739021797036003</c:v>
                </c:pt>
                <c:pt idx="32">
                  <c:v>51.643950569078498</c:v>
                </c:pt>
                <c:pt idx="33">
                  <c:v>99.164889325324495</c:v>
                </c:pt>
                <c:pt idx="34">
                  <c:v>42.670053594128298</c:v>
                </c:pt>
                <c:pt idx="35">
                  <c:v>66.602525456048397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6EF-4FE1-BC07-F1F4B82CC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</a:t>
            </a:r>
            <a:r>
              <a:rPr lang="en-US" baseline="0"/>
              <a:t> Amplitude by Channel v/s Max Size - Power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3382520993456"/>
          <c:y val="0.1598240740659114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tx>
            <c:v>ch6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envelope'!$V$2:$V$37</c:f>
              <c:numCache>
                <c:formatCode>General</c:formatCode>
                <c:ptCount val="36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6">
                  <c:v>4.5463397884194803E-2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28">
                  <c:v>2.4016207968108199E-2</c:v>
                </c:pt>
                <c:pt idx="30">
                  <c:v>0.12653412852816501</c:v>
                </c:pt>
                <c:pt idx="31">
                  <c:v>3.4786896818932399E-2</c:v>
                </c:pt>
                <c:pt idx="32">
                  <c:v>5.04335454776157E-2</c:v>
                </c:pt>
                <c:pt idx="33">
                  <c:v>9.6840712231762202E-2</c:v>
                </c:pt>
                <c:pt idx="35">
                  <c:v>6.5041528765672305E-2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36-46C7-A718-9451DE948014}"/>
            </c:ext>
          </c:extLst>
        </c:ser>
        <c:ser>
          <c:idx val="0"/>
          <c:order val="1"/>
          <c:tx>
            <c:v>ch5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envelope'!$W$2:$W$37</c:f>
              <c:numCache>
                <c:formatCode>General</c:formatCode>
                <c:ptCount val="36"/>
                <c:pt idx="0">
                  <c:v>0.41927640072245398</c:v>
                </c:pt>
                <c:pt idx="1">
                  <c:v>0.20568921240475099</c:v>
                </c:pt>
                <c:pt idx="2">
                  <c:v>0.64777887394095901</c:v>
                </c:pt>
                <c:pt idx="3">
                  <c:v>0.35766654738860698</c:v>
                </c:pt>
                <c:pt idx="4">
                  <c:v>0.18739975134602699</c:v>
                </c:pt>
                <c:pt idx="5">
                  <c:v>0.20701756688990799</c:v>
                </c:pt>
                <c:pt idx="6">
                  <c:v>0.25075332859211602</c:v>
                </c:pt>
                <c:pt idx="7">
                  <c:v>0.41172733850827198</c:v>
                </c:pt>
                <c:pt idx="8">
                  <c:v>0.17817418715271299</c:v>
                </c:pt>
                <c:pt idx="9">
                  <c:v>0.382556649604614</c:v>
                </c:pt>
                <c:pt idx="10">
                  <c:v>0.120317698949799</c:v>
                </c:pt>
                <c:pt idx="11">
                  <c:v>0.42153154818843802</c:v>
                </c:pt>
                <c:pt idx="12">
                  <c:v>0.110899540822579</c:v>
                </c:pt>
                <c:pt idx="13">
                  <c:v>8.9924460015169197E-2</c:v>
                </c:pt>
                <c:pt idx="15">
                  <c:v>8.9118018354809397E-2</c:v>
                </c:pt>
                <c:pt idx="16">
                  <c:v>4.3588035533449102E-2</c:v>
                </c:pt>
                <c:pt idx="17">
                  <c:v>4.5264926558627801E-2</c:v>
                </c:pt>
                <c:pt idx="18">
                  <c:v>9.8216553387208499E-2</c:v>
                </c:pt>
                <c:pt idx="19">
                  <c:v>6.4780702531506598E-2</c:v>
                </c:pt>
                <c:pt idx="20">
                  <c:v>4.2501950150423698E-2</c:v>
                </c:pt>
                <c:pt idx="23">
                  <c:v>2.7853920447008899E-2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0.14138370371945599</c:v>
                </c:pt>
                <c:pt idx="28">
                  <c:v>9.6064831872432796E-2</c:v>
                </c:pt>
                <c:pt idx="29">
                  <c:v>7.7688485677371896E-2</c:v>
                </c:pt>
                <c:pt idx="30">
                  <c:v>0.50613651411266203</c:v>
                </c:pt>
                <c:pt idx="31">
                  <c:v>0.206011803894672</c:v>
                </c:pt>
                <c:pt idx="32">
                  <c:v>0.201734181910463</c:v>
                </c:pt>
                <c:pt idx="33">
                  <c:v>0.38736284892704798</c:v>
                </c:pt>
                <c:pt idx="34">
                  <c:v>0.166679896852063</c:v>
                </c:pt>
                <c:pt idx="35">
                  <c:v>0.260166115062689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836-46C7-A718-9451DE948014}"/>
            </c:ext>
          </c:extLst>
        </c:ser>
        <c:ser>
          <c:idx val="2"/>
          <c:order val="2"/>
          <c:tx>
            <c:v>ch4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envelope'!$X$2:$X$37</c:f>
              <c:numCache>
                <c:formatCode>General</c:formatCode>
                <c:ptCount val="36"/>
                <c:pt idx="0">
                  <c:v>1.6771056028898099</c:v>
                </c:pt>
                <c:pt idx="1">
                  <c:v>0.82275684961900697</c:v>
                </c:pt>
                <c:pt idx="2">
                  <c:v>2.5911154957638298</c:v>
                </c:pt>
                <c:pt idx="3">
                  <c:v>1.4306661895544299</c:v>
                </c:pt>
                <c:pt idx="4">
                  <c:v>0.74959900538411095</c:v>
                </c:pt>
                <c:pt idx="5">
                  <c:v>0.82807026755963298</c:v>
                </c:pt>
                <c:pt idx="6">
                  <c:v>1.0030133143684601</c:v>
                </c:pt>
                <c:pt idx="7">
                  <c:v>1.6469093540330899</c:v>
                </c:pt>
                <c:pt idx="8">
                  <c:v>0.71269674861085297</c:v>
                </c:pt>
                <c:pt idx="9">
                  <c:v>1.53022659841845</c:v>
                </c:pt>
                <c:pt idx="10">
                  <c:v>0.48127079579919901</c:v>
                </c:pt>
                <c:pt idx="11">
                  <c:v>1.6861261927537501</c:v>
                </c:pt>
                <c:pt idx="12">
                  <c:v>0.44359816329031698</c:v>
                </c:pt>
                <c:pt idx="13">
                  <c:v>0.35969784006067601</c:v>
                </c:pt>
                <c:pt idx="14">
                  <c:v>0.175317651341791</c:v>
                </c:pt>
                <c:pt idx="15">
                  <c:v>0.35647207341923698</c:v>
                </c:pt>
                <c:pt idx="16">
                  <c:v>0.17435214213379599</c:v>
                </c:pt>
                <c:pt idx="17">
                  <c:v>0.18105970623451101</c:v>
                </c:pt>
                <c:pt idx="18">
                  <c:v>0.392866213548834</c:v>
                </c:pt>
                <c:pt idx="19">
                  <c:v>0.259122810126026</c:v>
                </c:pt>
                <c:pt idx="20">
                  <c:v>0.17000780060169399</c:v>
                </c:pt>
                <c:pt idx="21">
                  <c:v>8.56390953438151E-2</c:v>
                </c:pt>
                <c:pt idx="22">
                  <c:v>8.5713069200916994E-2</c:v>
                </c:pt>
                <c:pt idx="23">
                  <c:v>0.111415681788035</c:v>
                </c:pt>
                <c:pt idx="24">
                  <c:v>0.22405081109390301</c:v>
                </c:pt>
                <c:pt idx="25">
                  <c:v>0.174252813606527</c:v>
                </c:pt>
                <c:pt idx="26">
                  <c:v>0.371166958187158</c:v>
                </c:pt>
                <c:pt idx="27">
                  <c:v>0.56553481487782498</c:v>
                </c:pt>
                <c:pt idx="28">
                  <c:v>0.38425932748973102</c:v>
                </c:pt>
                <c:pt idx="29">
                  <c:v>0.31075394270948697</c:v>
                </c:pt>
                <c:pt idx="30">
                  <c:v>2.0245460564506401</c:v>
                </c:pt>
                <c:pt idx="31">
                  <c:v>0.82404721557868799</c:v>
                </c:pt>
                <c:pt idx="32">
                  <c:v>0.80693672764185198</c:v>
                </c:pt>
                <c:pt idx="33">
                  <c:v>1.5494513957081899</c:v>
                </c:pt>
                <c:pt idx="34">
                  <c:v>0.66671958740825399</c:v>
                </c:pt>
                <c:pt idx="35">
                  <c:v>1.04066446025075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836-46C7-A718-9451DE948014}"/>
            </c:ext>
          </c:extLst>
        </c:ser>
        <c:ser>
          <c:idx val="3"/>
          <c:order val="3"/>
          <c:tx>
            <c:v>ch3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envelope'!$Y$2:$Y$37</c:f>
              <c:numCache>
                <c:formatCode>General</c:formatCode>
                <c:ptCount val="36"/>
                <c:pt idx="0">
                  <c:v>6.7084224115592699</c:v>
                </c:pt>
                <c:pt idx="1">
                  <c:v>3.2910273984760301</c:v>
                </c:pt>
                <c:pt idx="2">
                  <c:v>10.3644619830553</c:v>
                </c:pt>
                <c:pt idx="3">
                  <c:v>5.7226647582177197</c:v>
                </c:pt>
                <c:pt idx="4">
                  <c:v>2.9983960215364398</c:v>
                </c:pt>
                <c:pt idx="5">
                  <c:v>3.3122810702385301</c:v>
                </c:pt>
                <c:pt idx="6">
                  <c:v>4.0120532574738599</c:v>
                </c:pt>
                <c:pt idx="7">
                  <c:v>6.5876374161323596</c:v>
                </c:pt>
                <c:pt idx="8">
                  <c:v>2.8507869944434101</c:v>
                </c:pt>
                <c:pt idx="9">
                  <c:v>6.1209063936738302</c:v>
                </c:pt>
                <c:pt idx="10">
                  <c:v>1.9250831831967901</c:v>
                </c:pt>
                <c:pt idx="11">
                  <c:v>6.7445047710150003</c:v>
                </c:pt>
                <c:pt idx="12">
                  <c:v>1.7743926531612599</c:v>
                </c:pt>
                <c:pt idx="13">
                  <c:v>1.4387913602427</c:v>
                </c:pt>
                <c:pt idx="14">
                  <c:v>0.70127060536716501</c:v>
                </c:pt>
                <c:pt idx="15">
                  <c:v>1.4258882936769499</c:v>
                </c:pt>
                <c:pt idx="16">
                  <c:v>0.69740856853518496</c:v>
                </c:pt>
                <c:pt idx="17">
                  <c:v>0.72423882493804503</c:v>
                </c:pt>
                <c:pt idx="18">
                  <c:v>1.57146485419533</c:v>
                </c:pt>
                <c:pt idx="19">
                  <c:v>1.0364912405041</c:v>
                </c:pt>
                <c:pt idx="20">
                  <c:v>0.68003120240677895</c:v>
                </c:pt>
                <c:pt idx="21">
                  <c:v>0.34626724490363803</c:v>
                </c:pt>
                <c:pt idx="22">
                  <c:v>0.346074787752647</c:v>
                </c:pt>
                <c:pt idx="23">
                  <c:v>0.445662727152142</c:v>
                </c:pt>
                <c:pt idx="24">
                  <c:v>0.89620324437561405</c:v>
                </c:pt>
                <c:pt idx="25">
                  <c:v>0.69701125442610801</c:v>
                </c:pt>
                <c:pt idx="26">
                  <c:v>1.48466783274863</c:v>
                </c:pt>
                <c:pt idx="27">
                  <c:v>2.2621392595112999</c:v>
                </c:pt>
                <c:pt idx="28">
                  <c:v>1.5370373099589201</c:v>
                </c:pt>
                <c:pt idx="29">
                  <c:v>1.2430157708379499</c:v>
                </c:pt>
                <c:pt idx="30">
                  <c:v>8.0981842258025907</c:v>
                </c:pt>
                <c:pt idx="31">
                  <c:v>3.2961888623147502</c:v>
                </c:pt>
                <c:pt idx="32">
                  <c:v>3.2277469105674101</c:v>
                </c:pt>
                <c:pt idx="33">
                  <c:v>6.19780558283278</c:v>
                </c:pt>
                <c:pt idx="34">
                  <c:v>2.6668783496330102</c:v>
                </c:pt>
                <c:pt idx="35">
                  <c:v>4.1626578410030204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836-46C7-A718-9451DE948014}"/>
            </c:ext>
          </c:extLst>
        </c:ser>
        <c:ser>
          <c:idx val="4"/>
          <c:order val="4"/>
          <c:tx>
            <c:v>ch2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envelope'!$Z$2:$Z$37</c:f>
              <c:numCache>
                <c:formatCode>General</c:formatCode>
                <c:ptCount val="36"/>
                <c:pt idx="0">
                  <c:v>26.833689646237001</c:v>
                </c:pt>
                <c:pt idx="1">
                  <c:v>13.164109593904101</c:v>
                </c:pt>
                <c:pt idx="2">
                  <c:v>41.457847932221398</c:v>
                </c:pt>
                <c:pt idx="3">
                  <c:v>22.890659032870801</c:v>
                </c:pt>
                <c:pt idx="4">
                  <c:v>11.993584086145701</c:v>
                </c:pt>
                <c:pt idx="5">
                  <c:v>13.249124280954099</c:v>
                </c:pt>
                <c:pt idx="6">
                  <c:v>16.0482130298954</c:v>
                </c:pt>
                <c:pt idx="7">
                  <c:v>26.3505496645294</c:v>
                </c:pt>
                <c:pt idx="8">
                  <c:v>11.4031479777736</c:v>
                </c:pt>
                <c:pt idx="9">
                  <c:v>24.483625574695299</c:v>
                </c:pt>
                <c:pt idx="10">
                  <c:v>7.7003327327871904</c:v>
                </c:pt>
                <c:pt idx="11">
                  <c:v>26.978019084060001</c:v>
                </c:pt>
                <c:pt idx="12">
                  <c:v>7.0975706126450699</c:v>
                </c:pt>
                <c:pt idx="13">
                  <c:v>5.7551654409708304</c:v>
                </c:pt>
                <c:pt idx="14">
                  <c:v>2.80508242146866</c:v>
                </c:pt>
                <c:pt idx="15">
                  <c:v>5.7035531747077997</c:v>
                </c:pt>
                <c:pt idx="16">
                  <c:v>2.7896342741407398</c:v>
                </c:pt>
                <c:pt idx="17">
                  <c:v>2.8969552997521801</c:v>
                </c:pt>
                <c:pt idx="18">
                  <c:v>6.2858594167813404</c:v>
                </c:pt>
                <c:pt idx="19">
                  <c:v>4.1459649620164196</c:v>
                </c:pt>
                <c:pt idx="20">
                  <c:v>2.72012480962711</c:v>
                </c:pt>
                <c:pt idx="21">
                  <c:v>1.3850689796145501</c:v>
                </c:pt>
                <c:pt idx="22">
                  <c:v>1.38429915101059</c:v>
                </c:pt>
                <c:pt idx="23">
                  <c:v>1.78265090860857</c:v>
                </c:pt>
                <c:pt idx="24">
                  <c:v>3.58481297750245</c:v>
                </c:pt>
                <c:pt idx="25">
                  <c:v>2.7880450177044298</c:v>
                </c:pt>
                <c:pt idx="26">
                  <c:v>5.9386713309945298</c:v>
                </c:pt>
                <c:pt idx="27">
                  <c:v>9.0485570380452103</c:v>
                </c:pt>
                <c:pt idx="28">
                  <c:v>6.1481492398356998</c:v>
                </c:pt>
                <c:pt idx="29">
                  <c:v>4.9720630833517996</c:v>
                </c:pt>
                <c:pt idx="30">
                  <c:v>32.392736903210299</c:v>
                </c:pt>
                <c:pt idx="31">
                  <c:v>13.184755449259001</c:v>
                </c:pt>
                <c:pt idx="32">
                  <c:v>12.9109876422696</c:v>
                </c:pt>
                <c:pt idx="33">
                  <c:v>24.791222331331099</c:v>
                </c:pt>
                <c:pt idx="34">
                  <c:v>10.667513398532</c:v>
                </c:pt>
                <c:pt idx="35">
                  <c:v>16.650631364012099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836-46C7-A718-9451DE948014}"/>
            </c:ext>
          </c:extLst>
        </c:ser>
        <c:ser>
          <c:idx val="5"/>
          <c:order val="5"/>
          <c:tx>
            <c:v>ch1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envelope'!$AA$2:$AA$37</c:f>
              <c:numCache>
                <c:formatCode>General</c:formatCode>
                <c:ptCount val="36"/>
                <c:pt idx="0">
                  <c:v>107.33475858494801</c:v>
                </c:pt>
                <c:pt idx="1">
                  <c:v>52.656438375616403</c:v>
                </c:pt>
                <c:pt idx="2">
                  <c:v>165.831391728885</c:v>
                </c:pt>
                <c:pt idx="3">
                  <c:v>91.562636131483501</c:v>
                </c:pt>
                <c:pt idx="4">
                  <c:v>47.974336344583101</c:v>
                </c:pt>
                <c:pt idx="5">
                  <c:v>52.996497123816503</c:v>
                </c:pt>
                <c:pt idx="6">
                  <c:v>64.192852119581701</c:v>
                </c:pt>
                <c:pt idx="7">
                  <c:v>105.402198658117</c:v>
                </c:pt>
                <c:pt idx="8">
                  <c:v>45.612591911094597</c:v>
                </c:pt>
                <c:pt idx="9">
                  <c:v>97.934502298781396</c:v>
                </c:pt>
                <c:pt idx="10">
                  <c:v>30.801330931148701</c:v>
                </c:pt>
                <c:pt idx="11">
                  <c:v>107.91207633624001</c:v>
                </c:pt>
                <c:pt idx="12">
                  <c:v>28.390282450580202</c:v>
                </c:pt>
                <c:pt idx="13">
                  <c:v>23.0206617638833</c:v>
                </c:pt>
                <c:pt idx="14">
                  <c:v>11.220329685874599</c:v>
                </c:pt>
                <c:pt idx="15">
                  <c:v>22.814212698831199</c:v>
                </c:pt>
                <c:pt idx="16">
                  <c:v>11.158537096562901</c:v>
                </c:pt>
                <c:pt idx="17">
                  <c:v>11.587821199008699</c:v>
                </c:pt>
                <c:pt idx="18">
                  <c:v>25.143437667125301</c:v>
                </c:pt>
                <c:pt idx="19">
                  <c:v>16.5838598480656</c:v>
                </c:pt>
                <c:pt idx="20">
                  <c:v>10.880499238508399</c:v>
                </c:pt>
                <c:pt idx="21">
                  <c:v>5.5402759184582102</c:v>
                </c:pt>
                <c:pt idx="22">
                  <c:v>5.5371966040423599</c:v>
                </c:pt>
                <c:pt idx="23">
                  <c:v>7.13060363443428</c:v>
                </c:pt>
                <c:pt idx="24">
                  <c:v>14.3392519100098</c:v>
                </c:pt>
                <c:pt idx="25">
                  <c:v>11.1521800708177</c:v>
                </c:pt>
                <c:pt idx="26">
                  <c:v>23.754685323978102</c:v>
                </c:pt>
                <c:pt idx="27">
                  <c:v>36.194228152180798</c:v>
                </c:pt>
                <c:pt idx="28">
                  <c:v>24.592596959342799</c:v>
                </c:pt>
                <c:pt idx="29">
                  <c:v>19.888252333407198</c:v>
                </c:pt>
                <c:pt idx="30">
                  <c:v>129.570947612841</c:v>
                </c:pt>
                <c:pt idx="31">
                  <c:v>52.739021797036003</c:v>
                </c:pt>
                <c:pt idx="32">
                  <c:v>51.643950569078498</c:v>
                </c:pt>
                <c:pt idx="33">
                  <c:v>99.164889325324495</c:v>
                </c:pt>
                <c:pt idx="34">
                  <c:v>42.670053594128298</c:v>
                </c:pt>
                <c:pt idx="35">
                  <c:v>66.602525456048397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836-46C7-A718-9451DE9480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</a:t>
            </a:r>
            <a:r>
              <a:rPr lang="en-US" baseline="0"/>
              <a:t> Amplitude by Channel v/s Max Size - Log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3382520993456"/>
          <c:y val="0.1598240740659114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tx>
            <c:v>ch6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envelope'!$V$2:$V$37</c:f>
              <c:numCache>
                <c:formatCode>General</c:formatCode>
                <c:ptCount val="36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6">
                  <c:v>4.5463397884194803E-2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28">
                  <c:v>2.4016207968108199E-2</c:v>
                </c:pt>
                <c:pt idx="30">
                  <c:v>0.12653412852816501</c:v>
                </c:pt>
                <c:pt idx="31">
                  <c:v>3.4786896818932399E-2</c:v>
                </c:pt>
                <c:pt idx="32">
                  <c:v>5.04335454776157E-2</c:v>
                </c:pt>
                <c:pt idx="33">
                  <c:v>9.6840712231762202E-2</c:v>
                </c:pt>
                <c:pt idx="35">
                  <c:v>6.5041528765672305E-2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7E-47EF-AEC5-54D05B386B17}"/>
            </c:ext>
          </c:extLst>
        </c:ser>
        <c:ser>
          <c:idx val="0"/>
          <c:order val="1"/>
          <c:tx>
            <c:v>ch5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envelope'!$W$2:$W$37</c:f>
              <c:numCache>
                <c:formatCode>General</c:formatCode>
                <c:ptCount val="36"/>
                <c:pt idx="0">
                  <c:v>0.41927640072245398</c:v>
                </c:pt>
                <c:pt idx="1">
                  <c:v>0.20568921240475099</c:v>
                </c:pt>
                <c:pt idx="2">
                  <c:v>0.64777887394095901</c:v>
                </c:pt>
                <c:pt idx="3">
                  <c:v>0.35766654738860698</c:v>
                </c:pt>
                <c:pt idx="4">
                  <c:v>0.18739975134602699</c:v>
                </c:pt>
                <c:pt idx="5">
                  <c:v>0.20701756688990799</c:v>
                </c:pt>
                <c:pt idx="6">
                  <c:v>0.25075332859211602</c:v>
                </c:pt>
                <c:pt idx="7">
                  <c:v>0.41172733850827198</c:v>
                </c:pt>
                <c:pt idx="8">
                  <c:v>0.17817418715271299</c:v>
                </c:pt>
                <c:pt idx="9">
                  <c:v>0.382556649604614</c:v>
                </c:pt>
                <c:pt idx="10">
                  <c:v>0.120317698949799</c:v>
                </c:pt>
                <c:pt idx="11">
                  <c:v>0.42153154818843802</c:v>
                </c:pt>
                <c:pt idx="12">
                  <c:v>0.110899540822579</c:v>
                </c:pt>
                <c:pt idx="13">
                  <c:v>8.9924460015169197E-2</c:v>
                </c:pt>
                <c:pt idx="15">
                  <c:v>8.9118018354809397E-2</c:v>
                </c:pt>
                <c:pt idx="16">
                  <c:v>4.3588035533449102E-2</c:v>
                </c:pt>
                <c:pt idx="17">
                  <c:v>4.5264926558627801E-2</c:v>
                </c:pt>
                <c:pt idx="18">
                  <c:v>9.8216553387208499E-2</c:v>
                </c:pt>
                <c:pt idx="19">
                  <c:v>6.4780702531506598E-2</c:v>
                </c:pt>
                <c:pt idx="20">
                  <c:v>4.2501950150423698E-2</c:v>
                </c:pt>
                <c:pt idx="23">
                  <c:v>2.7853920447008899E-2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0.14138370371945599</c:v>
                </c:pt>
                <c:pt idx="28">
                  <c:v>9.6064831872432796E-2</c:v>
                </c:pt>
                <c:pt idx="29">
                  <c:v>7.7688485677371896E-2</c:v>
                </c:pt>
                <c:pt idx="30">
                  <c:v>0.50613651411266203</c:v>
                </c:pt>
                <c:pt idx="31">
                  <c:v>0.206011803894672</c:v>
                </c:pt>
                <c:pt idx="32">
                  <c:v>0.201734181910463</c:v>
                </c:pt>
                <c:pt idx="33">
                  <c:v>0.38736284892704798</c:v>
                </c:pt>
                <c:pt idx="34">
                  <c:v>0.166679896852063</c:v>
                </c:pt>
                <c:pt idx="35">
                  <c:v>0.260166115062689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7E-47EF-AEC5-54D05B386B17}"/>
            </c:ext>
          </c:extLst>
        </c:ser>
        <c:ser>
          <c:idx val="2"/>
          <c:order val="2"/>
          <c:tx>
            <c:v>ch4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envelope'!$X$2:$X$37</c:f>
              <c:numCache>
                <c:formatCode>General</c:formatCode>
                <c:ptCount val="36"/>
                <c:pt idx="0">
                  <c:v>1.6771056028898099</c:v>
                </c:pt>
                <c:pt idx="1">
                  <c:v>0.82275684961900697</c:v>
                </c:pt>
                <c:pt idx="2">
                  <c:v>2.5911154957638298</c:v>
                </c:pt>
                <c:pt idx="3">
                  <c:v>1.4306661895544299</c:v>
                </c:pt>
                <c:pt idx="4">
                  <c:v>0.74959900538411095</c:v>
                </c:pt>
                <c:pt idx="5">
                  <c:v>0.82807026755963298</c:v>
                </c:pt>
                <c:pt idx="6">
                  <c:v>1.0030133143684601</c:v>
                </c:pt>
                <c:pt idx="7">
                  <c:v>1.6469093540330899</c:v>
                </c:pt>
                <c:pt idx="8">
                  <c:v>0.71269674861085297</c:v>
                </c:pt>
                <c:pt idx="9">
                  <c:v>1.53022659841845</c:v>
                </c:pt>
                <c:pt idx="10">
                  <c:v>0.48127079579919901</c:v>
                </c:pt>
                <c:pt idx="11">
                  <c:v>1.6861261927537501</c:v>
                </c:pt>
                <c:pt idx="12">
                  <c:v>0.44359816329031698</c:v>
                </c:pt>
                <c:pt idx="13">
                  <c:v>0.35969784006067601</c:v>
                </c:pt>
                <c:pt idx="14">
                  <c:v>0.175317651341791</c:v>
                </c:pt>
                <c:pt idx="15">
                  <c:v>0.35647207341923698</c:v>
                </c:pt>
                <c:pt idx="16">
                  <c:v>0.17435214213379599</c:v>
                </c:pt>
                <c:pt idx="17">
                  <c:v>0.18105970623451101</c:v>
                </c:pt>
                <c:pt idx="18">
                  <c:v>0.392866213548834</c:v>
                </c:pt>
                <c:pt idx="19">
                  <c:v>0.259122810126026</c:v>
                </c:pt>
                <c:pt idx="20">
                  <c:v>0.17000780060169399</c:v>
                </c:pt>
                <c:pt idx="21">
                  <c:v>8.56390953438151E-2</c:v>
                </c:pt>
                <c:pt idx="22">
                  <c:v>8.5713069200916994E-2</c:v>
                </c:pt>
                <c:pt idx="23">
                  <c:v>0.111415681788035</c:v>
                </c:pt>
                <c:pt idx="24">
                  <c:v>0.22405081109390301</c:v>
                </c:pt>
                <c:pt idx="25">
                  <c:v>0.174252813606527</c:v>
                </c:pt>
                <c:pt idx="26">
                  <c:v>0.371166958187158</c:v>
                </c:pt>
                <c:pt idx="27">
                  <c:v>0.56553481487782498</c:v>
                </c:pt>
                <c:pt idx="28">
                  <c:v>0.38425932748973102</c:v>
                </c:pt>
                <c:pt idx="29">
                  <c:v>0.31075394270948697</c:v>
                </c:pt>
                <c:pt idx="30">
                  <c:v>2.0245460564506401</c:v>
                </c:pt>
                <c:pt idx="31">
                  <c:v>0.82404721557868799</c:v>
                </c:pt>
                <c:pt idx="32">
                  <c:v>0.80693672764185198</c:v>
                </c:pt>
                <c:pt idx="33">
                  <c:v>1.5494513957081899</c:v>
                </c:pt>
                <c:pt idx="34">
                  <c:v>0.66671958740825399</c:v>
                </c:pt>
                <c:pt idx="35">
                  <c:v>1.04066446025075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7E-47EF-AEC5-54D05B386B17}"/>
            </c:ext>
          </c:extLst>
        </c:ser>
        <c:ser>
          <c:idx val="3"/>
          <c:order val="3"/>
          <c:tx>
            <c:v>ch3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envelope'!$Y$2:$Y$37</c:f>
              <c:numCache>
                <c:formatCode>General</c:formatCode>
                <c:ptCount val="36"/>
                <c:pt idx="0">
                  <c:v>6.7084224115592699</c:v>
                </c:pt>
                <c:pt idx="1">
                  <c:v>3.2910273984760301</c:v>
                </c:pt>
                <c:pt idx="2">
                  <c:v>10.3644619830553</c:v>
                </c:pt>
                <c:pt idx="3">
                  <c:v>5.7226647582177197</c:v>
                </c:pt>
                <c:pt idx="4">
                  <c:v>2.9983960215364398</c:v>
                </c:pt>
                <c:pt idx="5">
                  <c:v>3.3122810702385301</c:v>
                </c:pt>
                <c:pt idx="6">
                  <c:v>4.0120532574738599</c:v>
                </c:pt>
                <c:pt idx="7">
                  <c:v>6.5876374161323596</c:v>
                </c:pt>
                <c:pt idx="8">
                  <c:v>2.8507869944434101</c:v>
                </c:pt>
                <c:pt idx="9">
                  <c:v>6.1209063936738302</c:v>
                </c:pt>
                <c:pt idx="10">
                  <c:v>1.9250831831967901</c:v>
                </c:pt>
                <c:pt idx="11">
                  <c:v>6.7445047710150003</c:v>
                </c:pt>
                <c:pt idx="12">
                  <c:v>1.7743926531612599</c:v>
                </c:pt>
                <c:pt idx="13">
                  <c:v>1.4387913602427</c:v>
                </c:pt>
                <c:pt idx="14">
                  <c:v>0.70127060536716501</c:v>
                </c:pt>
                <c:pt idx="15">
                  <c:v>1.4258882936769499</c:v>
                </c:pt>
                <c:pt idx="16">
                  <c:v>0.69740856853518496</c:v>
                </c:pt>
                <c:pt idx="17">
                  <c:v>0.72423882493804503</c:v>
                </c:pt>
                <c:pt idx="18">
                  <c:v>1.57146485419533</c:v>
                </c:pt>
                <c:pt idx="19">
                  <c:v>1.0364912405041</c:v>
                </c:pt>
                <c:pt idx="20">
                  <c:v>0.68003120240677895</c:v>
                </c:pt>
                <c:pt idx="21">
                  <c:v>0.34626724490363803</c:v>
                </c:pt>
                <c:pt idx="22">
                  <c:v>0.346074787752647</c:v>
                </c:pt>
                <c:pt idx="23">
                  <c:v>0.445662727152142</c:v>
                </c:pt>
                <c:pt idx="24">
                  <c:v>0.89620324437561405</c:v>
                </c:pt>
                <c:pt idx="25">
                  <c:v>0.69701125442610801</c:v>
                </c:pt>
                <c:pt idx="26">
                  <c:v>1.48466783274863</c:v>
                </c:pt>
                <c:pt idx="27">
                  <c:v>2.2621392595112999</c:v>
                </c:pt>
                <c:pt idx="28">
                  <c:v>1.5370373099589201</c:v>
                </c:pt>
                <c:pt idx="29">
                  <c:v>1.2430157708379499</c:v>
                </c:pt>
                <c:pt idx="30">
                  <c:v>8.0981842258025907</c:v>
                </c:pt>
                <c:pt idx="31">
                  <c:v>3.2961888623147502</c:v>
                </c:pt>
                <c:pt idx="32">
                  <c:v>3.2277469105674101</c:v>
                </c:pt>
                <c:pt idx="33">
                  <c:v>6.19780558283278</c:v>
                </c:pt>
                <c:pt idx="34">
                  <c:v>2.6668783496330102</c:v>
                </c:pt>
                <c:pt idx="35">
                  <c:v>4.1626578410030204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D7E-47EF-AEC5-54D05B386B17}"/>
            </c:ext>
          </c:extLst>
        </c:ser>
        <c:ser>
          <c:idx val="4"/>
          <c:order val="4"/>
          <c:tx>
            <c:v>ch2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envelope'!$Z$2:$Z$37</c:f>
              <c:numCache>
                <c:formatCode>General</c:formatCode>
                <c:ptCount val="36"/>
                <c:pt idx="0">
                  <c:v>26.833689646237001</c:v>
                </c:pt>
                <c:pt idx="1">
                  <c:v>13.164109593904101</c:v>
                </c:pt>
                <c:pt idx="2">
                  <c:v>41.457847932221398</c:v>
                </c:pt>
                <c:pt idx="3">
                  <c:v>22.890659032870801</c:v>
                </c:pt>
                <c:pt idx="4">
                  <c:v>11.993584086145701</c:v>
                </c:pt>
                <c:pt idx="5">
                  <c:v>13.249124280954099</c:v>
                </c:pt>
                <c:pt idx="6">
                  <c:v>16.0482130298954</c:v>
                </c:pt>
                <c:pt idx="7">
                  <c:v>26.3505496645294</c:v>
                </c:pt>
                <c:pt idx="8">
                  <c:v>11.4031479777736</c:v>
                </c:pt>
                <c:pt idx="9">
                  <c:v>24.483625574695299</c:v>
                </c:pt>
                <c:pt idx="10">
                  <c:v>7.7003327327871904</c:v>
                </c:pt>
                <c:pt idx="11">
                  <c:v>26.978019084060001</c:v>
                </c:pt>
                <c:pt idx="12">
                  <c:v>7.0975706126450699</c:v>
                </c:pt>
                <c:pt idx="13">
                  <c:v>5.7551654409708304</c:v>
                </c:pt>
                <c:pt idx="14">
                  <c:v>2.80508242146866</c:v>
                </c:pt>
                <c:pt idx="15">
                  <c:v>5.7035531747077997</c:v>
                </c:pt>
                <c:pt idx="16">
                  <c:v>2.7896342741407398</c:v>
                </c:pt>
                <c:pt idx="17">
                  <c:v>2.8969552997521801</c:v>
                </c:pt>
                <c:pt idx="18">
                  <c:v>6.2858594167813404</c:v>
                </c:pt>
                <c:pt idx="19">
                  <c:v>4.1459649620164196</c:v>
                </c:pt>
                <c:pt idx="20">
                  <c:v>2.72012480962711</c:v>
                </c:pt>
                <c:pt idx="21">
                  <c:v>1.3850689796145501</c:v>
                </c:pt>
                <c:pt idx="22">
                  <c:v>1.38429915101059</c:v>
                </c:pt>
                <c:pt idx="23">
                  <c:v>1.78265090860857</c:v>
                </c:pt>
                <c:pt idx="24">
                  <c:v>3.58481297750245</c:v>
                </c:pt>
                <c:pt idx="25">
                  <c:v>2.7880450177044298</c:v>
                </c:pt>
                <c:pt idx="26">
                  <c:v>5.9386713309945298</c:v>
                </c:pt>
                <c:pt idx="27">
                  <c:v>9.0485570380452103</c:v>
                </c:pt>
                <c:pt idx="28">
                  <c:v>6.1481492398356998</c:v>
                </c:pt>
                <c:pt idx="29">
                  <c:v>4.9720630833517996</c:v>
                </c:pt>
                <c:pt idx="30">
                  <c:v>32.392736903210299</c:v>
                </c:pt>
                <c:pt idx="31">
                  <c:v>13.184755449259001</c:v>
                </c:pt>
                <c:pt idx="32">
                  <c:v>12.9109876422696</c:v>
                </c:pt>
                <c:pt idx="33">
                  <c:v>24.791222331331099</c:v>
                </c:pt>
                <c:pt idx="34">
                  <c:v>10.667513398532</c:v>
                </c:pt>
                <c:pt idx="35">
                  <c:v>16.650631364012099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D7E-47EF-AEC5-54D05B386B17}"/>
            </c:ext>
          </c:extLst>
        </c:ser>
        <c:ser>
          <c:idx val="5"/>
          <c:order val="5"/>
          <c:tx>
            <c:v>ch1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envelope'!$AA$2:$AA$37</c:f>
              <c:numCache>
                <c:formatCode>General</c:formatCode>
                <c:ptCount val="36"/>
                <c:pt idx="0">
                  <c:v>107.33475858494801</c:v>
                </c:pt>
                <c:pt idx="1">
                  <c:v>52.656438375616403</c:v>
                </c:pt>
                <c:pt idx="2">
                  <c:v>165.831391728885</c:v>
                </c:pt>
                <c:pt idx="3">
                  <c:v>91.562636131483501</c:v>
                </c:pt>
                <c:pt idx="4">
                  <c:v>47.974336344583101</c:v>
                </c:pt>
                <c:pt idx="5">
                  <c:v>52.996497123816503</c:v>
                </c:pt>
                <c:pt idx="6">
                  <c:v>64.192852119581701</c:v>
                </c:pt>
                <c:pt idx="7">
                  <c:v>105.402198658117</c:v>
                </c:pt>
                <c:pt idx="8">
                  <c:v>45.612591911094597</c:v>
                </c:pt>
                <c:pt idx="9">
                  <c:v>97.934502298781396</c:v>
                </c:pt>
                <c:pt idx="10">
                  <c:v>30.801330931148701</c:v>
                </c:pt>
                <c:pt idx="11">
                  <c:v>107.91207633624001</c:v>
                </c:pt>
                <c:pt idx="12">
                  <c:v>28.390282450580202</c:v>
                </c:pt>
                <c:pt idx="13">
                  <c:v>23.0206617638833</c:v>
                </c:pt>
                <c:pt idx="14">
                  <c:v>11.220329685874599</c:v>
                </c:pt>
                <c:pt idx="15">
                  <c:v>22.814212698831199</c:v>
                </c:pt>
                <c:pt idx="16">
                  <c:v>11.158537096562901</c:v>
                </c:pt>
                <c:pt idx="17">
                  <c:v>11.587821199008699</c:v>
                </c:pt>
                <c:pt idx="18">
                  <c:v>25.143437667125301</c:v>
                </c:pt>
                <c:pt idx="19">
                  <c:v>16.5838598480656</c:v>
                </c:pt>
                <c:pt idx="20">
                  <c:v>10.880499238508399</c:v>
                </c:pt>
                <c:pt idx="21">
                  <c:v>5.5402759184582102</c:v>
                </c:pt>
                <c:pt idx="22">
                  <c:v>5.5371966040423599</c:v>
                </c:pt>
                <c:pt idx="23">
                  <c:v>7.13060363443428</c:v>
                </c:pt>
                <c:pt idx="24">
                  <c:v>14.3392519100098</c:v>
                </c:pt>
                <c:pt idx="25">
                  <c:v>11.1521800708177</c:v>
                </c:pt>
                <c:pt idx="26">
                  <c:v>23.754685323978102</c:v>
                </c:pt>
                <c:pt idx="27">
                  <c:v>36.194228152180798</c:v>
                </c:pt>
                <c:pt idx="28">
                  <c:v>24.592596959342799</c:v>
                </c:pt>
                <c:pt idx="29">
                  <c:v>19.888252333407198</c:v>
                </c:pt>
                <c:pt idx="30">
                  <c:v>129.570947612841</c:v>
                </c:pt>
                <c:pt idx="31">
                  <c:v>52.739021797036003</c:v>
                </c:pt>
                <c:pt idx="32">
                  <c:v>51.643950569078498</c:v>
                </c:pt>
                <c:pt idx="33">
                  <c:v>99.164889325324495</c:v>
                </c:pt>
                <c:pt idx="34">
                  <c:v>42.670053594128298</c:v>
                </c:pt>
                <c:pt idx="35">
                  <c:v>66.602525456048397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D7E-47EF-AEC5-54D05B386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</a:t>
            </a:r>
            <a:r>
              <a:rPr lang="en-US" baseline="0"/>
              <a:t> Amplitude by Channel v/s Max Size - Exp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3382520993456"/>
          <c:y val="0.1598240740659114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tx>
            <c:v>ch6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envelope'!$V$2:$V$37</c:f>
              <c:numCache>
                <c:formatCode>General</c:formatCode>
                <c:ptCount val="36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6">
                  <c:v>4.5463397884194803E-2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28">
                  <c:v>2.4016207968108199E-2</c:v>
                </c:pt>
                <c:pt idx="30">
                  <c:v>0.12653412852816501</c:v>
                </c:pt>
                <c:pt idx="31">
                  <c:v>3.4786896818932399E-2</c:v>
                </c:pt>
                <c:pt idx="32">
                  <c:v>5.04335454776157E-2</c:v>
                </c:pt>
                <c:pt idx="33">
                  <c:v>9.6840712231762202E-2</c:v>
                </c:pt>
                <c:pt idx="35">
                  <c:v>6.5041528765672305E-2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46-4D12-AA06-C67E5243AB00}"/>
            </c:ext>
          </c:extLst>
        </c:ser>
        <c:ser>
          <c:idx val="0"/>
          <c:order val="1"/>
          <c:tx>
            <c:v>ch5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envelope'!$W$2:$W$37</c:f>
              <c:numCache>
                <c:formatCode>General</c:formatCode>
                <c:ptCount val="36"/>
                <c:pt idx="0">
                  <c:v>0.41927640072245398</c:v>
                </c:pt>
                <c:pt idx="1">
                  <c:v>0.20568921240475099</c:v>
                </c:pt>
                <c:pt idx="2">
                  <c:v>0.64777887394095901</c:v>
                </c:pt>
                <c:pt idx="3">
                  <c:v>0.35766654738860698</c:v>
                </c:pt>
                <c:pt idx="4">
                  <c:v>0.18739975134602699</c:v>
                </c:pt>
                <c:pt idx="5">
                  <c:v>0.20701756688990799</c:v>
                </c:pt>
                <c:pt idx="6">
                  <c:v>0.25075332859211602</c:v>
                </c:pt>
                <c:pt idx="7">
                  <c:v>0.41172733850827198</c:v>
                </c:pt>
                <c:pt idx="8">
                  <c:v>0.17817418715271299</c:v>
                </c:pt>
                <c:pt idx="9">
                  <c:v>0.382556649604614</c:v>
                </c:pt>
                <c:pt idx="10">
                  <c:v>0.120317698949799</c:v>
                </c:pt>
                <c:pt idx="11">
                  <c:v>0.42153154818843802</c:v>
                </c:pt>
                <c:pt idx="12">
                  <c:v>0.110899540822579</c:v>
                </c:pt>
                <c:pt idx="13">
                  <c:v>8.9924460015169197E-2</c:v>
                </c:pt>
                <c:pt idx="15">
                  <c:v>8.9118018354809397E-2</c:v>
                </c:pt>
                <c:pt idx="16">
                  <c:v>4.3588035533449102E-2</c:v>
                </c:pt>
                <c:pt idx="17">
                  <c:v>4.5264926558627801E-2</c:v>
                </c:pt>
                <c:pt idx="18">
                  <c:v>9.8216553387208499E-2</c:v>
                </c:pt>
                <c:pt idx="19">
                  <c:v>6.4780702531506598E-2</c:v>
                </c:pt>
                <c:pt idx="20">
                  <c:v>4.2501950150423698E-2</c:v>
                </c:pt>
                <c:pt idx="23">
                  <c:v>2.7853920447008899E-2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0.14138370371945599</c:v>
                </c:pt>
                <c:pt idx="28">
                  <c:v>9.6064831872432796E-2</c:v>
                </c:pt>
                <c:pt idx="29">
                  <c:v>7.7688485677371896E-2</c:v>
                </c:pt>
                <c:pt idx="30">
                  <c:v>0.50613651411266203</c:v>
                </c:pt>
                <c:pt idx="31">
                  <c:v>0.206011803894672</c:v>
                </c:pt>
                <c:pt idx="32">
                  <c:v>0.201734181910463</c:v>
                </c:pt>
                <c:pt idx="33">
                  <c:v>0.38736284892704798</c:v>
                </c:pt>
                <c:pt idx="34">
                  <c:v>0.166679896852063</c:v>
                </c:pt>
                <c:pt idx="35">
                  <c:v>0.260166115062689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546-4D12-AA06-C67E5243AB00}"/>
            </c:ext>
          </c:extLst>
        </c:ser>
        <c:ser>
          <c:idx val="2"/>
          <c:order val="2"/>
          <c:tx>
            <c:v>ch4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envelope'!$X$2:$X$37</c:f>
              <c:numCache>
                <c:formatCode>General</c:formatCode>
                <c:ptCount val="36"/>
                <c:pt idx="0">
                  <c:v>1.6771056028898099</c:v>
                </c:pt>
                <c:pt idx="1">
                  <c:v>0.82275684961900697</c:v>
                </c:pt>
                <c:pt idx="2">
                  <c:v>2.5911154957638298</c:v>
                </c:pt>
                <c:pt idx="3">
                  <c:v>1.4306661895544299</c:v>
                </c:pt>
                <c:pt idx="4">
                  <c:v>0.74959900538411095</c:v>
                </c:pt>
                <c:pt idx="5">
                  <c:v>0.82807026755963298</c:v>
                </c:pt>
                <c:pt idx="6">
                  <c:v>1.0030133143684601</c:v>
                </c:pt>
                <c:pt idx="7">
                  <c:v>1.6469093540330899</c:v>
                </c:pt>
                <c:pt idx="8">
                  <c:v>0.71269674861085297</c:v>
                </c:pt>
                <c:pt idx="9">
                  <c:v>1.53022659841845</c:v>
                </c:pt>
                <c:pt idx="10">
                  <c:v>0.48127079579919901</c:v>
                </c:pt>
                <c:pt idx="11">
                  <c:v>1.6861261927537501</c:v>
                </c:pt>
                <c:pt idx="12">
                  <c:v>0.44359816329031698</c:v>
                </c:pt>
                <c:pt idx="13">
                  <c:v>0.35969784006067601</c:v>
                </c:pt>
                <c:pt idx="14">
                  <c:v>0.175317651341791</c:v>
                </c:pt>
                <c:pt idx="15">
                  <c:v>0.35647207341923698</c:v>
                </c:pt>
                <c:pt idx="16">
                  <c:v>0.17435214213379599</c:v>
                </c:pt>
                <c:pt idx="17">
                  <c:v>0.18105970623451101</c:v>
                </c:pt>
                <c:pt idx="18">
                  <c:v>0.392866213548834</c:v>
                </c:pt>
                <c:pt idx="19">
                  <c:v>0.259122810126026</c:v>
                </c:pt>
                <c:pt idx="20">
                  <c:v>0.17000780060169399</c:v>
                </c:pt>
                <c:pt idx="21">
                  <c:v>8.56390953438151E-2</c:v>
                </c:pt>
                <c:pt idx="22">
                  <c:v>8.5713069200916994E-2</c:v>
                </c:pt>
                <c:pt idx="23">
                  <c:v>0.111415681788035</c:v>
                </c:pt>
                <c:pt idx="24">
                  <c:v>0.22405081109390301</c:v>
                </c:pt>
                <c:pt idx="25">
                  <c:v>0.174252813606527</c:v>
                </c:pt>
                <c:pt idx="26">
                  <c:v>0.371166958187158</c:v>
                </c:pt>
                <c:pt idx="27">
                  <c:v>0.56553481487782498</c:v>
                </c:pt>
                <c:pt idx="28">
                  <c:v>0.38425932748973102</c:v>
                </c:pt>
                <c:pt idx="29">
                  <c:v>0.31075394270948697</c:v>
                </c:pt>
                <c:pt idx="30">
                  <c:v>2.0245460564506401</c:v>
                </c:pt>
                <c:pt idx="31">
                  <c:v>0.82404721557868799</c:v>
                </c:pt>
                <c:pt idx="32">
                  <c:v>0.80693672764185198</c:v>
                </c:pt>
                <c:pt idx="33">
                  <c:v>1.5494513957081899</c:v>
                </c:pt>
                <c:pt idx="34">
                  <c:v>0.66671958740825399</c:v>
                </c:pt>
                <c:pt idx="35">
                  <c:v>1.04066446025075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546-4D12-AA06-C67E5243AB00}"/>
            </c:ext>
          </c:extLst>
        </c:ser>
        <c:ser>
          <c:idx val="3"/>
          <c:order val="3"/>
          <c:tx>
            <c:v>ch3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envelope'!$Y$2:$Y$37</c:f>
              <c:numCache>
                <c:formatCode>General</c:formatCode>
                <c:ptCount val="36"/>
                <c:pt idx="0">
                  <c:v>6.7084224115592699</c:v>
                </c:pt>
                <c:pt idx="1">
                  <c:v>3.2910273984760301</c:v>
                </c:pt>
                <c:pt idx="2">
                  <c:v>10.3644619830553</c:v>
                </c:pt>
                <c:pt idx="3">
                  <c:v>5.7226647582177197</c:v>
                </c:pt>
                <c:pt idx="4">
                  <c:v>2.9983960215364398</c:v>
                </c:pt>
                <c:pt idx="5">
                  <c:v>3.3122810702385301</c:v>
                </c:pt>
                <c:pt idx="6">
                  <c:v>4.0120532574738599</c:v>
                </c:pt>
                <c:pt idx="7">
                  <c:v>6.5876374161323596</c:v>
                </c:pt>
                <c:pt idx="8">
                  <c:v>2.8507869944434101</c:v>
                </c:pt>
                <c:pt idx="9">
                  <c:v>6.1209063936738302</c:v>
                </c:pt>
                <c:pt idx="10">
                  <c:v>1.9250831831967901</c:v>
                </c:pt>
                <c:pt idx="11">
                  <c:v>6.7445047710150003</c:v>
                </c:pt>
                <c:pt idx="12">
                  <c:v>1.7743926531612599</c:v>
                </c:pt>
                <c:pt idx="13">
                  <c:v>1.4387913602427</c:v>
                </c:pt>
                <c:pt idx="14">
                  <c:v>0.70127060536716501</c:v>
                </c:pt>
                <c:pt idx="15">
                  <c:v>1.4258882936769499</c:v>
                </c:pt>
                <c:pt idx="16">
                  <c:v>0.69740856853518496</c:v>
                </c:pt>
                <c:pt idx="17">
                  <c:v>0.72423882493804503</c:v>
                </c:pt>
                <c:pt idx="18">
                  <c:v>1.57146485419533</c:v>
                </c:pt>
                <c:pt idx="19">
                  <c:v>1.0364912405041</c:v>
                </c:pt>
                <c:pt idx="20">
                  <c:v>0.68003120240677895</c:v>
                </c:pt>
                <c:pt idx="21">
                  <c:v>0.34626724490363803</c:v>
                </c:pt>
                <c:pt idx="22">
                  <c:v>0.346074787752647</c:v>
                </c:pt>
                <c:pt idx="23">
                  <c:v>0.445662727152142</c:v>
                </c:pt>
                <c:pt idx="24">
                  <c:v>0.89620324437561405</c:v>
                </c:pt>
                <c:pt idx="25">
                  <c:v>0.69701125442610801</c:v>
                </c:pt>
                <c:pt idx="26">
                  <c:v>1.48466783274863</c:v>
                </c:pt>
                <c:pt idx="27">
                  <c:v>2.2621392595112999</c:v>
                </c:pt>
                <c:pt idx="28">
                  <c:v>1.5370373099589201</c:v>
                </c:pt>
                <c:pt idx="29">
                  <c:v>1.2430157708379499</c:v>
                </c:pt>
                <c:pt idx="30">
                  <c:v>8.0981842258025907</c:v>
                </c:pt>
                <c:pt idx="31">
                  <c:v>3.2961888623147502</c:v>
                </c:pt>
                <c:pt idx="32">
                  <c:v>3.2277469105674101</c:v>
                </c:pt>
                <c:pt idx="33">
                  <c:v>6.19780558283278</c:v>
                </c:pt>
                <c:pt idx="34">
                  <c:v>2.6668783496330102</c:v>
                </c:pt>
                <c:pt idx="35">
                  <c:v>4.1626578410030204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546-4D12-AA06-C67E5243AB00}"/>
            </c:ext>
          </c:extLst>
        </c:ser>
        <c:ser>
          <c:idx val="4"/>
          <c:order val="4"/>
          <c:tx>
            <c:v>ch2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envelope'!$Z$2:$Z$37</c:f>
              <c:numCache>
                <c:formatCode>General</c:formatCode>
                <c:ptCount val="36"/>
                <c:pt idx="0">
                  <c:v>26.833689646237001</c:v>
                </c:pt>
                <c:pt idx="1">
                  <c:v>13.164109593904101</c:v>
                </c:pt>
                <c:pt idx="2">
                  <c:v>41.457847932221398</c:v>
                </c:pt>
                <c:pt idx="3">
                  <c:v>22.890659032870801</c:v>
                </c:pt>
                <c:pt idx="4">
                  <c:v>11.993584086145701</c:v>
                </c:pt>
                <c:pt idx="5">
                  <c:v>13.249124280954099</c:v>
                </c:pt>
                <c:pt idx="6">
                  <c:v>16.0482130298954</c:v>
                </c:pt>
                <c:pt idx="7">
                  <c:v>26.3505496645294</c:v>
                </c:pt>
                <c:pt idx="8">
                  <c:v>11.4031479777736</c:v>
                </c:pt>
                <c:pt idx="9">
                  <c:v>24.483625574695299</c:v>
                </c:pt>
                <c:pt idx="10">
                  <c:v>7.7003327327871904</c:v>
                </c:pt>
                <c:pt idx="11">
                  <c:v>26.978019084060001</c:v>
                </c:pt>
                <c:pt idx="12">
                  <c:v>7.0975706126450699</c:v>
                </c:pt>
                <c:pt idx="13">
                  <c:v>5.7551654409708304</c:v>
                </c:pt>
                <c:pt idx="14">
                  <c:v>2.80508242146866</c:v>
                </c:pt>
                <c:pt idx="15">
                  <c:v>5.7035531747077997</c:v>
                </c:pt>
                <c:pt idx="16">
                  <c:v>2.7896342741407398</c:v>
                </c:pt>
                <c:pt idx="17">
                  <c:v>2.8969552997521801</c:v>
                </c:pt>
                <c:pt idx="18">
                  <c:v>6.2858594167813404</c:v>
                </c:pt>
                <c:pt idx="19">
                  <c:v>4.1459649620164196</c:v>
                </c:pt>
                <c:pt idx="20">
                  <c:v>2.72012480962711</c:v>
                </c:pt>
                <c:pt idx="21">
                  <c:v>1.3850689796145501</c:v>
                </c:pt>
                <c:pt idx="22">
                  <c:v>1.38429915101059</c:v>
                </c:pt>
                <c:pt idx="23">
                  <c:v>1.78265090860857</c:v>
                </c:pt>
                <c:pt idx="24">
                  <c:v>3.58481297750245</c:v>
                </c:pt>
                <c:pt idx="25">
                  <c:v>2.7880450177044298</c:v>
                </c:pt>
                <c:pt idx="26">
                  <c:v>5.9386713309945298</c:v>
                </c:pt>
                <c:pt idx="27">
                  <c:v>9.0485570380452103</c:v>
                </c:pt>
                <c:pt idx="28">
                  <c:v>6.1481492398356998</c:v>
                </c:pt>
                <c:pt idx="29">
                  <c:v>4.9720630833517996</c:v>
                </c:pt>
                <c:pt idx="30">
                  <c:v>32.392736903210299</c:v>
                </c:pt>
                <c:pt idx="31">
                  <c:v>13.184755449259001</c:v>
                </c:pt>
                <c:pt idx="32">
                  <c:v>12.9109876422696</c:v>
                </c:pt>
                <c:pt idx="33">
                  <c:v>24.791222331331099</c:v>
                </c:pt>
                <c:pt idx="34">
                  <c:v>10.667513398532</c:v>
                </c:pt>
                <c:pt idx="35">
                  <c:v>16.650631364012099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546-4D12-AA06-C67E5243AB00}"/>
            </c:ext>
          </c:extLst>
        </c:ser>
        <c:ser>
          <c:idx val="5"/>
          <c:order val="5"/>
          <c:tx>
            <c:v>ch1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envelope'!$AA$2:$AA$37</c:f>
              <c:numCache>
                <c:formatCode>General</c:formatCode>
                <c:ptCount val="36"/>
                <c:pt idx="0">
                  <c:v>107.33475858494801</c:v>
                </c:pt>
                <c:pt idx="1">
                  <c:v>52.656438375616403</c:v>
                </c:pt>
                <c:pt idx="2">
                  <c:v>165.831391728885</c:v>
                </c:pt>
                <c:pt idx="3">
                  <c:v>91.562636131483501</c:v>
                </c:pt>
                <c:pt idx="4">
                  <c:v>47.974336344583101</c:v>
                </c:pt>
                <c:pt idx="5">
                  <c:v>52.996497123816503</c:v>
                </c:pt>
                <c:pt idx="6">
                  <c:v>64.192852119581701</c:v>
                </c:pt>
                <c:pt idx="7">
                  <c:v>105.402198658117</c:v>
                </c:pt>
                <c:pt idx="8">
                  <c:v>45.612591911094597</c:v>
                </c:pt>
                <c:pt idx="9">
                  <c:v>97.934502298781396</c:v>
                </c:pt>
                <c:pt idx="10">
                  <c:v>30.801330931148701</c:v>
                </c:pt>
                <c:pt idx="11">
                  <c:v>107.91207633624001</c:v>
                </c:pt>
                <c:pt idx="12">
                  <c:v>28.390282450580202</c:v>
                </c:pt>
                <c:pt idx="13">
                  <c:v>23.0206617638833</c:v>
                </c:pt>
                <c:pt idx="14">
                  <c:v>11.220329685874599</c:v>
                </c:pt>
                <c:pt idx="15">
                  <c:v>22.814212698831199</c:v>
                </c:pt>
                <c:pt idx="16">
                  <c:v>11.158537096562901</c:v>
                </c:pt>
                <c:pt idx="17">
                  <c:v>11.587821199008699</c:v>
                </c:pt>
                <c:pt idx="18">
                  <c:v>25.143437667125301</c:v>
                </c:pt>
                <c:pt idx="19">
                  <c:v>16.5838598480656</c:v>
                </c:pt>
                <c:pt idx="20">
                  <c:v>10.880499238508399</c:v>
                </c:pt>
                <c:pt idx="21">
                  <c:v>5.5402759184582102</c:v>
                </c:pt>
                <c:pt idx="22">
                  <c:v>5.5371966040423599</c:v>
                </c:pt>
                <c:pt idx="23">
                  <c:v>7.13060363443428</c:v>
                </c:pt>
                <c:pt idx="24">
                  <c:v>14.3392519100098</c:v>
                </c:pt>
                <c:pt idx="25">
                  <c:v>11.1521800708177</c:v>
                </c:pt>
                <c:pt idx="26">
                  <c:v>23.754685323978102</c:v>
                </c:pt>
                <c:pt idx="27">
                  <c:v>36.194228152180798</c:v>
                </c:pt>
                <c:pt idx="28">
                  <c:v>24.592596959342799</c:v>
                </c:pt>
                <c:pt idx="29">
                  <c:v>19.888252333407198</c:v>
                </c:pt>
                <c:pt idx="30">
                  <c:v>129.570947612841</c:v>
                </c:pt>
                <c:pt idx="31">
                  <c:v>52.739021797036003</c:v>
                </c:pt>
                <c:pt idx="32">
                  <c:v>51.643950569078498</c:v>
                </c:pt>
                <c:pt idx="33">
                  <c:v>99.164889325324495</c:v>
                </c:pt>
                <c:pt idx="34">
                  <c:v>42.670053594128298</c:v>
                </c:pt>
                <c:pt idx="35">
                  <c:v>66.602525456048397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B546-4D12-AA06-C67E5243AB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</a:t>
            </a:r>
            <a:r>
              <a:rPr lang="en-US" baseline="0"/>
              <a:t> Amplitude by Channel v/s Max Size - Linear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75258319916485"/>
          <c:y val="0.17381898388579803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envelope'!$O$2:$O$37</c:f>
              <c:numCache>
                <c:formatCode>General</c:formatCode>
                <c:ptCount val="36"/>
                <c:pt idx="0">
                  <c:v>6.4069250048013796E-2</c:v>
                </c:pt>
                <c:pt idx="1">
                  <c:v>5.1422303616638097E-2</c:v>
                </c:pt>
                <c:pt idx="2">
                  <c:v>9.4968206718967205E-2</c:v>
                </c:pt>
                <c:pt idx="3">
                  <c:v>5.6005964760614799E-2</c:v>
                </c:pt>
                <c:pt idx="4">
                  <c:v>4.6849938207403699E-2</c:v>
                </c:pt>
                <c:pt idx="5">
                  <c:v>3.9406083818281298E-2</c:v>
                </c:pt>
                <c:pt idx="6">
                  <c:v>4.5463397559226001E-2</c:v>
                </c:pt>
                <c:pt idx="7">
                  <c:v>9.5743592288179996E-2</c:v>
                </c:pt>
                <c:pt idx="8">
                  <c:v>3.8585276164057498E-2</c:v>
                </c:pt>
                <c:pt idx="9">
                  <c:v>9.5639162709086803E-2</c:v>
                </c:pt>
                <c:pt idx="10">
                  <c:v>2.85197693561322E-2</c:v>
                </c:pt>
                <c:pt idx="11">
                  <c:v>0.10538288717717199</c:v>
                </c:pt>
                <c:pt idx="12">
                  <c:v>2.77248857374158E-2</c:v>
                </c:pt>
                <c:pt idx="28">
                  <c:v>2.4016207968108199E-2</c:v>
                </c:pt>
                <c:pt idx="30">
                  <c:v>9.5477972807156197E-2</c:v>
                </c:pt>
                <c:pt idx="31">
                  <c:v>2.8717702047744001E-2</c:v>
                </c:pt>
                <c:pt idx="32">
                  <c:v>4.2099641834455401E-2</c:v>
                </c:pt>
                <c:pt idx="33">
                  <c:v>6.9669475601588704E-2</c:v>
                </c:pt>
                <c:pt idx="35">
                  <c:v>6.2038722824561902E-2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F1-4F71-BEF7-AF9C8B4DD3CA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envelope'!$P$2:$P$37</c:f>
              <c:numCache>
                <c:formatCode>General</c:formatCode>
                <c:ptCount val="36"/>
                <c:pt idx="0">
                  <c:v>0.17940701762775299</c:v>
                </c:pt>
                <c:pt idx="1">
                  <c:v>0.136504884052633</c:v>
                </c:pt>
                <c:pt idx="2">
                  <c:v>0.31788484763340902</c:v>
                </c:pt>
                <c:pt idx="3">
                  <c:v>0.16309275016740199</c:v>
                </c:pt>
                <c:pt idx="4">
                  <c:v>0.12535462962986799</c:v>
                </c:pt>
                <c:pt idx="5">
                  <c:v>0.15393753693111001</c:v>
                </c:pt>
                <c:pt idx="6">
                  <c:v>0.16338445100562901</c:v>
                </c:pt>
                <c:pt idx="7">
                  <c:v>0.18723147718286101</c:v>
                </c:pt>
                <c:pt idx="8">
                  <c:v>0.117415800187244</c:v>
                </c:pt>
                <c:pt idx="9">
                  <c:v>0.18581760283662399</c:v>
                </c:pt>
                <c:pt idx="10">
                  <c:v>0.101347429024516</c:v>
                </c:pt>
                <c:pt idx="11">
                  <c:v>0.15056990486005101</c:v>
                </c:pt>
                <c:pt idx="12">
                  <c:v>7.8677957752448305E-2</c:v>
                </c:pt>
                <c:pt idx="13">
                  <c:v>7.7959153032395798E-2</c:v>
                </c:pt>
                <c:pt idx="15">
                  <c:v>7.2703926665255297E-2</c:v>
                </c:pt>
                <c:pt idx="16">
                  <c:v>4.3588035701968897E-2</c:v>
                </c:pt>
                <c:pt idx="17">
                  <c:v>4.5264926352280903E-2</c:v>
                </c:pt>
                <c:pt idx="18">
                  <c:v>6.4224427234734496E-2</c:v>
                </c:pt>
                <c:pt idx="19">
                  <c:v>5.66060042990124E-2</c:v>
                </c:pt>
                <c:pt idx="20">
                  <c:v>4.2501949944915698E-2</c:v>
                </c:pt>
                <c:pt idx="23">
                  <c:v>2.7853920384742901E-2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8.2766257918429495E-2</c:v>
                </c:pt>
                <c:pt idx="28">
                  <c:v>6.1687066952672398E-2</c:v>
                </c:pt>
                <c:pt idx="29">
                  <c:v>6.6744949341475304E-2</c:v>
                </c:pt>
                <c:pt idx="30">
                  <c:v>0.192484405703403</c:v>
                </c:pt>
                <c:pt idx="31">
                  <c:v>0.11587567427319601</c:v>
                </c:pt>
                <c:pt idx="32">
                  <c:v>0.10745936765490099</c:v>
                </c:pt>
                <c:pt idx="33">
                  <c:v>0.21182245741774999</c:v>
                </c:pt>
                <c:pt idx="34">
                  <c:v>7.9120500982877304E-2</c:v>
                </c:pt>
                <c:pt idx="35">
                  <c:v>0.13350547172294899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EF1-4F71-BEF7-AF9C8B4DD3CA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envelope'!$Q$2:$Q$37</c:f>
              <c:numCache>
                <c:formatCode>General</c:formatCode>
                <c:ptCount val="36"/>
                <c:pt idx="0">
                  <c:v>0.59727911911144405</c:v>
                </c:pt>
                <c:pt idx="1">
                  <c:v>0.26754282688021702</c:v>
                </c:pt>
                <c:pt idx="2">
                  <c:v>0.78149567271952003</c:v>
                </c:pt>
                <c:pt idx="3">
                  <c:v>0.449858505678978</c:v>
                </c:pt>
                <c:pt idx="4">
                  <c:v>0.44063655773576799</c:v>
                </c:pt>
                <c:pt idx="5">
                  <c:v>0.46926879178815301</c:v>
                </c:pt>
                <c:pt idx="6">
                  <c:v>0.426009200925964</c:v>
                </c:pt>
                <c:pt idx="7">
                  <c:v>0.64667150537108198</c:v>
                </c:pt>
                <c:pt idx="8">
                  <c:v>0.46966320074897699</c:v>
                </c:pt>
                <c:pt idx="9">
                  <c:v>0.60536126077852104</c:v>
                </c:pt>
                <c:pt idx="10">
                  <c:v>0.24057369702033901</c:v>
                </c:pt>
                <c:pt idx="11">
                  <c:v>0.50129083006757003</c:v>
                </c:pt>
                <c:pt idx="12">
                  <c:v>0.26510584610390098</c:v>
                </c:pt>
                <c:pt idx="13">
                  <c:v>0.24135454645261201</c:v>
                </c:pt>
                <c:pt idx="14">
                  <c:v>0.12254395097085501</c:v>
                </c:pt>
                <c:pt idx="15">
                  <c:v>0.21382124817687001</c:v>
                </c:pt>
                <c:pt idx="16">
                  <c:v>0.13106034882425699</c:v>
                </c:pt>
                <c:pt idx="17">
                  <c:v>0.12707267062271299</c:v>
                </c:pt>
                <c:pt idx="18">
                  <c:v>0.22893530246709601</c:v>
                </c:pt>
                <c:pt idx="19">
                  <c:v>0.173305439270318</c:v>
                </c:pt>
                <c:pt idx="20">
                  <c:v>0.116374533955678</c:v>
                </c:pt>
                <c:pt idx="21">
                  <c:v>7.8663658425102104E-2</c:v>
                </c:pt>
                <c:pt idx="22">
                  <c:v>8.5713068849887802E-2</c:v>
                </c:pt>
                <c:pt idx="23">
                  <c:v>0.102227488893629</c:v>
                </c:pt>
                <c:pt idx="24">
                  <c:v>0.17662425401843199</c:v>
                </c:pt>
                <c:pt idx="25">
                  <c:v>0.14678489544762599</c:v>
                </c:pt>
                <c:pt idx="26">
                  <c:v>0.222368887754927</c:v>
                </c:pt>
                <c:pt idx="27">
                  <c:v>0.28137760228112102</c:v>
                </c:pt>
                <c:pt idx="28">
                  <c:v>0.19687478181427201</c:v>
                </c:pt>
                <c:pt idx="29">
                  <c:v>0.16107374150092801</c:v>
                </c:pt>
                <c:pt idx="30">
                  <c:v>0.54260603351381897</c:v>
                </c:pt>
                <c:pt idx="31">
                  <c:v>0.424330918118209</c:v>
                </c:pt>
                <c:pt idx="32">
                  <c:v>0.342981303210388</c:v>
                </c:pt>
                <c:pt idx="33">
                  <c:v>0.71876689058186105</c:v>
                </c:pt>
                <c:pt idx="34">
                  <c:v>0.25286216921415</c:v>
                </c:pt>
                <c:pt idx="35">
                  <c:v>0.41039439745539202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EF1-4F71-BEF7-AF9C8B4DD3CA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envelope'!$R$2:$R$37</c:f>
              <c:numCache>
                <c:formatCode>General</c:formatCode>
                <c:ptCount val="36"/>
                <c:pt idx="0">
                  <c:v>2.1218818406845701</c:v>
                </c:pt>
                <c:pt idx="1">
                  <c:v>0.98750358289623297</c:v>
                </c:pt>
                <c:pt idx="2">
                  <c:v>2.2740324054836099</c:v>
                </c:pt>
                <c:pt idx="3">
                  <c:v>1.61414237742101</c:v>
                </c:pt>
                <c:pt idx="4">
                  <c:v>1.4715502319528799</c:v>
                </c:pt>
                <c:pt idx="5">
                  <c:v>1.6679355265670801</c:v>
                </c:pt>
                <c:pt idx="6">
                  <c:v>1.2687679005852299</c:v>
                </c:pt>
                <c:pt idx="7">
                  <c:v>1.81287477386409</c:v>
                </c:pt>
                <c:pt idx="8">
                  <c:v>1.4945503386105301</c:v>
                </c:pt>
                <c:pt idx="9">
                  <c:v>1.2337579982911999</c:v>
                </c:pt>
                <c:pt idx="10">
                  <c:v>0.96229478808135804</c:v>
                </c:pt>
                <c:pt idx="11">
                  <c:v>1.0515823951961401</c:v>
                </c:pt>
                <c:pt idx="12">
                  <c:v>0.92664835919294097</c:v>
                </c:pt>
                <c:pt idx="13">
                  <c:v>0.62231226944989104</c:v>
                </c:pt>
                <c:pt idx="14">
                  <c:v>0.35900970208783201</c:v>
                </c:pt>
                <c:pt idx="15">
                  <c:v>0.60450240905165797</c:v>
                </c:pt>
                <c:pt idx="16">
                  <c:v>0.52424139529702896</c:v>
                </c:pt>
                <c:pt idx="17">
                  <c:v>0.43334728234498898</c:v>
                </c:pt>
                <c:pt idx="18">
                  <c:v>0.58198300914003198</c:v>
                </c:pt>
                <c:pt idx="19">
                  <c:v>0.56215790367475604</c:v>
                </c:pt>
                <c:pt idx="20">
                  <c:v>0.36853445483851999</c:v>
                </c:pt>
                <c:pt idx="21">
                  <c:v>0.286033381784213</c:v>
                </c:pt>
                <c:pt idx="22">
                  <c:v>0.28274257889141102</c:v>
                </c:pt>
                <c:pt idx="23">
                  <c:v>0.312084224737535</c:v>
                </c:pt>
                <c:pt idx="24">
                  <c:v>0.371998081424883</c:v>
                </c:pt>
                <c:pt idx="25">
                  <c:v>0.32808884276820199</c:v>
                </c:pt>
                <c:pt idx="26">
                  <c:v>0.58513216291286296</c:v>
                </c:pt>
                <c:pt idx="27">
                  <c:v>0.60837215584300797</c:v>
                </c:pt>
                <c:pt idx="28">
                  <c:v>0.46344710039377801</c:v>
                </c:pt>
                <c:pt idx="29">
                  <c:v>0.484952010213689</c:v>
                </c:pt>
                <c:pt idx="30">
                  <c:v>1.4445985101020999</c:v>
                </c:pt>
                <c:pt idx="31">
                  <c:v>1.0317760232201201</c:v>
                </c:pt>
                <c:pt idx="32">
                  <c:v>0.759859641009906</c:v>
                </c:pt>
                <c:pt idx="33">
                  <c:v>2.4352261038974299</c:v>
                </c:pt>
                <c:pt idx="34">
                  <c:v>0.66084681493743003</c:v>
                </c:pt>
                <c:pt idx="35">
                  <c:v>1.17781242915115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EF1-4F71-BEF7-AF9C8B4DD3CA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envelope'!$S$2:$S$37</c:f>
              <c:numCache>
                <c:formatCode>General</c:formatCode>
                <c:ptCount val="36"/>
                <c:pt idx="0">
                  <c:v>8.4875273627382803</c:v>
                </c:pt>
                <c:pt idx="1">
                  <c:v>3.6696571758817198</c:v>
                </c:pt>
                <c:pt idx="2">
                  <c:v>8.3266858207082599</c:v>
                </c:pt>
                <c:pt idx="3">
                  <c:v>5.3915917727487104</c:v>
                </c:pt>
                <c:pt idx="4">
                  <c:v>5.0526826474058097</c:v>
                </c:pt>
                <c:pt idx="5">
                  <c:v>6.0491299651584196</c:v>
                </c:pt>
                <c:pt idx="6">
                  <c:v>4.6995148199797203</c:v>
                </c:pt>
                <c:pt idx="7">
                  <c:v>6.1106814199081896</c:v>
                </c:pt>
                <c:pt idx="8">
                  <c:v>5.97820135444214</c:v>
                </c:pt>
                <c:pt idx="9">
                  <c:v>4.9350319931648103</c:v>
                </c:pt>
                <c:pt idx="10">
                  <c:v>3.84917915232543</c:v>
                </c:pt>
                <c:pt idx="11">
                  <c:v>4.2063295807845602</c:v>
                </c:pt>
                <c:pt idx="12">
                  <c:v>3.7065934367717599</c:v>
                </c:pt>
                <c:pt idx="13">
                  <c:v>2.3516392566763402</c:v>
                </c:pt>
                <c:pt idx="14">
                  <c:v>1.2775871078584</c:v>
                </c:pt>
                <c:pt idx="15">
                  <c:v>2.4180096362066301</c:v>
                </c:pt>
                <c:pt idx="16">
                  <c:v>1.86124282879616</c:v>
                </c:pt>
                <c:pt idx="17">
                  <c:v>1.7333891293799499</c:v>
                </c:pt>
                <c:pt idx="18">
                  <c:v>2.1182747223488398</c:v>
                </c:pt>
                <c:pt idx="19">
                  <c:v>2.2486316146990202</c:v>
                </c:pt>
                <c:pt idx="20">
                  <c:v>1.38187374013061</c:v>
                </c:pt>
                <c:pt idx="21">
                  <c:v>1.08129059920596</c:v>
                </c:pt>
                <c:pt idx="22">
                  <c:v>0.96612323561066804</c:v>
                </c:pt>
                <c:pt idx="23">
                  <c:v>1.21105643309446</c:v>
                </c:pt>
                <c:pt idx="24">
                  <c:v>1.4536955966377501</c:v>
                </c:pt>
                <c:pt idx="25">
                  <c:v>1.23423783884298</c:v>
                </c:pt>
                <c:pt idx="26">
                  <c:v>2.3405286516514501</c:v>
                </c:pt>
                <c:pt idx="27">
                  <c:v>2.0097890273663599</c:v>
                </c:pt>
                <c:pt idx="28">
                  <c:v>1.6678313402251601</c:v>
                </c:pt>
                <c:pt idx="29">
                  <c:v>1.93980804085475</c:v>
                </c:pt>
                <c:pt idx="30">
                  <c:v>3.8969168791608402</c:v>
                </c:pt>
                <c:pt idx="31">
                  <c:v>3.52073104697577</c:v>
                </c:pt>
                <c:pt idx="32">
                  <c:v>2.5242279913372498</c:v>
                </c:pt>
                <c:pt idx="33">
                  <c:v>7.5299683456584097</c:v>
                </c:pt>
                <c:pt idx="34">
                  <c:v>2.5529730320435</c:v>
                </c:pt>
                <c:pt idx="35">
                  <c:v>3.97354688561304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EF1-4F71-BEF7-AF9C8B4DD3CA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envelope'!$T$2:$T$37</c:f>
              <c:numCache>
                <c:formatCode>General</c:formatCode>
                <c:ptCount val="36"/>
                <c:pt idx="0">
                  <c:v>33.9501094509531</c:v>
                </c:pt>
                <c:pt idx="1">
                  <c:v>14.678628703526799</c:v>
                </c:pt>
                <c:pt idx="2">
                  <c:v>33.306743282832997</c:v>
                </c:pt>
                <c:pt idx="3">
                  <c:v>21.566367090994799</c:v>
                </c:pt>
                <c:pt idx="4">
                  <c:v>20.2107305896232</c:v>
                </c:pt>
                <c:pt idx="5">
                  <c:v>24.1965198606337</c:v>
                </c:pt>
                <c:pt idx="6">
                  <c:v>18.7980592799188</c:v>
                </c:pt>
                <c:pt idx="7">
                  <c:v>24.442725679632701</c:v>
                </c:pt>
                <c:pt idx="8">
                  <c:v>23.912805417768499</c:v>
                </c:pt>
                <c:pt idx="9">
                  <c:v>19.740127972659199</c:v>
                </c:pt>
                <c:pt idx="10">
                  <c:v>15.3967166093017</c:v>
                </c:pt>
                <c:pt idx="11">
                  <c:v>16.825318323138202</c:v>
                </c:pt>
                <c:pt idx="12">
                  <c:v>14.826373747087001</c:v>
                </c:pt>
                <c:pt idx="13">
                  <c:v>9.4065570267053804</c:v>
                </c:pt>
                <c:pt idx="14">
                  <c:v>5.1103484314336303</c:v>
                </c:pt>
                <c:pt idx="15">
                  <c:v>9.6720385448265294</c:v>
                </c:pt>
                <c:pt idx="16">
                  <c:v>7.4449713151846701</c:v>
                </c:pt>
                <c:pt idx="17">
                  <c:v>6.9335565175198299</c:v>
                </c:pt>
                <c:pt idx="18">
                  <c:v>8.4730988893953594</c:v>
                </c:pt>
                <c:pt idx="19">
                  <c:v>8.9945264587960896</c:v>
                </c:pt>
                <c:pt idx="20">
                  <c:v>5.5274949605224499</c:v>
                </c:pt>
                <c:pt idx="21">
                  <c:v>4.3251623968238597</c:v>
                </c:pt>
                <c:pt idx="22">
                  <c:v>3.8644929424426699</c:v>
                </c:pt>
                <c:pt idx="23">
                  <c:v>4.8442257323778604</c:v>
                </c:pt>
                <c:pt idx="24">
                  <c:v>5.8147823865510198</c:v>
                </c:pt>
                <c:pt idx="25">
                  <c:v>4.93695135537192</c:v>
                </c:pt>
                <c:pt idx="26">
                  <c:v>9.3621146066058198</c:v>
                </c:pt>
                <c:pt idx="27">
                  <c:v>8.0391561094654609</c:v>
                </c:pt>
                <c:pt idx="28">
                  <c:v>6.6713253609006697</c:v>
                </c:pt>
                <c:pt idx="29">
                  <c:v>7.7592321634190196</c:v>
                </c:pt>
                <c:pt idx="30">
                  <c:v>15.5876675166433</c:v>
                </c:pt>
                <c:pt idx="31">
                  <c:v>14.082924187903</c:v>
                </c:pt>
                <c:pt idx="32">
                  <c:v>10.096911965348999</c:v>
                </c:pt>
                <c:pt idx="33">
                  <c:v>30.1198733826336</c:v>
                </c:pt>
                <c:pt idx="34">
                  <c:v>10.211892128174</c:v>
                </c:pt>
                <c:pt idx="35">
                  <c:v>15.8941875424521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EF1-4F71-BEF7-AF9C8B4DD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</a:t>
            </a:r>
            <a:r>
              <a:rPr lang="en-US" baseline="0"/>
              <a:t> Amplitude by Channel v/s Max Size - Power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3382520993456"/>
          <c:y val="0.1598240740659114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envelope'!$O$2:$O$37</c:f>
              <c:numCache>
                <c:formatCode>General</c:formatCode>
                <c:ptCount val="36"/>
                <c:pt idx="0">
                  <c:v>6.4069250048013796E-2</c:v>
                </c:pt>
                <c:pt idx="1">
                  <c:v>5.1422303616638097E-2</c:v>
                </c:pt>
                <c:pt idx="2">
                  <c:v>9.4968206718967205E-2</c:v>
                </c:pt>
                <c:pt idx="3">
                  <c:v>5.6005964760614799E-2</c:v>
                </c:pt>
                <c:pt idx="4">
                  <c:v>4.6849938207403699E-2</c:v>
                </c:pt>
                <c:pt idx="5">
                  <c:v>3.9406083818281298E-2</c:v>
                </c:pt>
                <c:pt idx="6">
                  <c:v>4.5463397559226001E-2</c:v>
                </c:pt>
                <c:pt idx="7">
                  <c:v>9.5743592288179996E-2</c:v>
                </c:pt>
                <c:pt idx="8">
                  <c:v>3.8585276164057498E-2</c:v>
                </c:pt>
                <c:pt idx="9">
                  <c:v>9.5639162709086803E-2</c:v>
                </c:pt>
                <c:pt idx="10">
                  <c:v>2.85197693561322E-2</c:v>
                </c:pt>
                <c:pt idx="11">
                  <c:v>0.10538288717717199</c:v>
                </c:pt>
                <c:pt idx="12">
                  <c:v>2.77248857374158E-2</c:v>
                </c:pt>
                <c:pt idx="28">
                  <c:v>2.4016207968108199E-2</c:v>
                </c:pt>
                <c:pt idx="30">
                  <c:v>9.5477972807156197E-2</c:v>
                </c:pt>
                <c:pt idx="31">
                  <c:v>2.8717702047744001E-2</c:v>
                </c:pt>
                <c:pt idx="32">
                  <c:v>4.2099641834455401E-2</c:v>
                </c:pt>
                <c:pt idx="33">
                  <c:v>6.9669475601588704E-2</c:v>
                </c:pt>
                <c:pt idx="35">
                  <c:v>6.2038722824561902E-2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83-4D9D-8147-60F4DDE9220D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envelope'!$P$2:$P$37</c:f>
              <c:numCache>
                <c:formatCode>General</c:formatCode>
                <c:ptCount val="36"/>
                <c:pt idx="0">
                  <c:v>0.17940701762775299</c:v>
                </c:pt>
                <c:pt idx="1">
                  <c:v>0.136504884052633</c:v>
                </c:pt>
                <c:pt idx="2">
                  <c:v>0.31788484763340902</c:v>
                </c:pt>
                <c:pt idx="3">
                  <c:v>0.16309275016740199</c:v>
                </c:pt>
                <c:pt idx="4">
                  <c:v>0.12535462962986799</c:v>
                </c:pt>
                <c:pt idx="5">
                  <c:v>0.15393753693111001</c:v>
                </c:pt>
                <c:pt idx="6">
                  <c:v>0.16338445100562901</c:v>
                </c:pt>
                <c:pt idx="7">
                  <c:v>0.18723147718286101</c:v>
                </c:pt>
                <c:pt idx="8">
                  <c:v>0.117415800187244</c:v>
                </c:pt>
                <c:pt idx="9">
                  <c:v>0.18581760283662399</c:v>
                </c:pt>
                <c:pt idx="10">
                  <c:v>0.101347429024516</c:v>
                </c:pt>
                <c:pt idx="11">
                  <c:v>0.15056990486005101</c:v>
                </c:pt>
                <c:pt idx="12">
                  <c:v>7.8677957752448305E-2</c:v>
                </c:pt>
                <c:pt idx="13">
                  <c:v>7.7959153032395798E-2</c:v>
                </c:pt>
                <c:pt idx="15">
                  <c:v>7.2703926665255297E-2</c:v>
                </c:pt>
                <c:pt idx="16">
                  <c:v>4.3588035701968897E-2</c:v>
                </c:pt>
                <c:pt idx="17">
                  <c:v>4.5264926352280903E-2</c:v>
                </c:pt>
                <c:pt idx="18">
                  <c:v>6.4224427234734496E-2</c:v>
                </c:pt>
                <c:pt idx="19">
                  <c:v>5.66060042990124E-2</c:v>
                </c:pt>
                <c:pt idx="20">
                  <c:v>4.2501949944915698E-2</c:v>
                </c:pt>
                <c:pt idx="23">
                  <c:v>2.7853920384742901E-2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8.2766257918429495E-2</c:v>
                </c:pt>
                <c:pt idx="28">
                  <c:v>6.1687066952672398E-2</c:v>
                </c:pt>
                <c:pt idx="29">
                  <c:v>6.6744949341475304E-2</c:v>
                </c:pt>
                <c:pt idx="30">
                  <c:v>0.192484405703403</c:v>
                </c:pt>
                <c:pt idx="31">
                  <c:v>0.11587567427319601</c:v>
                </c:pt>
                <c:pt idx="32">
                  <c:v>0.10745936765490099</c:v>
                </c:pt>
                <c:pt idx="33">
                  <c:v>0.21182245741774999</c:v>
                </c:pt>
                <c:pt idx="34">
                  <c:v>7.9120500982877304E-2</c:v>
                </c:pt>
                <c:pt idx="35">
                  <c:v>0.13350547172294899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D83-4D9D-8147-60F4DDE9220D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envelope'!$Q$2:$Q$37</c:f>
              <c:numCache>
                <c:formatCode>General</c:formatCode>
                <c:ptCount val="36"/>
                <c:pt idx="0">
                  <c:v>0.59727911911144405</c:v>
                </c:pt>
                <c:pt idx="1">
                  <c:v>0.26754282688021702</c:v>
                </c:pt>
                <c:pt idx="2">
                  <c:v>0.78149567271952003</c:v>
                </c:pt>
                <c:pt idx="3">
                  <c:v>0.449858505678978</c:v>
                </c:pt>
                <c:pt idx="4">
                  <c:v>0.44063655773576799</c:v>
                </c:pt>
                <c:pt idx="5">
                  <c:v>0.46926879178815301</c:v>
                </c:pt>
                <c:pt idx="6">
                  <c:v>0.426009200925964</c:v>
                </c:pt>
                <c:pt idx="7">
                  <c:v>0.64667150537108198</c:v>
                </c:pt>
                <c:pt idx="8">
                  <c:v>0.46966320074897699</c:v>
                </c:pt>
                <c:pt idx="9">
                  <c:v>0.60536126077852104</c:v>
                </c:pt>
                <c:pt idx="10">
                  <c:v>0.24057369702033901</c:v>
                </c:pt>
                <c:pt idx="11">
                  <c:v>0.50129083006757003</c:v>
                </c:pt>
                <c:pt idx="12">
                  <c:v>0.26510584610390098</c:v>
                </c:pt>
                <c:pt idx="13">
                  <c:v>0.24135454645261201</c:v>
                </c:pt>
                <c:pt idx="14">
                  <c:v>0.12254395097085501</c:v>
                </c:pt>
                <c:pt idx="15">
                  <c:v>0.21382124817687001</c:v>
                </c:pt>
                <c:pt idx="16">
                  <c:v>0.13106034882425699</c:v>
                </c:pt>
                <c:pt idx="17">
                  <c:v>0.12707267062271299</c:v>
                </c:pt>
                <c:pt idx="18">
                  <c:v>0.22893530246709601</c:v>
                </c:pt>
                <c:pt idx="19">
                  <c:v>0.173305439270318</c:v>
                </c:pt>
                <c:pt idx="20">
                  <c:v>0.116374533955678</c:v>
                </c:pt>
                <c:pt idx="21">
                  <c:v>7.8663658425102104E-2</c:v>
                </c:pt>
                <c:pt idx="22">
                  <c:v>8.5713068849887802E-2</c:v>
                </c:pt>
                <c:pt idx="23">
                  <c:v>0.102227488893629</c:v>
                </c:pt>
                <c:pt idx="24">
                  <c:v>0.17662425401843199</c:v>
                </c:pt>
                <c:pt idx="25">
                  <c:v>0.14678489544762599</c:v>
                </c:pt>
                <c:pt idx="26">
                  <c:v>0.222368887754927</c:v>
                </c:pt>
                <c:pt idx="27">
                  <c:v>0.28137760228112102</c:v>
                </c:pt>
                <c:pt idx="28">
                  <c:v>0.19687478181427201</c:v>
                </c:pt>
                <c:pt idx="29">
                  <c:v>0.16107374150092801</c:v>
                </c:pt>
                <c:pt idx="30">
                  <c:v>0.54260603351381897</c:v>
                </c:pt>
                <c:pt idx="31">
                  <c:v>0.424330918118209</c:v>
                </c:pt>
                <c:pt idx="32">
                  <c:v>0.342981303210388</c:v>
                </c:pt>
                <c:pt idx="33">
                  <c:v>0.71876689058186105</c:v>
                </c:pt>
                <c:pt idx="34">
                  <c:v>0.25286216921415</c:v>
                </c:pt>
                <c:pt idx="35">
                  <c:v>0.41039439745539202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D83-4D9D-8147-60F4DDE9220D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envelope'!$R$2:$R$37</c:f>
              <c:numCache>
                <c:formatCode>General</c:formatCode>
                <c:ptCount val="36"/>
                <c:pt idx="0">
                  <c:v>2.1218818406845701</c:v>
                </c:pt>
                <c:pt idx="1">
                  <c:v>0.98750358289623297</c:v>
                </c:pt>
                <c:pt idx="2">
                  <c:v>2.2740324054836099</c:v>
                </c:pt>
                <c:pt idx="3">
                  <c:v>1.61414237742101</c:v>
                </c:pt>
                <c:pt idx="4">
                  <c:v>1.4715502319528799</c:v>
                </c:pt>
                <c:pt idx="5">
                  <c:v>1.6679355265670801</c:v>
                </c:pt>
                <c:pt idx="6">
                  <c:v>1.2687679005852299</c:v>
                </c:pt>
                <c:pt idx="7">
                  <c:v>1.81287477386409</c:v>
                </c:pt>
                <c:pt idx="8">
                  <c:v>1.4945503386105301</c:v>
                </c:pt>
                <c:pt idx="9">
                  <c:v>1.2337579982911999</c:v>
                </c:pt>
                <c:pt idx="10">
                  <c:v>0.96229478808135804</c:v>
                </c:pt>
                <c:pt idx="11">
                  <c:v>1.0515823951961401</c:v>
                </c:pt>
                <c:pt idx="12">
                  <c:v>0.92664835919294097</c:v>
                </c:pt>
                <c:pt idx="13">
                  <c:v>0.62231226944989104</c:v>
                </c:pt>
                <c:pt idx="14">
                  <c:v>0.35900970208783201</c:v>
                </c:pt>
                <c:pt idx="15">
                  <c:v>0.60450240905165797</c:v>
                </c:pt>
                <c:pt idx="16">
                  <c:v>0.52424139529702896</c:v>
                </c:pt>
                <c:pt idx="17">
                  <c:v>0.43334728234498898</c:v>
                </c:pt>
                <c:pt idx="18">
                  <c:v>0.58198300914003198</c:v>
                </c:pt>
                <c:pt idx="19">
                  <c:v>0.56215790367475604</c:v>
                </c:pt>
                <c:pt idx="20">
                  <c:v>0.36853445483851999</c:v>
                </c:pt>
                <c:pt idx="21">
                  <c:v>0.286033381784213</c:v>
                </c:pt>
                <c:pt idx="22">
                  <c:v>0.28274257889141102</c:v>
                </c:pt>
                <c:pt idx="23">
                  <c:v>0.312084224737535</c:v>
                </c:pt>
                <c:pt idx="24">
                  <c:v>0.371998081424883</c:v>
                </c:pt>
                <c:pt idx="25">
                  <c:v>0.32808884276820199</c:v>
                </c:pt>
                <c:pt idx="26">
                  <c:v>0.58513216291286296</c:v>
                </c:pt>
                <c:pt idx="27">
                  <c:v>0.60837215584300797</c:v>
                </c:pt>
                <c:pt idx="28">
                  <c:v>0.46344710039377801</c:v>
                </c:pt>
                <c:pt idx="29">
                  <c:v>0.484952010213689</c:v>
                </c:pt>
                <c:pt idx="30">
                  <c:v>1.4445985101020999</c:v>
                </c:pt>
                <c:pt idx="31">
                  <c:v>1.0317760232201201</c:v>
                </c:pt>
                <c:pt idx="32">
                  <c:v>0.759859641009906</c:v>
                </c:pt>
                <c:pt idx="33">
                  <c:v>2.4352261038974299</c:v>
                </c:pt>
                <c:pt idx="34">
                  <c:v>0.66084681493743003</c:v>
                </c:pt>
                <c:pt idx="35">
                  <c:v>1.17781242915115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D83-4D9D-8147-60F4DDE9220D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envelope'!$S$2:$S$37</c:f>
              <c:numCache>
                <c:formatCode>General</c:formatCode>
                <c:ptCount val="36"/>
                <c:pt idx="0">
                  <c:v>8.4875273627382803</c:v>
                </c:pt>
                <c:pt idx="1">
                  <c:v>3.6696571758817198</c:v>
                </c:pt>
                <c:pt idx="2">
                  <c:v>8.3266858207082599</c:v>
                </c:pt>
                <c:pt idx="3">
                  <c:v>5.3915917727487104</c:v>
                </c:pt>
                <c:pt idx="4">
                  <c:v>5.0526826474058097</c:v>
                </c:pt>
                <c:pt idx="5">
                  <c:v>6.0491299651584196</c:v>
                </c:pt>
                <c:pt idx="6">
                  <c:v>4.6995148199797203</c:v>
                </c:pt>
                <c:pt idx="7">
                  <c:v>6.1106814199081896</c:v>
                </c:pt>
                <c:pt idx="8">
                  <c:v>5.97820135444214</c:v>
                </c:pt>
                <c:pt idx="9">
                  <c:v>4.9350319931648103</c:v>
                </c:pt>
                <c:pt idx="10">
                  <c:v>3.84917915232543</c:v>
                </c:pt>
                <c:pt idx="11">
                  <c:v>4.2063295807845602</c:v>
                </c:pt>
                <c:pt idx="12">
                  <c:v>3.7065934367717599</c:v>
                </c:pt>
                <c:pt idx="13">
                  <c:v>2.3516392566763402</c:v>
                </c:pt>
                <c:pt idx="14">
                  <c:v>1.2775871078584</c:v>
                </c:pt>
                <c:pt idx="15">
                  <c:v>2.4180096362066301</c:v>
                </c:pt>
                <c:pt idx="16">
                  <c:v>1.86124282879616</c:v>
                </c:pt>
                <c:pt idx="17">
                  <c:v>1.7333891293799499</c:v>
                </c:pt>
                <c:pt idx="18">
                  <c:v>2.1182747223488398</c:v>
                </c:pt>
                <c:pt idx="19">
                  <c:v>2.2486316146990202</c:v>
                </c:pt>
                <c:pt idx="20">
                  <c:v>1.38187374013061</c:v>
                </c:pt>
                <c:pt idx="21">
                  <c:v>1.08129059920596</c:v>
                </c:pt>
                <c:pt idx="22">
                  <c:v>0.96612323561066804</c:v>
                </c:pt>
                <c:pt idx="23">
                  <c:v>1.21105643309446</c:v>
                </c:pt>
                <c:pt idx="24">
                  <c:v>1.4536955966377501</c:v>
                </c:pt>
                <c:pt idx="25">
                  <c:v>1.23423783884298</c:v>
                </c:pt>
                <c:pt idx="26">
                  <c:v>2.3405286516514501</c:v>
                </c:pt>
                <c:pt idx="27">
                  <c:v>2.0097890273663599</c:v>
                </c:pt>
                <c:pt idx="28">
                  <c:v>1.6678313402251601</c:v>
                </c:pt>
                <c:pt idx="29">
                  <c:v>1.93980804085475</c:v>
                </c:pt>
                <c:pt idx="30">
                  <c:v>3.8969168791608402</c:v>
                </c:pt>
                <c:pt idx="31">
                  <c:v>3.52073104697577</c:v>
                </c:pt>
                <c:pt idx="32">
                  <c:v>2.5242279913372498</c:v>
                </c:pt>
                <c:pt idx="33">
                  <c:v>7.5299683456584097</c:v>
                </c:pt>
                <c:pt idx="34">
                  <c:v>2.5529730320435</c:v>
                </c:pt>
                <c:pt idx="35">
                  <c:v>3.97354688561304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D83-4D9D-8147-60F4DDE9220D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envelope'!$T$2:$T$37</c:f>
              <c:numCache>
                <c:formatCode>General</c:formatCode>
                <c:ptCount val="36"/>
                <c:pt idx="0">
                  <c:v>33.9501094509531</c:v>
                </c:pt>
                <c:pt idx="1">
                  <c:v>14.678628703526799</c:v>
                </c:pt>
                <c:pt idx="2">
                  <c:v>33.306743282832997</c:v>
                </c:pt>
                <c:pt idx="3">
                  <c:v>21.566367090994799</c:v>
                </c:pt>
                <c:pt idx="4">
                  <c:v>20.2107305896232</c:v>
                </c:pt>
                <c:pt idx="5">
                  <c:v>24.1965198606337</c:v>
                </c:pt>
                <c:pt idx="6">
                  <c:v>18.7980592799188</c:v>
                </c:pt>
                <c:pt idx="7">
                  <c:v>24.442725679632701</c:v>
                </c:pt>
                <c:pt idx="8">
                  <c:v>23.912805417768499</c:v>
                </c:pt>
                <c:pt idx="9">
                  <c:v>19.740127972659199</c:v>
                </c:pt>
                <c:pt idx="10">
                  <c:v>15.3967166093017</c:v>
                </c:pt>
                <c:pt idx="11">
                  <c:v>16.825318323138202</c:v>
                </c:pt>
                <c:pt idx="12">
                  <c:v>14.826373747087001</c:v>
                </c:pt>
                <c:pt idx="13">
                  <c:v>9.4065570267053804</c:v>
                </c:pt>
                <c:pt idx="14">
                  <c:v>5.1103484314336303</c:v>
                </c:pt>
                <c:pt idx="15">
                  <c:v>9.6720385448265294</c:v>
                </c:pt>
                <c:pt idx="16">
                  <c:v>7.4449713151846701</c:v>
                </c:pt>
                <c:pt idx="17">
                  <c:v>6.9335565175198299</c:v>
                </c:pt>
                <c:pt idx="18">
                  <c:v>8.4730988893953594</c:v>
                </c:pt>
                <c:pt idx="19">
                  <c:v>8.9945264587960896</c:v>
                </c:pt>
                <c:pt idx="20">
                  <c:v>5.5274949605224499</c:v>
                </c:pt>
                <c:pt idx="21">
                  <c:v>4.3251623968238597</c:v>
                </c:pt>
                <c:pt idx="22">
                  <c:v>3.8644929424426699</c:v>
                </c:pt>
                <c:pt idx="23">
                  <c:v>4.8442257323778604</c:v>
                </c:pt>
                <c:pt idx="24">
                  <c:v>5.8147823865510198</c:v>
                </c:pt>
                <c:pt idx="25">
                  <c:v>4.93695135537192</c:v>
                </c:pt>
                <c:pt idx="26">
                  <c:v>9.3621146066058198</c:v>
                </c:pt>
                <c:pt idx="27">
                  <c:v>8.0391561094654609</c:v>
                </c:pt>
                <c:pt idx="28">
                  <c:v>6.6713253609006697</c:v>
                </c:pt>
                <c:pt idx="29">
                  <c:v>7.7592321634190196</c:v>
                </c:pt>
                <c:pt idx="30">
                  <c:v>15.5876675166433</c:v>
                </c:pt>
                <c:pt idx="31">
                  <c:v>14.082924187903</c:v>
                </c:pt>
                <c:pt idx="32">
                  <c:v>10.096911965348999</c:v>
                </c:pt>
                <c:pt idx="33">
                  <c:v>30.1198733826336</c:v>
                </c:pt>
                <c:pt idx="34">
                  <c:v>10.211892128174</c:v>
                </c:pt>
                <c:pt idx="35">
                  <c:v>15.8941875424521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D83-4D9D-8147-60F4DDE922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</a:t>
            </a:r>
            <a:r>
              <a:rPr lang="en-US" baseline="0"/>
              <a:t> Amplitude by Channel v/s Max Size - Log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3382520993456"/>
          <c:y val="0.1598240740659114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envelope'!$O$2:$O$37</c:f>
              <c:numCache>
                <c:formatCode>General</c:formatCode>
                <c:ptCount val="36"/>
                <c:pt idx="0">
                  <c:v>6.4069250048013796E-2</c:v>
                </c:pt>
                <c:pt idx="1">
                  <c:v>5.1422303616638097E-2</c:v>
                </c:pt>
                <c:pt idx="2">
                  <c:v>9.4968206718967205E-2</c:v>
                </c:pt>
                <c:pt idx="3">
                  <c:v>5.6005964760614799E-2</c:v>
                </c:pt>
                <c:pt idx="4">
                  <c:v>4.6849938207403699E-2</c:v>
                </c:pt>
                <c:pt idx="5">
                  <c:v>3.9406083818281298E-2</c:v>
                </c:pt>
                <c:pt idx="6">
                  <c:v>4.5463397559226001E-2</c:v>
                </c:pt>
                <c:pt idx="7">
                  <c:v>9.5743592288179996E-2</c:v>
                </c:pt>
                <c:pt idx="8">
                  <c:v>3.8585276164057498E-2</c:v>
                </c:pt>
                <c:pt idx="9">
                  <c:v>9.5639162709086803E-2</c:v>
                </c:pt>
                <c:pt idx="10">
                  <c:v>2.85197693561322E-2</c:v>
                </c:pt>
                <c:pt idx="11">
                  <c:v>0.10538288717717199</c:v>
                </c:pt>
                <c:pt idx="12">
                  <c:v>2.77248857374158E-2</c:v>
                </c:pt>
                <c:pt idx="28">
                  <c:v>2.4016207968108199E-2</c:v>
                </c:pt>
                <c:pt idx="30">
                  <c:v>9.5477972807156197E-2</c:v>
                </c:pt>
                <c:pt idx="31">
                  <c:v>2.8717702047744001E-2</c:v>
                </c:pt>
                <c:pt idx="32">
                  <c:v>4.2099641834455401E-2</c:v>
                </c:pt>
                <c:pt idx="33">
                  <c:v>6.9669475601588704E-2</c:v>
                </c:pt>
                <c:pt idx="35">
                  <c:v>6.2038722824561902E-2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87-4695-A894-A7D68BBF17D9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envelope'!$P$2:$P$37</c:f>
              <c:numCache>
                <c:formatCode>General</c:formatCode>
                <c:ptCount val="36"/>
                <c:pt idx="0">
                  <c:v>0.17940701762775299</c:v>
                </c:pt>
                <c:pt idx="1">
                  <c:v>0.136504884052633</c:v>
                </c:pt>
                <c:pt idx="2">
                  <c:v>0.31788484763340902</c:v>
                </c:pt>
                <c:pt idx="3">
                  <c:v>0.16309275016740199</c:v>
                </c:pt>
                <c:pt idx="4">
                  <c:v>0.12535462962986799</c:v>
                </c:pt>
                <c:pt idx="5">
                  <c:v>0.15393753693111001</c:v>
                </c:pt>
                <c:pt idx="6">
                  <c:v>0.16338445100562901</c:v>
                </c:pt>
                <c:pt idx="7">
                  <c:v>0.18723147718286101</c:v>
                </c:pt>
                <c:pt idx="8">
                  <c:v>0.117415800187244</c:v>
                </c:pt>
                <c:pt idx="9">
                  <c:v>0.18581760283662399</c:v>
                </c:pt>
                <c:pt idx="10">
                  <c:v>0.101347429024516</c:v>
                </c:pt>
                <c:pt idx="11">
                  <c:v>0.15056990486005101</c:v>
                </c:pt>
                <c:pt idx="12">
                  <c:v>7.8677957752448305E-2</c:v>
                </c:pt>
                <c:pt idx="13">
                  <c:v>7.7959153032395798E-2</c:v>
                </c:pt>
                <c:pt idx="15">
                  <c:v>7.2703926665255297E-2</c:v>
                </c:pt>
                <c:pt idx="16">
                  <c:v>4.3588035701968897E-2</c:v>
                </c:pt>
                <c:pt idx="17">
                  <c:v>4.5264926352280903E-2</c:v>
                </c:pt>
                <c:pt idx="18">
                  <c:v>6.4224427234734496E-2</c:v>
                </c:pt>
                <c:pt idx="19">
                  <c:v>5.66060042990124E-2</c:v>
                </c:pt>
                <c:pt idx="20">
                  <c:v>4.2501949944915698E-2</c:v>
                </c:pt>
                <c:pt idx="23">
                  <c:v>2.7853920384742901E-2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8.2766257918429495E-2</c:v>
                </c:pt>
                <c:pt idx="28">
                  <c:v>6.1687066952672398E-2</c:v>
                </c:pt>
                <c:pt idx="29">
                  <c:v>6.6744949341475304E-2</c:v>
                </c:pt>
                <c:pt idx="30">
                  <c:v>0.192484405703403</c:v>
                </c:pt>
                <c:pt idx="31">
                  <c:v>0.11587567427319601</c:v>
                </c:pt>
                <c:pt idx="32">
                  <c:v>0.10745936765490099</c:v>
                </c:pt>
                <c:pt idx="33">
                  <c:v>0.21182245741774999</c:v>
                </c:pt>
                <c:pt idx="34">
                  <c:v>7.9120500982877304E-2</c:v>
                </c:pt>
                <c:pt idx="35">
                  <c:v>0.13350547172294899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787-4695-A894-A7D68BBF17D9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envelope'!$Q$2:$Q$37</c:f>
              <c:numCache>
                <c:formatCode>General</c:formatCode>
                <c:ptCount val="36"/>
                <c:pt idx="0">
                  <c:v>0.59727911911144405</c:v>
                </c:pt>
                <c:pt idx="1">
                  <c:v>0.26754282688021702</c:v>
                </c:pt>
                <c:pt idx="2">
                  <c:v>0.78149567271952003</c:v>
                </c:pt>
                <c:pt idx="3">
                  <c:v>0.449858505678978</c:v>
                </c:pt>
                <c:pt idx="4">
                  <c:v>0.44063655773576799</c:v>
                </c:pt>
                <c:pt idx="5">
                  <c:v>0.46926879178815301</c:v>
                </c:pt>
                <c:pt idx="6">
                  <c:v>0.426009200925964</c:v>
                </c:pt>
                <c:pt idx="7">
                  <c:v>0.64667150537108198</c:v>
                </c:pt>
                <c:pt idx="8">
                  <c:v>0.46966320074897699</c:v>
                </c:pt>
                <c:pt idx="9">
                  <c:v>0.60536126077852104</c:v>
                </c:pt>
                <c:pt idx="10">
                  <c:v>0.24057369702033901</c:v>
                </c:pt>
                <c:pt idx="11">
                  <c:v>0.50129083006757003</c:v>
                </c:pt>
                <c:pt idx="12">
                  <c:v>0.26510584610390098</c:v>
                </c:pt>
                <c:pt idx="13">
                  <c:v>0.24135454645261201</c:v>
                </c:pt>
                <c:pt idx="14">
                  <c:v>0.12254395097085501</c:v>
                </c:pt>
                <c:pt idx="15">
                  <c:v>0.21382124817687001</c:v>
                </c:pt>
                <c:pt idx="16">
                  <c:v>0.13106034882425699</c:v>
                </c:pt>
                <c:pt idx="17">
                  <c:v>0.12707267062271299</c:v>
                </c:pt>
                <c:pt idx="18">
                  <c:v>0.22893530246709601</c:v>
                </c:pt>
                <c:pt idx="19">
                  <c:v>0.173305439270318</c:v>
                </c:pt>
                <c:pt idx="20">
                  <c:v>0.116374533955678</c:v>
                </c:pt>
                <c:pt idx="21">
                  <c:v>7.8663658425102104E-2</c:v>
                </c:pt>
                <c:pt idx="22">
                  <c:v>8.5713068849887802E-2</c:v>
                </c:pt>
                <c:pt idx="23">
                  <c:v>0.102227488893629</c:v>
                </c:pt>
                <c:pt idx="24">
                  <c:v>0.17662425401843199</c:v>
                </c:pt>
                <c:pt idx="25">
                  <c:v>0.14678489544762599</c:v>
                </c:pt>
                <c:pt idx="26">
                  <c:v>0.222368887754927</c:v>
                </c:pt>
                <c:pt idx="27">
                  <c:v>0.28137760228112102</c:v>
                </c:pt>
                <c:pt idx="28">
                  <c:v>0.19687478181427201</c:v>
                </c:pt>
                <c:pt idx="29">
                  <c:v>0.16107374150092801</c:v>
                </c:pt>
                <c:pt idx="30">
                  <c:v>0.54260603351381897</c:v>
                </c:pt>
                <c:pt idx="31">
                  <c:v>0.424330918118209</c:v>
                </c:pt>
                <c:pt idx="32">
                  <c:v>0.342981303210388</c:v>
                </c:pt>
                <c:pt idx="33">
                  <c:v>0.71876689058186105</c:v>
                </c:pt>
                <c:pt idx="34">
                  <c:v>0.25286216921415</c:v>
                </c:pt>
                <c:pt idx="35">
                  <c:v>0.41039439745539202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787-4695-A894-A7D68BBF17D9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envelope'!$R$2:$R$37</c:f>
              <c:numCache>
                <c:formatCode>General</c:formatCode>
                <c:ptCount val="36"/>
                <c:pt idx="0">
                  <c:v>2.1218818406845701</c:v>
                </c:pt>
                <c:pt idx="1">
                  <c:v>0.98750358289623297</c:v>
                </c:pt>
                <c:pt idx="2">
                  <c:v>2.2740324054836099</c:v>
                </c:pt>
                <c:pt idx="3">
                  <c:v>1.61414237742101</c:v>
                </c:pt>
                <c:pt idx="4">
                  <c:v>1.4715502319528799</c:v>
                </c:pt>
                <c:pt idx="5">
                  <c:v>1.6679355265670801</c:v>
                </c:pt>
                <c:pt idx="6">
                  <c:v>1.2687679005852299</c:v>
                </c:pt>
                <c:pt idx="7">
                  <c:v>1.81287477386409</c:v>
                </c:pt>
                <c:pt idx="8">
                  <c:v>1.4945503386105301</c:v>
                </c:pt>
                <c:pt idx="9">
                  <c:v>1.2337579982911999</c:v>
                </c:pt>
                <c:pt idx="10">
                  <c:v>0.96229478808135804</c:v>
                </c:pt>
                <c:pt idx="11">
                  <c:v>1.0515823951961401</c:v>
                </c:pt>
                <c:pt idx="12">
                  <c:v>0.92664835919294097</c:v>
                </c:pt>
                <c:pt idx="13">
                  <c:v>0.62231226944989104</c:v>
                </c:pt>
                <c:pt idx="14">
                  <c:v>0.35900970208783201</c:v>
                </c:pt>
                <c:pt idx="15">
                  <c:v>0.60450240905165797</c:v>
                </c:pt>
                <c:pt idx="16">
                  <c:v>0.52424139529702896</c:v>
                </c:pt>
                <c:pt idx="17">
                  <c:v>0.43334728234498898</c:v>
                </c:pt>
                <c:pt idx="18">
                  <c:v>0.58198300914003198</c:v>
                </c:pt>
                <c:pt idx="19">
                  <c:v>0.56215790367475604</c:v>
                </c:pt>
                <c:pt idx="20">
                  <c:v>0.36853445483851999</c:v>
                </c:pt>
                <c:pt idx="21">
                  <c:v>0.286033381784213</c:v>
                </c:pt>
                <c:pt idx="22">
                  <c:v>0.28274257889141102</c:v>
                </c:pt>
                <c:pt idx="23">
                  <c:v>0.312084224737535</c:v>
                </c:pt>
                <c:pt idx="24">
                  <c:v>0.371998081424883</c:v>
                </c:pt>
                <c:pt idx="25">
                  <c:v>0.32808884276820199</c:v>
                </c:pt>
                <c:pt idx="26">
                  <c:v>0.58513216291286296</c:v>
                </c:pt>
                <c:pt idx="27">
                  <c:v>0.60837215584300797</c:v>
                </c:pt>
                <c:pt idx="28">
                  <c:v>0.46344710039377801</c:v>
                </c:pt>
                <c:pt idx="29">
                  <c:v>0.484952010213689</c:v>
                </c:pt>
                <c:pt idx="30">
                  <c:v>1.4445985101020999</c:v>
                </c:pt>
                <c:pt idx="31">
                  <c:v>1.0317760232201201</c:v>
                </c:pt>
                <c:pt idx="32">
                  <c:v>0.759859641009906</c:v>
                </c:pt>
                <c:pt idx="33">
                  <c:v>2.4352261038974299</c:v>
                </c:pt>
                <c:pt idx="34">
                  <c:v>0.66084681493743003</c:v>
                </c:pt>
                <c:pt idx="35">
                  <c:v>1.17781242915115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787-4695-A894-A7D68BBF17D9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envelope'!$S$2:$S$37</c:f>
              <c:numCache>
                <c:formatCode>General</c:formatCode>
                <c:ptCount val="36"/>
                <c:pt idx="0">
                  <c:v>8.4875273627382803</c:v>
                </c:pt>
                <c:pt idx="1">
                  <c:v>3.6696571758817198</c:v>
                </c:pt>
                <c:pt idx="2">
                  <c:v>8.3266858207082599</c:v>
                </c:pt>
                <c:pt idx="3">
                  <c:v>5.3915917727487104</c:v>
                </c:pt>
                <c:pt idx="4">
                  <c:v>5.0526826474058097</c:v>
                </c:pt>
                <c:pt idx="5">
                  <c:v>6.0491299651584196</c:v>
                </c:pt>
                <c:pt idx="6">
                  <c:v>4.6995148199797203</c:v>
                </c:pt>
                <c:pt idx="7">
                  <c:v>6.1106814199081896</c:v>
                </c:pt>
                <c:pt idx="8">
                  <c:v>5.97820135444214</c:v>
                </c:pt>
                <c:pt idx="9">
                  <c:v>4.9350319931648103</c:v>
                </c:pt>
                <c:pt idx="10">
                  <c:v>3.84917915232543</c:v>
                </c:pt>
                <c:pt idx="11">
                  <c:v>4.2063295807845602</c:v>
                </c:pt>
                <c:pt idx="12">
                  <c:v>3.7065934367717599</c:v>
                </c:pt>
                <c:pt idx="13">
                  <c:v>2.3516392566763402</c:v>
                </c:pt>
                <c:pt idx="14">
                  <c:v>1.2775871078584</c:v>
                </c:pt>
                <c:pt idx="15">
                  <c:v>2.4180096362066301</c:v>
                </c:pt>
                <c:pt idx="16">
                  <c:v>1.86124282879616</c:v>
                </c:pt>
                <c:pt idx="17">
                  <c:v>1.7333891293799499</c:v>
                </c:pt>
                <c:pt idx="18">
                  <c:v>2.1182747223488398</c:v>
                </c:pt>
                <c:pt idx="19">
                  <c:v>2.2486316146990202</c:v>
                </c:pt>
                <c:pt idx="20">
                  <c:v>1.38187374013061</c:v>
                </c:pt>
                <c:pt idx="21">
                  <c:v>1.08129059920596</c:v>
                </c:pt>
                <c:pt idx="22">
                  <c:v>0.96612323561066804</c:v>
                </c:pt>
                <c:pt idx="23">
                  <c:v>1.21105643309446</c:v>
                </c:pt>
                <c:pt idx="24">
                  <c:v>1.4536955966377501</c:v>
                </c:pt>
                <c:pt idx="25">
                  <c:v>1.23423783884298</c:v>
                </c:pt>
                <c:pt idx="26">
                  <c:v>2.3405286516514501</c:v>
                </c:pt>
                <c:pt idx="27">
                  <c:v>2.0097890273663599</c:v>
                </c:pt>
                <c:pt idx="28">
                  <c:v>1.6678313402251601</c:v>
                </c:pt>
                <c:pt idx="29">
                  <c:v>1.93980804085475</c:v>
                </c:pt>
                <c:pt idx="30">
                  <c:v>3.8969168791608402</c:v>
                </c:pt>
                <c:pt idx="31">
                  <c:v>3.52073104697577</c:v>
                </c:pt>
                <c:pt idx="32">
                  <c:v>2.5242279913372498</c:v>
                </c:pt>
                <c:pt idx="33">
                  <c:v>7.5299683456584097</c:v>
                </c:pt>
                <c:pt idx="34">
                  <c:v>2.5529730320435</c:v>
                </c:pt>
                <c:pt idx="35">
                  <c:v>3.97354688561304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787-4695-A894-A7D68BBF17D9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envelope'!$T$2:$T$37</c:f>
              <c:numCache>
                <c:formatCode>General</c:formatCode>
                <c:ptCount val="36"/>
                <c:pt idx="0">
                  <c:v>33.9501094509531</c:v>
                </c:pt>
                <c:pt idx="1">
                  <c:v>14.678628703526799</c:v>
                </c:pt>
                <c:pt idx="2">
                  <c:v>33.306743282832997</c:v>
                </c:pt>
                <c:pt idx="3">
                  <c:v>21.566367090994799</c:v>
                </c:pt>
                <c:pt idx="4">
                  <c:v>20.2107305896232</c:v>
                </c:pt>
                <c:pt idx="5">
                  <c:v>24.1965198606337</c:v>
                </c:pt>
                <c:pt idx="6">
                  <c:v>18.7980592799188</c:v>
                </c:pt>
                <c:pt idx="7">
                  <c:v>24.442725679632701</c:v>
                </c:pt>
                <c:pt idx="8">
                  <c:v>23.912805417768499</c:v>
                </c:pt>
                <c:pt idx="9">
                  <c:v>19.740127972659199</c:v>
                </c:pt>
                <c:pt idx="10">
                  <c:v>15.3967166093017</c:v>
                </c:pt>
                <c:pt idx="11">
                  <c:v>16.825318323138202</c:v>
                </c:pt>
                <c:pt idx="12">
                  <c:v>14.826373747087001</c:v>
                </c:pt>
                <c:pt idx="13">
                  <c:v>9.4065570267053804</c:v>
                </c:pt>
                <c:pt idx="14">
                  <c:v>5.1103484314336303</c:v>
                </c:pt>
                <c:pt idx="15">
                  <c:v>9.6720385448265294</c:v>
                </c:pt>
                <c:pt idx="16">
                  <c:v>7.4449713151846701</c:v>
                </c:pt>
                <c:pt idx="17">
                  <c:v>6.9335565175198299</c:v>
                </c:pt>
                <c:pt idx="18">
                  <c:v>8.4730988893953594</c:v>
                </c:pt>
                <c:pt idx="19">
                  <c:v>8.9945264587960896</c:v>
                </c:pt>
                <c:pt idx="20">
                  <c:v>5.5274949605224499</c:v>
                </c:pt>
                <c:pt idx="21">
                  <c:v>4.3251623968238597</c:v>
                </c:pt>
                <c:pt idx="22">
                  <c:v>3.8644929424426699</c:v>
                </c:pt>
                <c:pt idx="23">
                  <c:v>4.8442257323778604</c:v>
                </c:pt>
                <c:pt idx="24">
                  <c:v>5.8147823865510198</c:v>
                </c:pt>
                <c:pt idx="25">
                  <c:v>4.93695135537192</c:v>
                </c:pt>
                <c:pt idx="26">
                  <c:v>9.3621146066058198</c:v>
                </c:pt>
                <c:pt idx="27">
                  <c:v>8.0391561094654609</c:v>
                </c:pt>
                <c:pt idx="28">
                  <c:v>6.6713253609006697</c:v>
                </c:pt>
                <c:pt idx="29">
                  <c:v>7.7592321634190196</c:v>
                </c:pt>
                <c:pt idx="30">
                  <c:v>15.5876675166433</c:v>
                </c:pt>
                <c:pt idx="31">
                  <c:v>14.082924187903</c:v>
                </c:pt>
                <c:pt idx="32">
                  <c:v>10.096911965348999</c:v>
                </c:pt>
                <c:pt idx="33">
                  <c:v>30.1198733826336</c:v>
                </c:pt>
                <c:pt idx="34">
                  <c:v>10.211892128174</c:v>
                </c:pt>
                <c:pt idx="35">
                  <c:v>15.8941875424521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1787-4695-A894-A7D68BBF1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</a:t>
            </a:r>
            <a:r>
              <a:rPr lang="en-US" baseline="0"/>
              <a:t> Amplitude by Channel v/s Max Size - Exp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3382520993456"/>
          <c:y val="0.1598240740659114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envelope'!$O$2:$O$37</c:f>
              <c:numCache>
                <c:formatCode>General</c:formatCode>
                <c:ptCount val="36"/>
                <c:pt idx="0">
                  <c:v>6.4069250048013796E-2</c:v>
                </c:pt>
                <c:pt idx="1">
                  <c:v>5.1422303616638097E-2</c:v>
                </c:pt>
                <c:pt idx="2">
                  <c:v>9.4968206718967205E-2</c:v>
                </c:pt>
                <c:pt idx="3">
                  <c:v>5.6005964760614799E-2</c:v>
                </c:pt>
                <c:pt idx="4">
                  <c:v>4.6849938207403699E-2</c:v>
                </c:pt>
                <c:pt idx="5">
                  <c:v>3.9406083818281298E-2</c:v>
                </c:pt>
                <c:pt idx="6">
                  <c:v>4.5463397559226001E-2</c:v>
                </c:pt>
                <c:pt idx="7">
                  <c:v>9.5743592288179996E-2</c:v>
                </c:pt>
                <c:pt idx="8">
                  <c:v>3.8585276164057498E-2</c:v>
                </c:pt>
                <c:pt idx="9">
                  <c:v>9.5639162709086803E-2</c:v>
                </c:pt>
                <c:pt idx="10">
                  <c:v>2.85197693561322E-2</c:v>
                </c:pt>
                <c:pt idx="11">
                  <c:v>0.10538288717717199</c:v>
                </c:pt>
                <c:pt idx="12">
                  <c:v>2.77248857374158E-2</c:v>
                </c:pt>
                <c:pt idx="28">
                  <c:v>2.4016207968108199E-2</c:v>
                </c:pt>
                <c:pt idx="30">
                  <c:v>9.5477972807156197E-2</c:v>
                </c:pt>
                <c:pt idx="31">
                  <c:v>2.8717702047744001E-2</c:v>
                </c:pt>
                <c:pt idx="32">
                  <c:v>4.2099641834455401E-2</c:v>
                </c:pt>
                <c:pt idx="33">
                  <c:v>6.9669475601588704E-2</c:v>
                </c:pt>
                <c:pt idx="35">
                  <c:v>6.2038722824561902E-2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88-45F5-BCF6-875B7AE92B2F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envelope'!$P$2:$P$37</c:f>
              <c:numCache>
                <c:formatCode>General</c:formatCode>
                <c:ptCount val="36"/>
                <c:pt idx="0">
                  <c:v>0.17940701762775299</c:v>
                </c:pt>
                <c:pt idx="1">
                  <c:v>0.136504884052633</c:v>
                </c:pt>
                <c:pt idx="2">
                  <c:v>0.31788484763340902</c:v>
                </c:pt>
                <c:pt idx="3">
                  <c:v>0.16309275016740199</c:v>
                </c:pt>
                <c:pt idx="4">
                  <c:v>0.12535462962986799</c:v>
                </c:pt>
                <c:pt idx="5">
                  <c:v>0.15393753693111001</c:v>
                </c:pt>
                <c:pt idx="6">
                  <c:v>0.16338445100562901</c:v>
                </c:pt>
                <c:pt idx="7">
                  <c:v>0.18723147718286101</c:v>
                </c:pt>
                <c:pt idx="8">
                  <c:v>0.117415800187244</c:v>
                </c:pt>
                <c:pt idx="9">
                  <c:v>0.18581760283662399</c:v>
                </c:pt>
                <c:pt idx="10">
                  <c:v>0.101347429024516</c:v>
                </c:pt>
                <c:pt idx="11">
                  <c:v>0.15056990486005101</c:v>
                </c:pt>
                <c:pt idx="12">
                  <c:v>7.8677957752448305E-2</c:v>
                </c:pt>
                <c:pt idx="13">
                  <c:v>7.7959153032395798E-2</c:v>
                </c:pt>
                <c:pt idx="15">
                  <c:v>7.2703926665255297E-2</c:v>
                </c:pt>
                <c:pt idx="16">
                  <c:v>4.3588035701968897E-2</c:v>
                </c:pt>
                <c:pt idx="17">
                  <c:v>4.5264926352280903E-2</c:v>
                </c:pt>
                <c:pt idx="18">
                  <c:v>6.4224427234734496E-2</c:v>
                </c:pt>
                <c:pt idx="19">
                  <c:v>5.66060042990124E-2</c:v>
                </c:pt>
                <c:pt idx="20">
                  <c:v>4.2501949944915698E-2</c:v>
                </c:pt>
                <c:pt idx="23">
                  <c:v>2.7853920384742901E-2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8.2766257918429495E-2</c:v>
                </c:pt>
                <c:pt idx="28">
                  <c:v>6.1687066952672398E-2</c:v>
                </c:pt>
                <c:pt idx="29">
                  <c:v>6.6744949341475304E-2</c:v>
                </c:pt>
                <c:pt idx="30">
                  <c:v>0.192484405703403</c:v>
                </c:pt>
                <c:pt idx="31">
                  <c:v>0.11587567427319601</c:v>
                </c:pt>
                <c:pt idx="32">
                  <c:v>0.10745936765490099</c:v>
                </c:pt>
                <c:pt idx="33">
                  <c:v>0.21182245741774999</c:v>
                </c:pt>
                <c:pt idx="34">
                  <c:v>7.9120500982877304E-2</c:v>
                </c:pt>
                <c:pt idx="35">
                  <c:v>0.13350547172294899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88-45F5-BCF6-875B7AE92B2F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envelope'!$Q$2:$Q$37</c:f>
              <c:numCache>
                <c:formatCode>General</c:formatCode>
                <c:ptCount val="36"/>
                <c:pt idx="0">
                  <c:v>0.59727911911144405</c:v>
                </c:pt>
                <c:pt idx="1">
                  <c:v>0.26754282688021702</c:v>
                </c:pt>
                <c:pt idx="2">
                  <c:v>0.78149567271952003</c:v>
                </c:pt>
                <c:pt idx="3">
                  <c:v>0.449858505678978</c:v>
                </c:pt>
                <c:pt idx="4">
                  <c:v>0.44063655773576799</c:v>
                </c:pt>
                <c:pt idx="5">
                  <c:v>0.46926879178815301</c:v>
                </c:pt>
                <c:pt idx="6">
                  <c:v>0.426009200925964</c:v>
                </c:pt>
                <c:pt idx="7">
                  <c:v>0.64667150537108198</c:v>
                </c:pt>
                <c:pt idx="8">
                  <c:v>0.46966320074897699</c:v>
                </c:pt>
                <c:pt idx="9">
                  <c:v>0.60536126077852104</c:v>
                </c:pt>
                <c:pt idx="10">
                  <c:v>0.24057369702033901</c:v>
                </c:pt>
                <c:pt idx="11">
                  <c:v>0.50129083006757003</c:v>
                </c:pt>
                <c:pt idx="12">
                  <c:v>0.26510584610390098</c:v>
                </c:pt>
                <c:pt idx="13">
                  <c:v>0.24135454645261201</c:v>
                </c:pt>
                <c:pt idx="14">
                  <c:v>0.12254395097085501</c:v>
                </c:pt>
                <c:pt idx="15">
                  <c:v>0.21382124817687001</c:v>
                </c:pt>
                <c:pt idx="16">
                  <c:v>0.13106034882425699</c:v>
                </c:pt>
                <c:pt idx="17">
                  <c:v>0.12707267062271299</c:v>
                </c:pt>
                <c:pt idx="18">
                  <c:v>0.22893530246709601</c:v>
                </c:pt>
                <c:pt idx="19">
                  <c:v>0.173305439270318</c:v>
                </c:pt>
                <c:pt idx="20">
                  <c:v>0.116374533955678</c:v>
                </c:pt>
                <c:pt idx="21">
                  <c:v>7.8663658425102104E-2</c:v>
                </c:pt>
                <c:pt idx="22">
                  <c:v>8.5713068849887802E-2</c:v>
                </c:pt>
                <c:pt idx="23">
                  <c:v>0.102227488893629</c:v>
                </c:pt>
                <c:pt idx="24">
                  <c:v>0.17662425401843199</c:v>
                </c:pt>
                <c:pt idx="25">
                  <c:v>0.14678489544762599</c:v>
                </c:pt>
                <c:pt idx="26">
                  <c:v>0.222368887754927</c:v>
                </c:pt>
                <c:pt idx="27">
                  <c:v>0.28137760228112102</c:v>
                </c:pt>
                <c:pt idx="28">
                  <c:v>0.19687478181427201</c:v>
                </c:pt>
                <c:pt idx="29">
                  <c:v>0.16107374150092801</c:v>
                </c:pt>
                <c:pt idx="30">
                  <c:v>0.54260603351381897</c:v>
                </c:pt>
                <c:pt idx="31">
                  <c:v>0.424330918118209</c:v>
                </c:pt>
                <c:pt idx="32">
                  <c:v>0.342981303210388</c:v>
                </c:pt>
                <c:pt idx="33">
                  <c:v>0.71876689058186105</c:v>
                </c:pt>
                <c:pt idx="34">
                  <c:v>0.25286216921415</c:v>
                </c:pt>
                <c:pt idx="35">
                  <c:v>0.41039439745539202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D88-45F5-BCF6-875B7AE92B2F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envelope'!$R$2:$R$37</c:f>
              <c:numCache>
                <c:formatCode>General</c:formatCode>
                <c:ptCount val="36"/>
                <c:pt idx="0">
                  <c:v>2.1218818406845701</c:v>
                </c:pt>
                <c:pt idx="1">
                  <c:v>0.98750358289623297</c:v>
                </c:pt>
                <c:pt idx="2">
                  <c:v>2.2740324054836099</c:v>
                </c:pt>
                <c:pt idx="3">
                  <c:v>1.61414237742101</c:v>
                </c:pt>
                <c:pt idx="4">
                  <c:v>1.4715502319528799</c:v>
                </c:pt>
                <c:pt idx="5">
                  <c:v>1.6679355265670801</c:v>
                </c:pt>
                <c:pt idx="6">
                  <c:v>1.2687679005852299</c:v>
                </c:pt>
                <c:pt idx="7">
                  <c:v>1.81287477386409</c:v>
                </c:pt>
                <c:pt idx="8">
                  <c:v>1.4945503386105301</c:v>
                </c:pt>
                <c:pt idx="9">
                  <c:v>1.2337579982911999</c:v>
                </c:pt>
                <c:pt idx="10">
                  <c:v>0.96229478808135804</c:v>
                </c:pt>
                <c:pt idx="11">
                  <c:v>1.0515823951961401</c:v>
                </c:pt>
                <c:pt idx="12">
                  <c:v>0.92664835919294097</c:v>
                </c:pt>
                <c:pt idx="13">
                  <c:v>0.62231226944989104</c:v>
                </c:pt>
                <c:pt idx="14">
                  <c:v>0.35900970208783201</c:v>
                </c:pt>
                <c:pt idx="15">
                  <c:v>0.60450240905165797</c:v>
                </c:pt>
                <c:pt idx="16">
                  <c:v>0.52424139529702896</c:v>
                </c:pt>
                <c:pt idx="17">
                  <c:v>0.43334728234498898</c:v>
                </c:pt>
                <c:pt idx="18">
                  <c:v>0.58198300914003198</c:v>
                </c:pt>
                <c:pt idx="19">
                  <c:v>0.56215790367475604</c:v>
                </c:pt>
                <c:pt idx="20">
                  <c:v>0.36853445483851999</c:v>
                </c:pt>
                <c:pt idx="21">
                  <c:v>0.286033381784213</c:v>
                </c:pt>
                <c:pt idx="22">
                  <c:v>0.28274257889141102</c:v>
                </c:pt>
                <c:pt idx="23">
                  <c:v>0.312084224737535</c:v>
                </c:pt>
                <c:pt idx="24">
                  <c:v>0.371998081424883</c:v>
                </c:pt>
                <c:pt idx="25">
                  <c:v>0.32808884276820199</c:v>
                </c:pt>
                <c:pt idx="26">
                  <c:v>0.58513216291286296</c:v>
                </c:pt>
                <c:pt idx="27">
                  <c:v>0.60837215584300797</c:v>
                </c:pt>
                <c:pt idx="28">
                  <c:v>0.46344710039377801</c:v>
                </c:pt>
                <c:pt idx="29">
                  <c:v>0.484952010213689</c:v>
                </c:pt>
                <c:pt idx="30">
                  <c:v>1.4445985101020999</c:v>
                </c:pt>
                <c:pt idx="31">
                  <c:v>1.0317760232201201</c:v>
                </c:pt>
                <c:pt idx="32">
                  <c:v>0.759859641009906</c:v>
                </c:pt>
                <c:pt idx="33">
                  <c:v>2.4352261038974299</c:v>
                </c:pt>
                <c:pt idx="34">
                  <c:v>0.66084681493743003</c:v>
                </c:pt>
                <c:pt idx="35">
                  <c:v>1.17781242915115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D88-45F5-BCF6-875B7AE92B2F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envelope'!$S$2:$S$37</c:f>
              <c:numCache>
                <c:formatCode>General</c:formatCode>
                <c:ptCount val="36"/>
                <c:pt idx="0">
                  <c:v>8.4875273627382803</c:v>
                </c:pt>
                <c:pt idx="1">
                  <c:v>3.6696571758817198</c:v>
                </c:pt>
                <c:pt idx="2">
                  <c:v>8.3266858207082599</c:v>
                </c:pt>
                <c:pt idx="3">
                  <c:v>5.3915917727487104</c:v>
                </c:pt>
                <c:pt idx="4">
                  <c:v>5.0526826474058097</c:v>
                </c:pt>
                <c:pt idx="5">
                  <c:v>6.0491299651584196</c:v>
                </c:pt>
                <c:pt idx="6">
                  <c:v>4.6995148199797203</c:v>
                </c:pt>
                <c:pt idx="7">
                  <c:v>6.1106814199081896</c:v>
                </c:pt>
                <c:pt idx="8">
                  <c:v>5.97820135444214</c:v>
                </c:pt>
                <c:pt idx="9">
                  <c:v>4.9350319931648103</c:v>
                </c:pt>
                <c:pt idx="10">
                  <c:v>3.84917915232543</c:v>
                </c:pt>
                <c:pt idx="11">
                  <c:v>4.2063295807845602</c:v>
                </c:pt>
                <c:pt idx="12">
                  <c:v>3.7065934367717599</c:v>
                </c:pt>
                <c:pt idx="13">
                  <c:v>2.3516392566763402</c:v>
                </c:pt>
                <c:pt idx="14">
                  <c:v>1.2775871078584</c:v>
                </c:pt>
                <c:pt idx="15">
                  <c:v>2.4180096362066301</c:v>
                </c:pt>
                <c:pt idx="16">
                  <c:v>1.86124282879616</c:v>
                </c:pt>
                <c:pt idx="17">
                  <c:v>1.7333891293799499</c:v>
                </c:pt>
                <c:pt idx="18">
                  <c:v>2.1182747223488398</c:v>
                </c:pt>
                <c:pt idx="19">
                  <c:v>2.2486316146990202</c:v>
                </c:pt>
                <c:pt idx="20">
                  <c:v>1.38187374013061</c:v>
                </c:pt>
                <c:pt idx="21">
                  <c:v>1.08129059920596</c:v>
                </c:pt>
                <c:pt idx="22">
                  <c:v>0.96612323561066804</c:v>
                </c:pt>
                <c:pt idx="23">
                  <c:v>1.21105643309446</c:v>
                </c:pt>
                <c:pt idx="24">
                  <c:v>1.4536955966377501</c:v>
                </c:pt>
                <c:pt idx="25">
                  <c:v>1.23423783884298</c:v>
                </c:pt>
                <c:pt idx="26">
                  <c:v>2.3405286516514501</c:v>
                </c:pt>
                <c:pt idx="27">
                  <c:v>2.0097890273663599</c:v>
                </c:pt>
                <c:pt idx="28">
                  <c:v>1.6678313402251601</c:v>
                </c:pt>
                <c:pt idx="29">
                  <c:v>1.93980804085475</c:v>
                </c:pt>
                <c:pt idx="30">
                  <c:v>3.8969168791608402</c:v>
                </c:pt>
                <c:pt idx="31">
                  <c:v>3.52073104697577</c:v>
                </c:pt>
                <c:pt idx="32">
                  <c:v>2.5242279913372498</c:v>
                </c:pt>
                <c:pt idx="33">
                  <c:v>7.5299683456584097</c:v>
                </c:pt>
                <c:pt idx="34">
                  <c:v>2.5529730320435</c:v>
                </c:pt>
                <c:pt idx="35">
                  <c:v>3.97354688561304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D88-45F5-BCF6-875B7AE92B2F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envelope'!$T$2:$T$37</c:f>
              <c:numCache>
                <c:formatCode>General</c:formatCode>
                <c:ptCount val="36"/>
                <c:pt idx="0">
                  <c:v>33.9501094509531</c:v>
                </c:pt>
                <c:pt idx="1">
                  <c:v>14.678628703526799</c:v>
                </c:pt>
                <c:pt idx="2">
                  <c:v>33.306743282832997</c:v>
                </c:pt>
                <c:pt idx="3">
                  <c:v>21.566367090994799</c:v>
                </c:pt>
                <c:pt idx="4">
                  <c:v>20.2107305896232</c:v>
                </c:pt>
                <c:pt idx="5">
                  <c:v>24.1965198606337</c:v>
                </c:pt>
                <c:pt idx="6">
                  <c:v>18.7980592799188</c:v>
                </c:pt>
                <c:pt idx="7">
                  <c:v>24.442725679632701</c:v>
                </c:pt>
                <c:pt idx="8">
                  <c:v>23.912805417768499</c:v>
                </c:pt>
                <c:pt idx="9">
                  <c:v>19.740127972659199</c:v>
                </c:pt>
                <c:pt idx="10">
                  <c:v>15.3967166093017</c:v>
                </c:pt>
                <c:pt idx="11">
                  <c:v>16.825318323138202</c:v>
                </c:pt>
                <c:pt idx="12">
                  <c:v>14.826373747087001</c:v>
                </c:pt>
                <c:pt idx="13">
                  <c:v>9.4065570267053804</c:v>
                </c:pt>
                <c:pt idx="14">
                  <c:v>5.1103484314336303</c:v>
                </c:pt>
                <c:pt idx="15">
                  <c:v>9.6720385448265294</c:v>
                </c:pt>
                <c:pt idx="16">
                  <c:v>7.4449713151846701</c:v>
                </c:pt>
                <c:pt idx="17">
                  <c:v>6.9335565175198299</c:v>
                </c:pt>
                <c:pt idx="18">
                  <c:v>8.4730988893953594</c:v>
                </c:pt>
                <c:pt idx="19">
                  <c:v>8.9945264587960896</c:v>
                </c:pt>
                <c:pt idx="20">
                  <c:v>5.5274949605224499</c:v>
                </c:pt>
                <c:pt idx="21">
                  <c:v>4.3251623968238597</c:v>
                </c:pt>
                <c:pt idx="22">
                  <c:v>3.8644929424426699</c:v>
                </c:pt>
                <c:pt idx="23">
                  <c:v>4.8442257323778604</c:v>
                </c:pt>
                <c:pt idx="24">
                  <c:v>5.8147823865510198</c:v>
                </c:pt>
                <c:pt idx="25">
                  <c:v>4.93695135537192</c:v>
                </c:pt>
                <c:pt idx="26">
                  <c:v>9.3621146066058198</c:v>
                </c:pt>
                <c:pt idx="27">
                  <c:v>8.0391561094654609</c:v>
                </c:pt>
                <c:pt idx="28">
                  <c:v>6.6713253609006697</c:v>
                </c:pt>
                <c:pt idx="29">
                  <c:v>7.7592321634190196</c:v>
                </c:pt>
                <c:pt idx="30">
                  <c:v>15.5876675166433</c:v>
                </c:pt>
                <c:pt idx="31">
                  <c:v>14.082924187903</c:v>
                </c:pt>
                <c:pt idx="32">
                  <c:v>10.096911965348999</c:v>
                </c:pt>
                <c:pt idx="33">
                  <c:v>30.1198733826336</c:v>
                </c:pt>
                <c:pt idx="34">
                  <c:v>10.211892128174</c:v>
                </c:pt>
                <c:pt idx="35">
                  <c:v>15.8941875424521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D88-45F5-BCF6-875B7AE92B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aseline="0"/>
              <a:t>Dmax vs Max Amp (2)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3805109370187007E-2"/>
                  <c:y val="-7.4016432643570523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envelope'!$E$2:$E$37</c:f>
              <c:numCache>
                <c:formatCode>0.0000</c:formatCode>
                <c:ptCount val="36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6">
                  <c:v>6.2688332148029005E-2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13">
                  <c:v>2.2481115003792299E-2</c:v>
                </c:pt>
                <c:pt idx="14">
                  <c:v>1.09573532088619E-2</c:v>
                </c:pt>
                <c:pt idx="15">
                  <c:v>2.2279504588702301E-2</c:v>
                </c:pt>
                <c:pt idx="16">
                  <c:v>1.0897008883362201E-2</c:v>
                </c:pt>
                <c:pt idx="17">
                  <c:v>1.13162316396569E-2</c:v>
                </c:pt>
                <c:pt idx="18">
                  <c:v>2.4554138346802101E-2</c:v>
                </c:pt>
                <c:pt idx="19">
                  <c:v>1.6195175632876601E-2</c:v>
                </c:pt>
                <c:pt idx="20">
                  <c:v>1.06254875376059E-2</c:v>
                </c:pt>
                <c:pt idx="21">
                  <c:v>5.4104257016193398E-3</c:v>
                </c:pt>
                <c:pt idx="22">
                  <c:v>5.4074185586351197E-3</c:v>
                </c:pt>
                <c:pt idx="23">
                  <c:v>6.9634801117522301E-3</c:v>
                </c:pt>
                <c:pt idx="24">
                  <c:v>1.40031756933689E-2</c:v>
                </c:pt>
                <c:pt idx="25">
                  <c:v>1.0890800850407899E-2</c:v>
                </c:pt>
                <c:pt idx="26">
                  <c:v>2.3197934886697399E-2</c:v>
                </c:pt>
                <c:pt idx="27">
                  <c:v>3.5345925929864103E-2</c:v>
                </c:pt>
                <c:pt idx="28">
                  <c:v>2.4016207968108199E-2</c:v>
                </c:pt>
                <c:pt idx="29">
                  <c:v>1.9422121419342901E-2</c:v>
                </c:pt>
                <c:pt idx="30">
                  <c:v>0.12653412852816501</c:v>
                </c:pt>
                <c:pt idx="31">
                  <c:v>5.1502950973667999E-2</c:v>
                </c:pt>
                <c:pt idx="32">
                  <c:v>5.04335454776157E-2</c:v>
                </c:pt>
                <c:pt idx="33">
                  <c:v>9.6840712231762202E-2</c:v>
                </c:pt>
                <c:pt idx="34">
                  <c:v>4.1669974213015902E-2</c:v>
                </c:pt>
                <c:pt idx="35">
                  <c:v>6.5041528765672305E-2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A3-47D8-99B4-2DCAEC382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Amplitude</a:t>
                </a:r>
                <a:r>
                  <a:rPr lang="en-US" baseline="0"/>
                  <a:t> (V)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Using Max Amp</a:t>
            </a:r>
            <a:endParaRPr lang="en-US" sz="1000"/>
          </a:p>
        </c:rich>
      </c:tx>
      <c:layout>
        <c:manualLayout>
          <c:xMode val="edge"/>
          <c:yMode val="edge"/>
          <c:x val="0.17507209239921237"/>
          <c:y val="5.05470589204848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021652570323999"/>
          <c:y val="0.19893559983040865"/>
          <c:w val="0.77985741863453628"/>
          <c:h val="0.49277966487561925"/>
        </c:manualLayout>
      </c:layout>
      <c:scatterChart>
        <c:scatterStyle val="lineMarker"/>
        <c:varyColors val="0"/>
        <c:ser>
          <c:idx val="0"/>
          <c:order val="0"/>
          <c:tx>
            <c:strRef>
              <c:f>validation!$C$22</c:f>
              <c:strCache>
                <c:ptCount val="1"/>
                <c:pt idx="0">
                  <c:v>Max Amp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validation!$B$23:$B$32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validation!$C$23:$C$32</c:f>
              <c:numCache>
                <c:formatCode>0.00</c:formatCode>
                <c:ptCount val="10"/>
                <c:pt idx="0">
                  <c:v>124.98377815678667</c:v>
                </c:pt>
                <c:pt idx="1">
                  <c:v>28.937326206160222</c:v>
                </c:pt>
                <c:pt idx="2">
                  <c:v>18.125609180160435</c:v>
                </c:pt>
                <c:pt idx="3">
                  <c:v>115.87861276600501</c:v>
                </c:pt>
                <c:pt idx="4">
                  <c:v>218.85100732502002</c:v>
                </c:pt>
                <c:pt idx="5">
                  <c:v>175.20489784639997</c:v>
                </c:pt>
                <c:pt idx="6">
                  <c:v>374.3888775014633</c:v>
                </c:pt>
                <c:pt idx="7">
                  <c:v>44.404515864693892</c:v>
                </c:pt>
                <c:pt idx="8">
                  <c:v>135.12222885428557</c:v>
                </c:pt>
                <c:pt idx="9">
                  <c:v>576.29000267737126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12-42FA-B61E-83431FBF0FBD}"/>
            </c:ext>
          </c:extLst>
        </c:ser>
        <c:ser>
          <c:idx val="1"/>
          <c:order val="1"/>
          <c:tx>
            <c:strRef>
              <c:f>validation!$D$22</c:f>
              <c:strCache>
                <c:ptCount val="1"/>
                <c:pt idx="0">
                  <c:v>Dmax - Max Amp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0985548045311981"/>
                  <c:y val="1.2726541379144673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validation!$D$23:$D$32</c:f>
              <c:numCache>
                <c:formatCode>0.00</c:formatCode>
                <c:ptCount val="10"/>
                <c:pt idx="0">
                  <c:v>97.695517607575738</c:v>
                </c:pt>
                <c:pt idx="1">
                  <c:v>42.558611168539372</c:v>
                </c:pt>
                <c:pt idx="2">
                  <c:v>36.351982834008801</c:v>
                </c:pt>
                <c:pt idx="3">
                  <c:v>92.468560837516662</c:v>
                </c:pt>
                <c:pt idx="4">
                  <c:v>151.5814085200376</c:v>
                </c:pt>
                <c:pt idx="5">
                  <c:v>126.52570468219362</c:v>
                </c:pt>
                <c:pt idx="6">
                  <c:v>240.87025596287754</c:v>
                </c:pt>
                <c:pt idx="7">
                  <c:v>51.437783399865495</c:v>
                </c:pt>
                <c:pt idx="8">
                  <c:v>103.51564730723544</c:v>
                </c:pt>
                <c:pt idx="9">
                  <c:v>356.77462538698506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12-42FA-B61E-83431FBF0FBD}"/>
            </c:ext>
          </c:extLst>
        </c:ser>
        <c:ser>
          <c:idx val="2"/>
          <c:order val="2"/>
          <c:tx>
            <c:strRef>
              <c:f>validation!$E$22</c:f>
              <c:strCache>
                <c:ptCount val="1"/>
                <c:pt idx="0">
                  <c:v>Dmax - Max Amp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0217570298525435"/>
                  <c:y val="8.8849424570255617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validation!$E$23:$E$32</c:f>
              <c:numCache>
                <c:formatCode>0.00</c:formatCode>
                <c:ptCount val="10"/>
                <c:pt idx="0">
                  <c:v>99.727167764153535</c:v>
                </c:pt>
                <c:pt idx="1">
                  <c:v>37.904529640463622</c:v>
                </c:pt>
                <c:pt idx="2">
                  <c:v>24.285515845279502</c:v>
                </c:pt>
                <c:pt idx="3">
                  <c:v>95.389258082839561</c:v>
                </c:pt>
                <c:pt idx="4">
                  <c:v>137.61242696845366</c:v>
                </c:pt>
                <c:pt idx="5">
                  <c:v>121.2567288691104</c:v>
                </c:pt>
                <c:pt idx="6">
                  <c:v>185.86623410073602</c:v>
                </c:pt>
                <c:pt idx="7">
                  <c:v>52.126632997311333</c:v>
                </c:pt>
                <c:pt idx="8">
                  <c:v>104.37609195326385</c:v>
                </c:pt>
                <c:pt idx="9">
                  <c:v>235.85975575498372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312-42FA-B61E-83431FBF0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smoothMarker"/>
        <c:varyColors val="0"/>
        <c:ser>
          <c:idx val="4"/>
          <c:order val="3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validation!$B$44:$B$45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validation!$C$44:$C$45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312-42FA-B61E-83431FBF0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9.4642433766248361E-3"/>
          <c:y val="0.84588534767051127"/>
          <c:w val="0.97427125826455718"/>
          <c:h val="0.136513116109033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Amax </a:t>
            </a:r>
            <a:r>
              <a:rPr lang="en-US" sz="1200" baseline="0"/>
              <a:t>vs Dmax (1)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mov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Pt>
            <c:idx val="34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C590-4CAE-B85D-C78266EC17FD}"/>
              </c:ext>
            </c:extLst>
          </c:dPt>
          <c:xVal>
            <c:numRef>
              <c:f>'hilbert envelope'!$B$26:$B$37</c:f>
              <c:numCache>
                <c:formatCode>General</c:formatCode>
                <c:ptCount val="12"/>
                <c:pt idx="0">
                  <c:v>32</c:v>
                </c:pt>
                <c:pt idx="1">
                  <c:v>32</c:v>
                </c:pt>
                <c:pt idx="2">
                  <c:v>32</c:v>
                </c:pt>
                <c:pt idx="3">
                  <c:v>45</c:v>
                </c:pt>
                <c:pt idx="4">
                  <c:v>45</c:v>
                </c:pt>
                <c:pt idx="5">
                  <c:v>45</c:v>
                </c:pt>
                <c:pt idx="6">
                  <c:v>64</c:v>
                </c:pt>
                <c:pt idx="7">
                  <c:v>64</c:v>
                </c:pt>
                <c:pt idx="8">
                  <c:v>64</c:v>
                </c:pt>
                <c:pt idx="9">
                  <c:v>90</c:v>
                </c:pt>
                <c:pt idx="10">
                  <c:v>90</c:v>
                </c:pt>
                <c:pt idx="11">
                  <c:v>90</c:v>
                </c:pt>
              </c:numCache>
            </c:numRef>
          </c:xVal>
          <c:yVal>
            <c:numRef>
              <c:f>'hilbert envelope'!$E$26:$E$37</c:f>
              <c:numCache>
                <c:formatCode>0.0000</c:formatCode>
                <c:ptCount val="12"/>
                <c:pt idx="0">
                  <c:v>1.40031756933689E-2</c:v>
                </c:pt>
                <c:pt idx="1">
                  <c:v>1.0890800850407899E-2</c:v>
                </c:pt>
                <c:pt idx="2">
                  <c:v>2.3197934886697399E-2</c:v>
                </c:pt>
                <c:pt idx="3">
                  <c:v>3.5345925929864103E-2</c:v>
                </c:pt>
                <c:pt idx="4">
                  <c:v>2.4016207968108199E-2</c:v>
                </c:pt>
                <c:pt idx="5">
                  <c:v>1.9422121419342901E-2</c:v>
                </c:pt>
                <c:pt idx="6">
                  <c:v>0.12653412852816501</c:v>
                </c:pt>
                <c:pt idx="7">
                  <c:v>5.1502950973667999E-2</c:v>
                </c:pt>
                <c:pt idx="8">
                  <c:v>5.04335454776157E-2</c:v>
                </c:pt>
                <c:pt idx="9">
                  <c:v>9.6840712231762202E-2</c:v>
                </c:pt>
                <c:pt idx="10">
                  <c:v>4.1669974213015902E-2</c:v>
                </c:pt>
                <c:pt idx="11">
                  <c:v>6.5041528765672305E-2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90-4CAE-B85D-C78266EC17FD}"/>
            </c:ext>
          </c:extLst>
        </c:ser>
        <c:ser>
          <c:idx val="0"/>
          <c:order val="1"/>
          <c:tx>
            <c:v>total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069185378729667"/>
                  <c:y val="0.291123836793128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envelope'!$B$2:$B$40</c:f>
              <c:numCache>
                <c:formatCode>General</c:formatCode>
                <c:ptCount val="39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envelope'!$E$2:$E$37</c:f>
              <c:numCache>
                <c:formatCode>0.0000</c:formatCode>
                <c:ptCount val="36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6">
                  <c:v>6.2688332148029005E-2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13">
                  <c:v>2.2481115003792299E-2</c:v>
                </c:pt>
                <c:pt idx="14">
                  <c:v>1.09573532088619E-2</c:v>
                </c:pt>
                <c:pt idx="15">
                  <c:v>2.2279504588702301E-2</c:v>
                </c:pt>
                <c:pt idx="16">
                  <c:v>1.0897008883362201E-2</c:v>
                </c:pt>
                <c:pt idx="17">
                  <c:v>1.13162316396569E-2</c:v>
                </c:pt>
                <c:pt idx="18">
                  <c:v>2.4554138346802101E-2</c:v>
                </c:pt>
                <c:pt idx="19">
                  <c:v>1.6195175632876601E-2</c:v>
                </c:pt>
                <c:pt idx="20">
                  <c:v>1.06254875376059E-2</c:v>
                </c:pt>
                <c:pt idx="21">
                  <c:v>5.4104257016193398E-3</c:v>
                </c:pt>
                <c:pt idx="22">
                  <c:v>5.4074185586351197E-3</c:v>
                </c:pt>
                <c:pt idx="23">
                  <c:v>6.9634801117522301E-3</c:v>
                </c:pt>
                <c:pt idx="24">
                  <c:v>1.40031756933689E-2</c:v>
                </c:pt>
                <c:pt idx="25">
                  <c:v>1.0890800850407899E-2</c:v>
                </c:pt>
                <c:pt idx="26">
                  <c:v>2.3197934886697399E-2</c:v>
                </c:pt>
                <c:pt idx="27">
                  <c:v>3.5345925929864103E-2</c:v>
                </c:pt>
                <c:pt idx="28">
                  <c:v>2.4016207968108199E-2</c:v>
                </c:pt>
                <c:pt idx="29">
                  <c:v>1.9422121419342901E-2</c:v>
                </c:pt>
                <c:pt idx="30">
                  <c:v>0.12653412852816501</c:v>
                </c:pt>
                <c:pt idx="31">
                  <c:v>5.1502950973667999E-2</c:v>
                </c:pt>
                <c:pt idx="32">
                  <c:v>5.04335454776157E-2</c:v>
                </c:pt>
                <c:pt idx="33">
                  <c:v>9.6840712231762202E-2</c:v>
                </c:pt>
                <c:pt idx="34">
                  <c:v>4.1669974213015902E-2</c:v>
                </c:pt>
                <c:pt idx="35">
                  <c:v>6.5041528765672305E-2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590-4CAE-B85D-C78266EC1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Amplitude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aseline="0"/>
              <a:t>Dmax vs AmpMax (3)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4354414750415284"/>
                  <c:y val="0.3356362062871565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envelope'!$E$2:$E$37</c:f>
              <c:numCache>
                <c:formatCode>0.0000</c:formatCode>
                <c:ptCount val="36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6">
                  <c:v>6.2688332148029005E-2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13">
                  <c:v>2.2481115003792299E-2</c:v>
                </c:pt>
                <c:pt idx="14">
                  <c:v>1.09573532088619E-2</c:v>
                </c:pt>
                <c:pt idx="15">
                  <c:v>2.2279504588702301E-2</c:v>
                </c:pt>
                <c:pt idx="16">
                  <c:v>1.0897008883362201E-2</c:v>
                </c:pt>
                <c:pt idx="17">
                  <c:v>1.13162316396569E-2</c:v>
                </c:pt>
                <c:pt idx="18">
                  <c:v>2.4554138346802101E-2</c:v>
                </c:pt>
                <c:pt idx="19">
                  <c:v>1.6195175632876601E-2</c:v>
                </c:pt>
                <c:pt idx="20">
                  <c:v>1.06254875376059E-2</c:v>
                </c:pt>
                <c:pt idx="21">
                  <c:v>5.4104257016193398E-3</c:v>
                </c:pt>
                <c:pt idx="22">
                  <c:v>5.4074185586351197E-3</c:v>
                </c:pt>
                <c:pt idx="23">
                  <c:v>6.9634801117522301E-3</c:v>
                </c:pt>
                <c:pt idx="24">
                  <c:v>1.40031756933689E-2</c:v>
                </c:pt>
                <c:pt idx="25">
                  <c:v>1.0890800850407899E-2</c:v>
                </c:pt>
                <c:pt idx="26">
                  <c:v>2.3197934886697399E-2</c:v>
                </c:pt>
                <c:pt idx="27">
                  <c:v>3.5345925929864103E-2</c:v>
                </c:pt>
                <c:pt idx="28">
                  <c:v>2.4016207968108199E-2</c:v>
                </c:pt>
                <c:pt idx="29">
                  <c:v>1.9422121419342901E-2</c:v>
                </c:pt>
                <c:pt idx="30">
                  <c:v>0.12653412852816501</c:v>
                </c:pt>
                <c:pt idx="31">
                  <c:v>5.1502950973667999E-2</c:v>
                </c:pt>
                <c:pt idx="32">
                  <c:v>5.04335454776157E-2</c:v>
                </c:pt>
                <c:pt idx="33">
                  <c:v>9.6840712231762202E-2</c:v>
                </c:pt>
                <c:pt idx="34">
                  <c:v>4.1669974213015902E-2</c:v>
                </c:pt>
                <c:pt idx="35">
                  <c:v>6.5041528765672305E-2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76A-47B2-9771-08E1478CB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Amplitude</a:t>
                </a:r>
              </a:p>
            </c:rich>
          </c:tx>
          <c:layout>
            <c:manualLayout>
              <c:xMode val="edge"/>
              <c:yMode val="edge"/>
              <c:x val="0.44311466486788836"/>
              <c:y val="0.887939632545931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layout>
            <c:manualLayout>
              <c:xMode val="edge"/>
              <c:yMode val="edge"/>
              <c:x val="2.7282426009174521E-2"/>
              <c:y val="0.343140492855059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Mean</a:t>
            </a:r>
            <a:r>
              <a:rPr lang="en-US" sz="1200" baseline="0"/>
              <a:t> Amp vs Dmax (1)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4333813268357513E-3"/>
                  <c:y val="-3.5652038270053005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envelope'!$F$2:$F$37</c:f>
              <c:numCache>
                <c:formatCode>0.0000</c:formatCode>
                <c:ptCount val="36"/>
                <c:pt idx="0">
                  <c:v>3.3154403752457901E-2</c:v>
                </c:pt>
                <c:pt idx="1">
                  <c:v>1.43345982575964E-2</c:v>
                </c:pt>
                <c:pt idx="2">
                  <c:v>3.2526116479269097E-2</c:v>
                </c:pt>
                <c:pt idx="3">
                  <c:v>2.1060905578879598E-2</c:v>
                </c:pt>
                <c:pt idx="4">
                  <c:v>1.9737041545963101E-2</c:v>
                </c:pt>
                <c:pt idx="5">
                  <c:v>2.3629413923689099E-2</c:v>
                </c:pt>
                <c:pt idx="6">
                  <c:v>1.8357479777712401E-2</c:v>
                </c:pt>
                <c:pt idx="7">
                  <c:v>2.3869849132825499E-2</c:v>
                </c:pt>
                <c:pt idx="8">
                  <c:v>2.3352349155409499E-2</c:v>
                </c:pt>
                <c:pt idx="9">
                  <c:v>1.9277468694701001E-2</c:v>
                </c:pt>
                <c:pt idx="10">
                  <c:v>1.50358559887077E-2</c:v>
                </c:pt>
                <c:pt idx="11">
                  <c:v>1.6430974908246999E-2</c:v>
                </c:pt>
                <c:pt idx="12">
                  <c:v>1.4478880481023E-2</c:v>
                </c:pt>
                <c:pt idx="13">
                  <c:v>9.1860908476934702E-3</c:v>
                </c:pt>
                <c:pt idx="14">
                  <c:v>4.9905746416529098E-3</c:v>
                </c:pt>
                <c:pt idx="15">
                  <c:v>9.4453501582737708E-3</c:v>
                </c:pt>
                <c:pt idx="16">
                  <c:v>7.27047978157239E-3</c:v>
                </c:pt>
                <c:pt idx="17">
                  <c:v>6.77105129691932E-3</c:v>
                </c:pt>
                <c:pt idx="18">
                  <c:v>8.2745106205033593E-3</c:v>
                </c:pt>
                <c:pt idx="19">
                  <c:v>8.7837172608482301E-3</c:v>
                </c:pt>
                <c:pt idx="20">
                  <c:v>5.3979442955963304E-3</c:v>
                </c:pt>
                <c:pt idx="21">
                  <c:v>4.2237913969842902E-3</c:v>
                </c:pt>
                <c:pt idx="22">
                  <c:v>3.7739188928974099E-3</c:v>
                </c:pt>
                <c:pt idx="23">
                  <c:v>4.7306891897243297E-3</c:v>
                </c:pt>
                <c:pt idx="24">
                  <c:v>5.6784984243662398E-3</c:v>
                </c:pt>
                <c:pt idx="25">
                  <c:v>4.8212415579803897E-3</c:v>
                </c:pt>
                <c:pt idx="26">
                  <c:v>9.1426900455134907E-3</c:v>
                </c:pt>
                <c:pt idx="27">
                  <c:v>7.8507383881498607E-3</c:v>
                </c:pt>
                <c:pt idx="28">
                  <c:v>6.5149661727545603E-3</c:v>
                </c:pt>
                <c:pt idx="29">
                  <c:v>7.5773751595888898E-3</c:v>
                </c:pt>
                <c:pt idx="30">
                  <c:v>1.5222331559222001E-2</c:v>
                </c:pt>
                <c:pt idx="31">
                  <c:v>1.37528556522491E-2</c:v>
                </c:pt>
                <c:pt idx="32">
                  <c:v>9.8602655911611495E-3</c:v>
                </c:pt>
                <c:pt idx="33">
                  <c:v>2.94139388502281E-2</c:v>
                </c:pt>
                <c:pt idx="34">
                  <c:v>9.9725509064199202E-3</c:v>
                </c:pt>
                <c:pt idx="35">
                  <c:v>1.5521667521925899E-2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D1-430C-A6BF-C571D974A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Amplitude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aseline="0"/>
              <a:t>Dmax vs Mean Amp 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7221335759661133"/>
                  <c:y val="0.32275104115385128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envelope'!$F$2:$F$37</c:f>
              <c:numCache>
                <c:formatCode>0.0000</c:formatCode>
                <c:ptCount val="36"/>
                <c:pt idx="0">
                  <c:v>3.3154403752457901E-2</c:v>
                </c:pt>
                <c:pt idx="1">
                  <c:v>1.43345982575964E-2</c:v>
                </c:pt>
                <c:pt idx="2">
                  <c:v>3.2526116479269097E-2</c:v>
                </c:pt>
                <c:pt idx="3">
                  <c:v>2.1060905578879598E-2</c:v>
                </c:pt>
                <c:pt idx="4">
                  <c:v>1.9737041545963101E-2</c:v>
                </c:pt>
                <c:pt idx="5">
                  <c:v>2.3629413923689099E-2</c:v>
                </c:pt>
                <c:pt idx="6">
                  <c:v>1.8357479777712401E-2</c:v>
                </c:pt>
                <c:pt idx="7">
                  <c:v>2.3869849132825499E-2</c:v>
                </c:pt>
                <c:pt idx="8">
                  <c:v>2.3352349155409499E-2</c:v>
                </c:pt>
                <c:pt idx="9">
                  <c:v>1.9277468694701001E-2</c:v>
                </c:pt>
                <c:pt idx="10">
                  <c:v>1.50358559887077E-2</c:v>
                </c:pt>
                <c:pt idx="11">
                  <c:v>1.6430974908246999E-2</c:v>
                </c:pt>
                <c:pt idx="12">
                  <c:v>1.4478880481023E-2</c:v>
                </c:pt>
                <c:pt idx="13">
                  <c:v>9.1860908476934702E-3</c:v>
                </c:pt>
                <c:pt idx="14">
                  <c:v>4.9905746416529098E-3</c:v>
                </c:pt>
                <c:pt idx="15">
                  <c:v>9.4453501582737708E-3</c:v>
                </c:pt>
                <c:pt idx="16">
                  <c:v>7.27047978157239E-3</c:v>
                </c:pt>
                <c:pt idx="17">
                  <c:v>6.77105129691932E-3</c:v>
                </c:pt>
                <c:pt idx="18">
                  <c:v>8.2745106205033593E-3</c:v>
                </c:pt>
                <c:pt idx="19">
                  <c:v>8.7837172608482301E-3</c:v>
                </c:pt>
                <c:pt idx="20">
                  <c:v>5.3979442955963304E-3</c:v>
                </c:pt>
                <c:pt idx="21">
                  <c:v>4.2237913969842902E-3</c:v>
                </c:pt>
                <c:pt idx="22">
                  <c:v>3.7739188928974099E-3</c:v>
                </c:pt>
                <c:pt idx="23">
                  <c:v>4.7306891897243297E-3</c:v>
                </c:pt>
                <c:pt idx="24">
                  <c:v>5.6784984243662398E-3</c:v>
                </c:pt>
                <c:pt idx="25">
                  <c:v>4.8212415579803897E-3</c:v>
                </c:pt>
                <c:pt idx="26">
                  <c:v>9.1426900455134907E-3</c:v>
                </c:pt>
                <c:pt idx="27">
                  <c:v>7.8507383881498607E-3</c:v>
                </c:pt>
                <c:pt idx="28">
                  <c:v>6.5149661727545603E-3</c:v>
                </c:pt>
                <c:pt idx="29">
                  <c:v>7.5773751595888898E-3</c:v>
                </c:pt>
                <c:pt idx="30">
                  <c:v>1.5222331559222001E-2</c:v>
                </c:pt>
                <c:pt idx="31">
                  <c:v>1.37528556522491E-2</c:v>
                </c:pt>
                <c:pt idx="32">
                  <c:v>9.8602655911611495E-3</c:v>
                </c:pt>
                <c:pt idx="33">
                  <c:v>2.94139388502281E-2</c:v>
                </c:pt>
                <c:pt idx="34">
                  <c:v>9.9725509064199202E-3</c:v>
                </c:pt>
                <c:pt idx="35">
                  <c:v>1.5521667521925899E-2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B7-462A-A02E-21BD21F20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Amp</a:t>
                </a:r>
                <a:r>
                  <a:rPr lang="en-US" baseline="0"/>
                  <a:t> (V)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aseline="0"/>
              <a:t>Dmax vs Mean Amp (3)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5476682782639339"/>
                  <c:y val="0.28520001833199538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envelope'!$F$2:$F$37</c:f>
              <c:numCache>
                <c:formatCode>0.0000</c:formatCode>
                <c:ptCount val="36"/>
                <c:pt idx="0">
                  <c:v>3.3154403752457901E-2</c:v>
                </c:pt>
                <c:pt idx="1">
                  <c:v>1.43345982575964E-2</c:v>
                </c:pt>
                <c:pt idx="2">
                  <c:v>3.2526116479269097E-2</c:v>
                </c:pt>
                <c:pt idx="3">
                  <c:v>2.1060905578879598E-2</c:v>
                </c:pt>
                <c:pt idx="4">
                  <c:v>1.9737041545963101E-2</c:v>
                </c:pt>
                <c:pt idx="5">
                  <c:v>2.3629413923689099E-2</c:v>
                </c:pt>
                <c:pt idx="6">
                  <c:v>1.8357479777712401E-2</c:v>
                </c:pt>
                <c:pt idx="7">
                  <c:v>2.3869849132825499E-2</c:v>
                </c:pt>
                <c:pt idx="8">
                  <c:v>2.3352349155409499E-2</c:v>
                </c:pt>
                <c:pt idx="9">
                  <c:v>1.9277468694701001E-2</c:v>
                </c:pt>
                <c:pt idx="10">
                  <c:v>1.50358559887077E-2</c:v>
                </c:pt>
                <c:pt idx="11">
                  <c:v>1.6430974908246999E-2</c:v>
                </c:pt>
                <c:pt idx="12">
                  <c:v>1.4478880481023E-2</c:v>
                </c:pt>
                <c:pt idx="13">
                  <c:v>9.1860908476934702E-3</c:v>
                </c:pt>
                <c:pt idx="14">
                  <c:v>4.9905746416529098E-3</c:v>
                </c:pt>
                <c:pt idx="15">
                  <c:v>9.4453501582737708E-3</c:v>
                </c:pt>
                <c:pt idx="16">
                  <c:v>7.27047978157239E-3</c:v>
                </c:pt>
                <c:pt idx="17">
                  <c:v>6.77105129691932E-3</c:v>
                </c:pt>
                <c:pt idx="18">
                  <c:v>8.2745106205033593E-3</c:v>
                </c:pt>
                <c:pt idx="19">
                  <c:v>8.7837172608482301E-3</c:v>
                </c:pt>
                <c:pt idx="20">
                  <c:v>5.3979442955963304E-3</c:v>
                </c:pt>
                <c:pt idx="21">
                  <c:v>4.2237913969842902E-3</c:v>
                </c:pt>
                <c:pt idx="22">
                  <c:v>3.7739188928974099E-3</c:v>
                </c:pt>
                <c:pt idx="23">
                  <c:v>4.7306891897243297E-3</c:v>
                </c:pt>
                <c:pt idx="24">
                  <c:v>5.6784984243662398E-3</c:v>
                </c:pt>
                <c:pt idx="25">
                  <c:v>4.8212415579803897E-3</c:v>
                </c:pt>
                <c:pt idx="26">
                  <c:v>9.1426900455134907E-3</c:v>
                </c:pt>
                <c:pt idx="27">
                  <c:v>7.8507383881498607E-3</c:v>
                </c:pt>
                <c:pt idx="28">
                  <c:v>6.5149661727545603E-3</c:v>
                </c:pt>
                <c:pt idx="29">
                  <c:v>7.5773751595888898E-3</c:v>
                </c:pt>
                <c:pt idx="30">
                  <c:v>1.5222331559222001E-2</c:v>
                </c:pt>
                <c:pt idx="31">
                  <c:v>1.37528556522491E-2</c:v>
                </c:pt>
                <c:pt idx="32">
                  <c:v>9.8602655911611495E-3</c:v>
                </c:pt>
                <c:pt idx="33">
                  <c:v>2.94139388502281E-2</c:v>
                </c:pt>
                <c:pt idx="34">
                  <c:v>9.9725509064199202E-3</c:v>
                </c:pt>
                <c:pt idx="35">
                  <c:v>1.5521667521925899E-2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1B-41AF-A521-486DB53B50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Amp</a:t>
                </a:r>
                <a:r>
                  <a:rPr lang="en-US" baseline="0"/>
                  <a:t> (V)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Using Mean Amp</a:t>
            </a:r>
            <a:endParaRPr lang="en-US" sz="1000"/>
          </a:p>
        </c:rich>
      </c:tx>
      <c:layout>
        <c:manualLayout>
          <c:xMode val="edge"/>
          <c:yMode val="edge"/>
          <c:x val="0.16164697254213425"/>
          <c:y val="7.11611791130534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lineMarker"/>
        <c:varyColors val="0"/>
        <c:ser>
          <c:idx val="0"/>
          <c:order val="0"/>
          <c:tx>
            <c:strRef>
              <c:f>validation!$H$22</c:f>
              <c:strCache>
                <c:ptCount val="1"/>
                <c:pt idx="0">
                  <c:v>Mean Amp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validation!$B$23:$B$32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validation!$H$23:$H$32</c:f>
              <c:numCache>
                <c:formatCode>0.00</c:formatCode>
                <c:ptCount val="10"/>
                <c:pt idx="0">
                  <c:v>42.048842752516052</c:v>
                </c:pt>
                <c:pt idx="1">
                  <c:v>14.270611763493299</c:v>
                </c:pt>
                <c:pt idx="2">
                  <c:v>18.597174102918199</c:v>
                </c:pt>
                <c:pt idx="3">
                  <c:v>16.375086362494351</c:v>
                </c:pt>
                <c:pt idx="4">
                  <c:v>597.85144994082498</c:v>
                </c:pt>
                <c:pt idx="5">
                  <c:v>557.08963017204496</c:v>
                </c:pt>
                <c:pt idx="6">
                  <c:v>1184.1255683812299</c:v>
                </c:pt>
                <c:pt idx="7">
                  <c:v>86.962405932964998</c:v>
                </c:pt>
                <c:pt idx="8">
                  <c:v>346.42816869813555</c:v>
                </c:pt>
                <c:pt idx="9">
                  <c:v>1324.13420249822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66-4134-9857-C6ECB4B29A54}"/>
            </c:ext>
          </c:extLst>
        </c:ser>
        <c:ser>
          <c:idx val="1"/>
          <c:order val="1"/>
          <c:tx>
            <c:strRef>
              <c:f>validation!$I$22</c:f>
              <c:strCache>
                <c:ptCount val="1"/>
                <c:pt idx="0">
                  <c:v>Dmax - Mean Amp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2446585701776609"/>
                  <c:y val="1.2267393162282342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validation!$I$23:$I$32</c:f>
              <c:numCache>
                <c:formatCode>0.000</c:formatCode>
                <c:ptCount val="10"/>
                <c:pt idx="0">
                  <c:v>47.470032741532719</c:v>
                </c:pt>
                <c:pt idx="1">
                  <c:v>28.836950958716034</c:v>
                </c:pt>
                <c:pt idx="2">
                  <c:v>31.739122444755466</c:v>
                </c:pt>
                <c:pt idx="3">
                  <c:v>30.248590430233961</c:v>
                </c:pt>
                <c:pt idx="4">
                  <c:v>420.29130559130658</c:v>
                </c:pt>
                <c:pt idx="5">
                  <c:v>392.94909212680432</c:v>
                </c:pt>
                <c:pt idx="6">
                  <c:v>813.55225875876147</c:v>
                </c:pt>
                <c:pt idx="7">
                  <c:v>77.597152651714268</c:v>
                </c:pt>
                <c:pt idx="8">
                  <c:v>251.64159699933538</c:v>
                </c:pt>
                <c:pt idx="9">
                  <c:v>907.46725035175609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A66-4134-9857-C6ECB4B29A54}"/>
            </c:ext>
          </c:extLst>
        </c:ser>
        <c:ser>
          <c:idx val="2"/>
          <c:order val="2"/>
          <c:tx>
            <c:strRef>
              <c:f>validation!$J$22</c:f>
              <c:strCache>
                <c:ptCount val="1"/>
                <c:pt idx="0">
                  <c:v>Dmax - Mean Amp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5273929153897541"/>
                  <c:y val="9.6954416080013303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validation!$J$23:$J$32</c:f>
              <c:numCache>
                <c:formatCode>0.000</c:formatCode>
                <c:ptCount val="10"/>
                <c:pt idx="0">
                  <c:v>45.304341949768059</c:v>
                </c:pt>
                <c:pt idx="1">
                  <c:v>21.723372749373084</c:v>
                </c:pt>
                <c:pt idx="2">
                  <c:v>25.693859138130588</c:v>
                </c:pt>
                <c:pt idx="3">
                  <c:v>23.674255529249351</c:v>
                </c:pt>
                <c:pt idx="4">
                  <c:v>359.77728145580176</c:v>
                </c:pt>
                <c:pt idx="5">
                  <c:v>339.94293876626807</c:v>
                </c:pt>
                <c:pt idx="6">
                  <c:v>623.6416856863882</c:v>
                </c:pt>
                <c:pt idx="7">
                  <c:v>78.259094152651187</c:v>
                </c:pt>
                <c:pt idx="8">
                  <c:v>232.35192599071382</c:v>
                </c:pt>
                <c:pt idx="9">
                  <c:v>682.45367399836039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A66-4134-9857-C6ECB4B29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smoothMarker"/>
        <c:varyColors val="0"/>
        <c:ser>
          <c:idx val="4"/>
          <c:order val="3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validation!$B$44:$B$45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validation!$C$44:$C$45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A66-4134-9857-C6ECB4B29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"/>
          <c:y val="0.84588547480870557"/>
          <c:w val="0.97427125826455718"/>
          <c:h val="0.136513116109033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Ch1 Imp/s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13562381995838E-2"/>
                  <c:y val="0.21753234366163718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envelope'!$M$2:$M$37</c:f>
              <c:numCache>
                <c:formatCode>0.00</c:formatCode>
                <c:ptCount val="36"/>
                <c:pt idx="0">
                  <c:v>139.71428571428572</c:v>
                </c:pt>
                <c:pt idx="1">
                  <c:v>169</c:v>
                </c:pt>
                <c:pt idx="2">
                  <c:v>149.30000000000001</c:v>
                </c:pt>
                <c:pt idx="3">
                  <c:v>135.1</c:v>
                </c:pt>
                <c:pt idx="4">
                  <c:v>176.4</c:v>
                </c:pt>
                <c:pt idx="5">
                  <c:v>166.125</c:v>
                </c:pt>
                <c:pt idx="6">
                  <c:v>158.1</c:v>
                </c:pt>
                <c:pt idx="7">
                  <c:v>163.9</c:v>
                </c:pt>
                <c:pt idx="8">
                  <c:v>186.33333333333334</c:v>
                </c:pt>
                <c:pt idx="9">
                  <c:v>173</c:v>
                </c:pt>
                <c:pt idx="10">
                  <c:v>173.5</c:v>
                </c:pt>
                <c:pt idx="11">
                  <c:v>173</c:v>
                </c:pt>
                <c:pt idx="12">
                  <c:v>188.6</c:v>
                </c:pt>
                <c:pt idx="13">
                  <c:v>188.1</c:v>
                </c:pt>
                <c:pt idx="14">
                  <c:v>188</c:v>
                </c:pt>
                <c:pt idx="15">
                  <c:v>189.83333333333334</c:v>
                </c:pt>
                <c:pt idx="16">
                  <c:v>207.5</c:v>
                </c:pt>
                <c:pt idx="17">
                  <c:v>204.66666666666666</c:v>
                </c:pt>
                <c:pt idx="18">
                  <c:v>200.16666666666666</c:v>
                </c:pt>
                <c:pt idx="19">
                  <c:v>198</c:v>
                </c:pt>
                <c:pt idx="20">
                  <c:v>191.1</c:v>
                </c:pt>
                <c:pt idx="21">
                  <c:v>202</c:v>
                </c:pt>
                <c:pt idx="22">
                  <c:v>200.2</c:v>
                </c:pt>
                <c:pt idx="23">
                  <c:v>193.1</c:v>
                </c:pt>
                <c:pt idx="24">
                  <c:v>180.85</c:v>
                </c:pt>
                <c:pt idx="25">
                  <c:v>175.05</c:v>
                </c:pt>
                <c:pt idx="26">
                  <c:v>174.9</c:v>
                </c:pt>
                <c:pt idx="27">
                  <c:v>171.2</c:v>
                </c:pt>
                <c:pt idx="28">
                  <c:v>187.2</c:v>
                </c:pt>
                <c:pt idx="29">
                  <c:v>183.8</c:v>
                </c:pt>
                <c:pt idx="30">
                  <c:v>165.3</c:v>
                </c:pt>
                <c:pt idx="31">
                  <c:v>171.33333333333334</c:v>
                </c:pt>
                <c:pt idx="32">
                  <c:v>167.8</c:v>
                </c:pt>
                <c:pt idx="33">
                  <c:v>150.53333333333333</c:v>
                </c:pt>
                <c:pt idx="34">
                  <c:v>167.75</c:v>
                </c:pt>
                <c:pt idx="35">
                  <c:v>164.3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30-4322-84DF-253B9DA8F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Ch1 </a:t>
            </a:r>
            <a:r>
              <a:rPr lang="en-US" sz="1100" baseline="0"/>
              <a:t>Dmax vs Imp/s 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8191666879900873"/>
                  <c:y val="-0.33540240687358047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envelope'!$M$2:$M$37</c:f>
              <c:numCache>
                <c:formatCode>0.00</c:formatCode>
                <c:ptCount val="36"/>
                <c:pt idx="0">
                  <c:v>139.71428571428572</c:v>
                </c:pt>
                <c:pt idx="1">
                  <c:v>169</c:v>
                </c:pt>
                <c:pt idx="2">
                  <c:v>149.30000000000001</c:v>
                </c:pt>
                <c:pt idx="3">
                  <c:v>135.1</c:v>
                </c:pt>
                <c:pt idx="4">
                  <c:v>176.4</c:v>
                </c:pt>
                <c:pt idx="5">
                  <c:v>166.125</c:v>
                </c:pt>
                <c:pt idx="6">
                  <c:v>158.1</c:v>
                </c:pt>
                <c:pt idx="7">
                  <c:v>163.9</c:v>
                </c:pt>
                <c:pt idx="8">
                  <c:v>186.33333333333334</c:v>
                </c:pt>
                <c:pt idx="9">
                  <c:v>173</c:v>
                </c:pt>
                <c:pt idx="10">
                  <c:v>173.5</c:v>
                </c:pt>
                <c:pt idx="11">
                  <c:v>173</c:v>
                </c:pt>
                <c:pt idx="12">
                  <c:v>188.6</c:v>
                </c:pt>
                <c:pt idx="13">
                  <c:v>188.1</c:v>
                </c:pt>
                <c:pt idx="14">
                  <c:v>188</c:v>
                </c:pt>
                <c:pt idx="15">
                  <c:v>189.83333333333334</c:v>
                </c:pt>
                <c:pt idx="16">
                  <c:v>207.5</c:v>
                </c:pt>
                <c:pt idx="17">
                  <c:v>204.66666666666666</c:v>
                </c:pt>
                <c:pt idx="18">
                  <c:v>200.16666666666666</c:v>
                </c:pt>
                <c:pt idx="19">
                  <c:v>198</c:v>
                </c:pt>
                <c:pt idx="20">
                  <c:v>191.1</c:v>
                </c:pt>
                <c:pt idx="21">
                  <c:v>202</c:v>
                </c:pt>
                <c:pt idx="22">
                  <c:v>200.2</c:v>
                </c:pt>
                <c:pt idx="23">
                  <c:v>193.1</c:v>
                </c:pt>
                <c:pt idx="24">
                  <c:v>180.85</c:v>
                </c:pt>
                <c:pt idx="25">
                  <c:v>175.05</c:v>
                </c:pt>
                <c:pt idx="26">
                  <c:v>174.9</c:v>
                </c:pt>
                <c:pt idx="27">
                  <c:v>171.2</c:v>
                </c:pt>
                <c:pt idx="28">
                  <c:v>187.2</c:v>
                </c:pt>
                <c:pt idx="29">
                  <c:v>183.8</c:v>
                </c:pt>
                <c:pt idx="30">
                  <c:v>165.3</c:v>
                </c:pt>
                <c:pt idx="31">
                  <c:v>171.33333333333334</c:v>
                </c:pt>
                <c:pt idx="32">
                  <c:v>167.8</c:v>
                </c:pt>
                <c:pt idx="33">
                  <c:v>150.53333333333333</c:v>
                </c:pt>
                <c:pt idx="34">
                  <c:v>167.75</c:v>
                </c:pt>
                <c:pt idx="35">
                  <c:v>164.3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99-4938-8ACD-7FE60D85A6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Ch1 </a:t>
            </a:r>
            <a:r>
              <a:rPr lang="en-US" sz="1100" baseline="0"/>
              <a:t>Dmax vs Imp/s (3) 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33946523595824041"/>
                  <c:y val="-0.3659773028122046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'hilbert envelope'!$M$2:$M$37</c:f>
              <c:numCache>
                <c:formatCode>0.00</c:formatCode>
                <c:ptCount val="36"/>
                <c:pt idx="0">
                  <c:v>139.71428571428572</c:v>
                </c:pt>
                <c:pt idx="1">
                  <c:v>169</c:v>
                </c:pt>
                <c:pt idx="2">
                  <c:v>149.30000000000001</c:v>
                </c:pt>
                <c:pt idx="3">
                  <c:v>135.1</c:v>
                </c:pt>
                <c:pt idx="4">
                  <c:v>176.4</c:v>
                </c:pt>
                <c:pt idx="5">
                  <c:v>166.125</c:v>
                </c:pt>
                <c:pt idx="6">
                  <c:v>158.1</c:v>
                </c:pt>
                <c:pt idx="7">
                  <c:v>163.9</c:v>
                </c:pt>
                <c:pt idx="8">
                  <c:v>186.33333333333334</c:v>
                </c:pt>
                <c:pt idx="9">
                  <c:v>173</c:v>
                </c:pt>
                <c:pt idx="10">
                  <c:v>173.5</c:v>
                </c:pt>
                <c:pt idx="11">
                  <c:v>173</c:v>
                </c:pt>
                <c:pt idx="12">
                  <c:v>188.6</c:v>
                </c:pt>
                <c:pt idx="13">
                  <c:v>188.1</c:v>
                </c:pt>
                <c:pt idx="14">
                  <c:v>188</c:v>
                </c:pt>
                <c:pt idx="15">
                  <c:v>189.83333333333334</c:v>
                </c:pt>
                <c:pt idx="16">
                  <c:v>207.5</c:v>
                </c:pt>
                <c:pt idx="17">
                  <c:v>204.66666666666666</c:v>
                </c:pt>
                <c:pt idx="18">
                  <c:v>200.16666666666666</c:v>
                </c:pt>
                <c:pt idx="19">
                  <c:v>198</c:v>
                </c:pt>
                <c:pt idx="20">
                  <c:v>191.1</c:v>
                </c:pt>
                <c:pt idx="21">
                  <c:v>202</c:v>
                </c:pt>
                <c:pt idx="22">
                  <c:v>200.2</c:v>
                </c:pt>
                <c:pt idx="23">
                  <c:v>193.1</c:v>
                </c:pt>
                <c:pt idx="24">
                  <c:v>180.85</c:v>
                </c:pt>
                <c:pt idx="25">
                  <c:v>175.05</c:v>
                </c:pt>
                <c:pt idx="26">
                  <c:v>174.9</c:v>
                </c:pt>
                <c:pt idx="27">
                  <c:v>171.2</c:v>
                </c:pt>
                <c:pt idx="28">
                  <c:v>187.2</c:v>
                </c:pt>
                <c:pt idx="29">
                  <c:v>183.8</c:v>
                </c:pt>
                <c:pt idx="30">
                  <c:v>165.3</c:v>
                </c:pt>
                <c:pt idx="31">
                  <c:v>171.33333333333334</c:v>
                </c:pt>
                <c:pt idx="32">
                  <c:v>167.8</c:v>
                </c:pt>
                <c:pt idx="33">
                  <c:v>150.53333333333333</c:v>
                </c:pt>
                <c:pt idx="34">
                  <c:v>167.75</c:v>
                </c:pt>
                <c:pt idx="35">
                  <c:v>164.3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9A-4645-988D-5882A2A8F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Ch1 Imp/s</a:t>
            </a:r>
            <a:endParaRPr lang="en-US" sz="1000"/>
          </a:p>
        </c:rich>
      </c:tx>
      <c:layout>
        <c:manualLayout>
          <c:xMode val="edge"/>
          <c:yMode val="edge"/>
          <c:x val="0.17589958315823767"/>
          <c:y val="3.35223364012650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lineMarker"/>
        <c:varyColors val="0"/>
        <c:ser>
          <c:idx val="0"/>
          <c:order val="0"/>
          <c:tx>
            <c:strRef>
              <c:f>validation!$M$22</c:f>
              <c:strCache>
                <c:ptCount val="1"/>
                <c:pt idx="0">
                  <c:v>Imp/s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2942734336135598"/>
                  <c:y val="-8.6365548540574072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validation!$M$23:$M$32</c:f>
              <c:numCache>
                <c:formatCode>0.00</c:formatCode>
                <c:ptCount val="10"/>
                <c:pt idx="0">
                  <c:v>546.17166893812691</c:v>
                </c:pt>
                <c:pt idx="1">
                  <c:v>158.2516590681046</c:v>
                </c:pt>
                <c:pt idx="2">
                  <c:v>159.9955674195038</c:v>
                </c:pt>
                <c:pt idx="3">
                  <c:v>216.74762833039611</c:v>
                </c:pt>
                <c:pt idx="4">
                  <c:v>1.1665108581684073E-186</c:v>
                </c:pt>
                <c:pt idx="5">
                  <c:v>8.0671615841609796</c:v>
                </c:pt>
                <c:pt idx="6">
                  <c:v>62.149943082802622</c:v>
                </c:pt>
                <c:pt idx="7">
                  <c:v>80.784153150553223</c:v>
                </c:pt>
                <c:pt idx="8">
                  <c:v>225.69354470403971</c:v>
                </c:pt>
                <c:pt idx="9">
                  <c:v>124.008765235422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EF-4FFA-82F7-6A1A84147B7E}"/>
            </c:ext>
          </c:extLst>
        </c:ser>
        <c:ser>
          <c:idx val="3"/>
          <c:order val="1"/>
          <c:tx>
            <c:strRef>
              <c:f>validation!$P$22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4058619669012524"/>
                  <c:y val="5.6337321809480291E-2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validation!$B$23:$B$26</c:f>
              <c:numCache>
                <c:formatCode>General</c:formatCode>
                <c:ptCount val="4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</c:numCache>
            </c:numRef>
          </c:xVal>
          <c:yVal>
            <c:numRef>
              <c:f>validation!$P$23:$P$26</c:f>
              <c:numCache>
                <c:formatCode>0.00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0EF-4FFA-82F7-6A1A84147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smoothMarker"/>
        <c:varyColors val="0"/>
        <c:ser>
          <c:idx val="4"/>
          <c:order val="2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validation!$B$44:$B$45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validation!$C$44:$C$45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0EF-4FFA-82F7-6A1A84147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"/>
          <c:y val="0.86683680792130169"/>
          <c:w val="1"/>
          <c:h val="0.115561655858242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Ch2 Imp/s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1843078649342395E-2"/>
                  <c:y val="0.22437607846413668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envelope'!$L$2:$L$37</c:f>
              <c:numCache>
                <c:formatCode>0.00</c:formatCode>
                <c:ptCount val="36"/>
                <c:pt idx="0">
                  <c:v>86.285714285714292</c:v>
                </c:pt>
                <c:pt idx="1">
                  <c:v>62.8</c:v>
                </c:pt>
                <c:pt idx="2">
                  <c:v>50.9</c:v>
                </c:pt>
                <c:pt idx="3">
                  <c:v>48.9</c:v>
                </c:pt>
                <c:pt idx="4">
                  <c:v>82.8</c:v>
                </c:pt>
                <c:pt idx="5">
                  <c:v>61.625</c:v>
                </c:pt>
                <c:pt idx="6">
                  <c:v>66</c:v>
                </c:pt>
                <c:pt idx="7">
                  <c:v>70</c:v>
                </c:pt>
                <c:pt idx="8">
                  <c:v>107.66666666666667</c:v>
                </c:pt>
                <c:pt idx="9">
                  <c:v>69.875</c:v>
                </c:pt>
                <c:pt idx="10">
                  <c:v>90.666666666666671</c:v>
                </c:pt>
                <c:pt idx="11">
                  <c:v>58.6</c:v>
                </c:pt>
                <c:pt idx="12">
                  <c:v>69</c:v>
                </c:pt>
                <c:pt idx="13">
                  <c:v>63.1</c:v>
                </c:pt>
                <c:pt idx="14">
                  <c:v>51.8</c:v>
                </c:pt>
                <c:pt idx="15">
                  <c:v>69.666666666666671</c:v>
                </c:pt>
                <c:pt idx="16">
                  <c:v>68.75</c:v>
                </c:pt>
                <c:pt idx="17">
                  <c:v>54.666666666666664</c:v>
                </c:pt>
                <c:pt idx="18">
                  <c:v>60.666666666666664</c:v>
                </c:pt>
                <c:pt idx="19">
                  <c:v>79</c:v>
                </c:pt>
                <c:pt idx="20">
                  <c:v>60.7</c:v>
                </c:pt>
                <c:pt idx="21">
                  <c:v>53.6</c:v>
                </c:pt>
                <c:pt idx="22">
                  <c:v>40.06666666666667</c:v>
                </c:pt>
                <c:pt idx="23">
                  <c:v>49.4</c:v>
                </c:pt>
                <c:pt idx="24">
                  <c:v>59.8</c:v>
                </c:pt>
                <c:pt idx="25">
                  <c:v>48.6</c:v>
                </c:pt>
                <c:pt idx="26">
                  <c:v>78.8</c:v>
                </c:pt>
                <c:pt idx="27">
                  <c:v>60.75</c:v>
                </c:pt>
                <c:pt idx="28">
                  <c:v>54.06666666666667</c:v>
                </c:pt>
                <c:pt idx="29">
                  <c:v>70</c:v>
                </c:pt>
                <c:pt idx="30">
                  <c:v>60.6</c:v>
                </c:pt>
                <c:pt idx="31">
                  <c:v>68.8</c:v>
                </c:pt>
                <c:pt idx="32">
                  <c:v>57.75</c:v>
                </c:pt>
                <c:pt idx="33">
                  <c:v>67.933333333333337</c:v>
                </c:pt>
                <c:pt idx="34">
                  <c:v>69.7</c:v>
                </c:pt>
                <c:pt idx="35">
                  <c:v>76.55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C2-4E00-ACFE-7A22BD9422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Ch2 </a:t>
            </a:r>
            <a:r>
              <a:rPr lang="en-US" sz="1100" baseline="0"/>
              <a:t>Dmax vs Imp/s 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6519980719541736"/>
                  <c:y val="-0.1565187407064341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envelope'!$L$2:$L$37</c:f>
              <c:numCache>
                <c:formatCode>0.00</c:formatCode>
                <c:ptCount val="36"/>
                <c:pt idx="0">
                  <c:v>86.285714285714292</c:v>
                </c:pt>
                <c:pt idx="1">
                  <c:v>62.8</c:v>
                </c:pt>
                <c:pt idx="2">
                  <c:v>50.9</c:v>
                </c:pt>
                <c:pt idx="3">
                  <c:v>48.9</c:v>
                </c:pt>
                <c:pt idx="4">
                  <c:v>82.8</c:v>
                </c:pt>
                <c:pt idx="5">
                  <c:v>61.625</c:v>
                </c:pt>
                <c:pt idx="6">
                  <c:v>66</c:v>
                </c:pt>
                <c:pt idx="7">
                  <c:v>70</c:v>
                </c:pt>
                <c:pt idx="8">
                  <c:v>107.66666666666667</c:v>
                </c:pt>
                <c:pt idx="9">
                  <c:v>69.875</c:v>
                </c:pt>
                <c:pt idx="10">
                  <c:v>90.666666666666671</c:v>
                </c:pt>
                <c:pt idx="11">
                  <c:v>58.6</c:v>
                </c:pt>
                <c:pt idx="12">
                  <c:v>69</c:v>
                </c:pt>
                <c:pt idx="13">
                  <c:v>63.1</c:v>
                </c:pt>
                <c:pt idx="14">
                  <c:v>51.8</c:v>
                </c:pt>
                <c:pt idx="15">
                  <c:v>69.666666666666671</c:v>
                </c:pt>
                <c:pt idx="16">
                  <c:v>68.75</c:v>
                </c:pt>
                <c:pt idx="17">
                  <c:v>54.666666666666664</c:v>
                </c:pt>
                <c:pt idx="18">
                  <c:v>60.666666666666664</c:v>
                </c:pt>
                <c:pt idx="19">
                  <c:v>79</c:v>
                </c:pt>
                <c:pt idx="20">
                  <c:v>60.7</c:v>
                </c:pt>
                <c:pt idx="21">
                  <c:v>53.6</c:v>
                </c:pt>
                <c:pt idx="22">
                  <c:v>40.06666666666667</c:v>
                </c:pt>
                <c:pt idx="23">
                  <c:v>49.4</c:v>
                </c:pt>
                <c:pt idx="24">
                  <c:v>59.8</c:v>
                </c:pt>
                <c:pt idx="25">
                  <c:v>48.6</c:v>
                </c:pt>
                <c:pt idx="26">
                  <c:v>78.8</c:v>
                </c:pt>
                <c:pt idx="27">
                  <c:v>60.75</c:v>
                </c:pt>
                <c:pt idx="28">
                  <c:v>54.06666666666667</c:v>
                </c:pt>
                <c:pt idx="29">
                  <c:v>70</c:v>
                </c:pt>
                <c:pt idx="30">
                  <c:v>60.6</c:v>
                </c:pt>
                <c:pt idx="31">
                  <c:v>68.8</c:v>
                </c:pt>
                <c:pt idx="32">
                  <c:v>57.75</c:v>
                </c:pt>
                <c:pt idx="33">
                  <c:v>67.933333333333337</c:v>
                </c:pt>
                <c:pt idx="34">
                  <c:v>69.7</c:v>
                </c:pt>
                <c:pt idx="35">
                  <c:v>76.55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65-45AE-9364-5AA0BF445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Ch2 </a:t>
            </a:r>
            <a:r>
              <a:rPr lang="en-US" sz="1100" baseline="0"/>
              <a:t>Dmax vs Imp/s (3) </a:t>
            </a:r>
          </a:p>
        </c:rich>
      </c:tx>
      <c:layout>
        <c:manualLayout>
          <c:xMode val="edge"/>
          <c:yMode val="edge"/>
          <c:x val="0.14062777575390364"/>
          <c:y val="3.67999853186410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26519980719541736"/>
                  <c:y val="-0.1565187407064341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envelope'!$L$2:$L$37</c:f>
              <c:numCache>
                <c:formatCode>0.00</c:formatCode>
                <c:ptCount val="36"/>
                <c:pt idx="0">
                  <c:v>86.285714285714292</c:v>
                </c:pt>
                <c:pt idx="1">
                  <c:v>62.8</c:v>
                </c:pt>
                <c:pt idx="2">
                  <c:v>50.9</c:v>
                </c:pt>
                <c:pt idx="3">
                  <c:v>48.9</c:v>
                </c:pt>
                <c:pt idx="4">
                  <c:v>82.8</c:v>
                </c:pt>
                <c:pt idx="5">
                  <c:v>61.625</c:v>
                </c:pt>
                <c:pt idx="6">
                  <c:v>66</c:v>
                </c:pt>
                <c:pt idx="7">
                  <c:v>70</c:v>
                </c:pt>
                <c:pt idx="8">
                  <c:v>107.66666666666667</c:v>
                </c:pt>
                <c:pt idx="9">
                  <c:v>69.875</c:v>
                </c:pt>
                <c:pt idx="10">
                  <c:v>90.666666666666671</c:v>
                </c:pt>
                <c:pt idx="11">
                  <c:v>58.6</c:v>
                </c:pt>
                <c:pt idx="12">
                  <c:v>69</c:v>
                </c:pt>
                <c:pt idx="13">
                  <c:v>63.1</c:v>
                </c:pt>
                <c:pt idx="14">
                  <c:v>51.8</c:v>
                </c:pt>
                <c:pt idx="15">
                  <c:v>69.666666666666671</c:v>
                </c:pt>
                <c:pt idx="16">
                  <c:v>68.75</c:v>
                </c:pt>
                <c:pt idx="17">
                  <c:v>54.666666666666664</c:v>
                </c:pt>
                <c:pt idx="18">
                  <c:v>60.666666666666664</c:v>
                </c:pt>
                <c:pt idx="19">
                  <c:v>79</c:v>
                </c:pt>
                <c:pt idx="20">
                  <c:v>60.7</c:v>
                </c:pt>
                <c:pt idx="21">
                  <c:v>53.6</c:v>
                </c:pt>
                <c:pt idx="22">
                  <c:v>40.06666666666667</c:v>
                </c:pt>
                <c:pt idx="23">
                  <c:v>49.4</c:v>
                </c:pt>
                <c:pt idx="24">
                  <c:v>59.8</c:v>
                </c:pt>
                <c:pt idx="25">
                  <c:v>48.6</c:v>
                </c:pt>
                <c:pt idx="26">
                  <c:v>78.8</c:v>
                </c:pt>
                <c:pt idx="27">
                  <c:v>60.75</c:v>
                </c:pt>
                <c:pt idx="28">
                  <c:v>54.06666666666667</c:v>
                </c:pt>
                <c:pt idx="29">
                  <c:v>70</c:v>
                </c:pt>
                <c:pt idx="30">
                  <c:v>60.6</c:v>
                </c:pt>
                <c:pt idx="31">
                  <c:v>68.8</c:v>
                </c:pt>
                <c:pt idx="32">
                  <c:v>57.75</c:v>
                </c:pt>
                <c:pt idx="33">
                  <c:v>67.933333333333337</c:v>
                </c:pt>
                <c:pt idx="34">
                  <c:v>69.7</c:v>
                </c:pt>
                <c:pt idx="35">
                  <c:v>76.55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84-4E34-82A2-C130F7C5D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Ch2 Imp/s</a:t>
            </a:r>
            <a:endParaRPr lang="en-US" sz="1000"/>
          </a:p>
        </c:rich>
      </c:tx>
      <c:layout>
        <c:manualLayout>
          <c:xMode val="edge"/>
          <c:yMode val="edge"/>
          <c:x val="0.17589958315823767"/>
          <c:y val="3.35223364012650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lineMarker"/>
        <c:varyColors val="0"/>
        <c:ser>
          <c:idx val="1"/>
          <c:order val="0"/>
          <c:tx>
            <c:strRef>
              <c:f>validation!$S$22</c:f>
              <c:strCache>
                <c:ptCount val="1"/>
                <c:pt idx="0">
                  <c:v>Dmax - Imp/s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2989157237205935"/>
                  <c:y val="-9.343034652314030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validation!$S$23:$S$32</c:f>
              <c:numCache>
                <c:formatCode>0.00</c:formatCode>
                <c:ptCount val="10"/>
                <c:pt idx="0">
                  <c:v>47.011462828327836</c:v>
                </c:pt>
                <c:pt idx="1">
                  <c:v>42.871088475303516</c:v>
                </c:pt>
                <c:pt idx="2">
                  <c:v>53.945670493273312</c:v>
                </c:pt>
                <c:pt idx="3">
                  <c:v>43.868704467680203</c:v>
                </c:pt>
                <c:pt idx="4">
                  <c:v>7659.5735000000004</c:v>
                </c:pt>
                <c:pt idx="5">
                  <c:v>156.76999999999998</c:v>
                </c:pt>
                <c:pt idx="6">
                  <c:v>118.79508</c:v>
                </c:pt>
                <c:pt idx="7">
                  <c:v>111.17942000000001</c:v>
                </c:pt>
                <c:pt idx="8">
                  <c:v>113.70361500000001</c:v>
                </c:pt>
                <c:pt idx="9">
                  <c:v>101.677075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8F6-4A00-BCCF-E061E6DFFF7D}"/>
            </c:ext>
          </c:extLst>
        </c:ser>
        <c:ser>
          <c:idx val="2"/>
          <c:order val="1"/>
          <c:tx>
            <c:strRef>
              <c:f>validation!$T$22</c:f>
              <c:strCache>
                <c:ptCount val="1"/>
                <c:pt idx="0">
                  <c:v>Dmax - Imp/s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2981756651019654"/>
                  <c:y val="-0.19657563374198483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validation!$T$23:$T$32</c:f>
              <c:numCache>
                <c:formatCode>0.00</c:formatCode>
                <c:ptCount val="10"/>
                <c:pt idx="0">
                  <c:v>32.342147494732167</c:v>
                </c:pt>
                <c:pt idx="1">
                  <c:v>25.960620247950711</c:v>
                </c:pt>
                <c:pt idx="2">
                  <c:v>42.794842976188278</c:v>
                </c:pt>
                <c:pt idx="3">
                  <c:v>27.509761120953833</c:v>
                </c:pt>
                <c:pt idx="4">
                  <c:v>7822.0311167913469</c:v>
                </c:pt>
                <c:pt idx="5">
                  <c:v>184.21446798180011</c:v>
                </c:pt>
                <c:pt idx="6">
                  <c:v>133.79365379309573</c:v>
                </c:pt>
                <c:pt idx="7">
                  <c:v>123.49495875542021</c:v>
                </c:pt>
                <c:pt idx="8">
                  <c:v>126.91652542538235</c:v>
                </c:pt>
                <c:pt idx="9">
                  <c:v>110.5370293507266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8F6-4A00-BCCF-E061E6DFF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smoothMarker"/>
        <c:varyColors val="0"/>
        <c:ser>
          <c:idx val="4"/>
          <c:order val="2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validation!$B$44:$B$45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validation!$C$44:$C$45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8F6-4A00-BCCF-E061E6DFF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9.4642433766248361E-3"/>
          <c:y val="0.84588534767051127"/>
          <c:w val="0.97427125826455718"/>
          <c:h val="0.136513116109033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Ch3 Imp/s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9322545690962942"/>
                  <c:y val="0.2608809877850127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envelope'!$K$2:$K$37</c:f>
              <c:numCache>
                <c:formatCode>0.00</c:formatCode>
                <c:ptCount val="36"/>
                <c:pt idx="0">
                  <c:v>37.714285714285715</c:v>
                </c:pt>
                <c:pt idx="1">
                  <c:v>19.5</c:v>
                </c:pt>
                <c:pt idx="2">
                  <c:v>23</c:v>
                </c:pt>
                <c:pt idx="3">
                  <c:v>25.5</c:v>
                </c:pt>
                <c:pt idx="4">
                  <c:v>27.8</c:v>
                </c:pt>
                <c:pt idx="5">
                  <c:v>30.75</c:v>
                </c:pt>
                <c:pt idx="6">
                  <c:v>21.2</c:v>
                </c:pt>
                <c:pt idx="7">
                  <c:v>23.3</c:v>
                </c:pt>
                <c:pt idx="8">
                  <c:v>34.333333333333336</c:v>
                </c:pt>
                <c:pt idx="9">
                  <c:v>20.625</c:v>
                </c:pt>
                <c:pt idx="10">
                  <c:v>22</c:v>
                </c:pt>
                <c:pt idx="11">
                  <c:v>13.9</c:v>
                </c:pt>
                <c:pt idx="12">
                  <c:v>15.6</c:v>
                </c:pt>
                <c:pt idx="13">
                  <c:v>12.1</c:v>
                </c:pt>
                <c:pt idx="14">
                  <c:v>4.8</c:v>
                </c:pt>
                <c:pt idx="15">
                  <c:v>17.166666666666668</c:v>
                </c:pt>
                <c:pt idx="16">
                  <c:v>14.25</c:v>
                </c:pt>
                <c:pt idx="17">
                  <c:v>12.666666666666666</c:v>
                </c:pt>
                <c:pt idx="18">
                  <c:v>10.666666666666666</c:v>
                </c:pt>
                <c:pt idx="19">
                  <c:v>14.8</c:v>
                </c:pt>
                <c:pt idx="20">
                  <c:v>6.2</c:v>
                </c:pt>
                <c:pt idx="21">
                  <c:v>3.2</c:v>
                </c:pt>
                <c:pt idx="22">
                  <c:v>2</c:v>
                </c:pt>
                <c:pt idx="23">
                  <c:v>5.0999999999999996</c:v>
                </c:pt>
                <c:pt idx="24">
                  <c:v>7.55</c:v>
                </c:pt>
                <c:pt idx="25">
                  <c:v>5.15</c:v>
                </c:pt>
                <c:pt idx="26">
                  <c:v>16.3</c:v>
                </c:pt>
                <c:pt idx="27">
                  <c:v>10.199999999999999</c:v>
                </c:pt>
                <c:pt idx="28">
                  <c:v>7.4666666666666668</c:v>
                </c:pt>
                <c:pt idx="29">
                  <c:v>14.7</c:v>
                </c:pt>
                <c:pt idx="30">
                  <c:v>15.6</c:v>
                </c:pt>
                <c:pt idx="31">
                  <c:v>18.600000000000001</c:v>
                </c:pt>
                <c:pt idx="32">
                  <c:v>12.25</c:v>
                </c:pt>
                <c:pt idx="33">
                  <c:v>32.666666666666664</c:v>
                </c:pt>
                <c:pt idx="34">
                  <c:v>17.649999999999999</c:v>
                </c:pt>
                <c:pt idx="35">
                  <c:v>20.95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96-4460-A41F-7B3CE2D5B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Ch3 </a:t>
            </a:r>
            <a:r>
              <a:rPr lang="en-US" sz="1100" baseline="0"/>
              <a:t>Dmax vs Imp/s 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9860010297765156E-2"/>
                  <c:y val="-7.0103972032011158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envelope'!$K$2:$K$37</c:f>
              <c:numCache>
                <c:formatCode>0.00</c:formatCode>
                <c:ptCount val="36"/>
                <c:pt idx="0">
                  <c:v>37.714285714285715</c:v>
                </c:pt>
                <c:pt idx="1">
                  <c:v>19.5</c:v>
                </c:pt>
                <c:pt idx="2">
                  <c:v>23</c:v>
                </c:pt>
                <c:pt idx="3">
                  <c:v>25.5</c:v>
                </c:pt>
                <c:pt idx="4">
                  <c:v>27.8</c:v>
                </c:pt>
                <c:pt idx="5">
                  <c:v>30.75</c:v>
                </c:pt>
                <c:pt idx="6">
                  <c:v>21.2</c:v>
                </c:pt>
                <c:pt idx="7">
                  <c:v>23.3</c:v>
                </c:pt>
                <c:pt idx="8">
                  <c:v>34.333333333333336</c:v>
                </c:pt>
                <c:pt idx="9">
                  <c:v>20.625</c:v>
                </c:pt>
                <c:pt idx="10">
                  <c:v>22</c:v>
                </c:pt>
                <c:pt idx="11">
                  <c:v>13.9</c:v>
                </c:pt>
                <c:pt idx="12">
                  <c:v>15.6</c:v>
                </c:pt>
                <c:pt idx="13">
                  <c:v>12.1</c:v>
                </c:pt>
                <c:pt idx="14">
                  <c:v>4.8</c:v>
                </c:pt>
                <c:pt idx="15">
                  <c:v>17.166666666666668</c:v>
                </c:pt>
                <c:pt idx="16">
                  <c:v>14.25</c:v>
                </c:pt>
                <c:pt idx="17">
                  <c:v>12.666666666666666</c:v>
                </c:pt>
                <c:pt idx="18">
                  <c:v>10.666666666666666</c:v>
                </c:pt>
                <c:pt idx="19">
                  <c:v>14.8</c:v>
                </c:pt>
                <c:pt idx="20">
                  <c:v>6.2</c:v>
                </c:pt>
                <c:pt idx="21">
                  <c:v>3.2</c:v>
                </c:pt>
                <c:pt idx="22">
                  <c:v>2</c:v>
                </c:pt>
                <c:pt idx="23">
                  <c:v>5.0999999999999996</c:v>
                </c:pt>
                <c:pt idx="24">
                  <c:v>7.55</c:v>
                </c:pt>
                <c:pt idx="25">
                  <c:v>5.15</c:v>
                </c:pt>
                <c:pt idx="26">
                  <c:v>16.3</c:v>
                </c:pt>
                <c:pt idx="27">
                  <c:v>10.199999999999999</c:v>
                </c:pt>
                <c:pt idx="28">
                  <c:v>7.4666666666666668</c:v>
                </c:pt>
                <c:pt idx="29">
                  <c:v>14.7</c:v>
                </c:pt>
                <c:pt idx="30">
                  <c:v>15.6</c:v>
                </c:pt>
                <c:pt idx="31">
                  <c:v>18.600000000000001</c:v>
                </c:pt>
                <c:pt idx="32">
                  <c:v>12.25</c:v>
                </c:pt>
                <c:pt idx="33">
                  <c:v>32.666666666666664</c:v>
                </c:pt>
                <c:pt idx="34">
                  <c:v>17.649999999999999</c:v>
                </c:pt>
                <c:pt idx="35">
                  <c:v>20.95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61-4403-AA7E-6163766DB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Ch3 </a:t>
            </a:r>
            <a:r>
              <a:rPr lang="en-US" sz="1100" baseline="0"/>
              <a:t>Dmax vs Imp/s (3) 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3600715496747323"/>
                  <c:y val="-9.1214220827922396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envelope'!$K$2:$K$37</c:f>
              <c:numCache>
                <c:formatCode>0.00</c:formatCode>
                <c:ptCount val="36"/>
                <c:pt idx="0">
                  <c:v>37.714285714285715</c:v>
                </c:pt>
                <c:pt idx="1">
                  <c:v>19.5</c:v>
                </c:pt>
                <c:pt idx="2">
                  <c:v>23</c:v>
                </c:pt>
                <c:pt idx="3">
                  <c:v>25.5</c:v>
                </c:pt>
                <c:pt idx="4">
                  <c:v>27.8</c:v>
                </c:pt>
                <c:pt idx="5">
                  <c:v>30.75</c:v>
                </c:pt>
                <c:pt idx="6">
                  <c:v>21.2</c:v>
                </c:pt>
                <c:pt idx="7">
                  <c:v>23.3</c:v>
                </c:pt>
                <c:pt idx="8">
                  <c:v>34.333333333333336</c:v>
                </c:pt>
                <c:pt idx="9">
                  <c:v>20.625</c:v>
                </c:pt>
                <c:pt idx="10">
                  <c:v>22</c:v>
                </c:pt>
                <c:pt idx="11">
                  <c:v>13.9</c:v>
                </c:pt>
                <c:pt idx="12">
                  <c:v>15.6</c:v>
                </c:pt>
                <c:pt idx="13">
                  <c:v>12.1</c:v>
                </c:pt>
                <c:pt idx="14">
                  <c:v>4.8</c:v>
                </c:pt>
                <c:pt idx="15">
                  <c:v>17.166666666666668</c:v>
                </c:pt>
                <c:pt idx="16">
                  <c:v>14.25</c:v>
                </c:pt>
                <c:pt idx="17">
                  <c:v>12.666666666666666</c:v>
                </c:pt>
                <c:pt idx="18">
                  <c:v>10.666666666666666</c:v>
                </c:pt>
                <c:pt idx="19">
                  <c:v>14.8</c:v>
                </c:pt>
                <c:pt idx="20">
                  <c:v>6.2</c:v>
                </c:pt>
                <c:pt idx="21">
                  <c:v>3.2</c:v>
                </c:pt>
                <c:pt idx="22">
                  <c:v>2</c:v>
                </c:pt>
                <c:pt idx="23">
                  <c:v>5.0999999999999996</c:v>
                </c:pt>
                <c:pt idx="24">
                  <c:v>7.55</c:v>
                </c:pt>
                <c:pt idx="25">
                  <c:v>5.15</c:v>
                </c:pt>
                <c:pt idx="26">
                  <c:v>16.3</c:v>
                </c:pt>
                <c:pt idx="27">
                  <c:v>10.199999999999999</c:v>
                </c:pt>
                <c:pt idx="28">
                  <c:v>7.4666666666666668</c:v>
                </c:pt>
                <c:pt idx="29">
                  <c:v>14.7</c:v>
                </c:pt>
                <c:pt idx="30">
                  <c:v>15.6</c:v>
                </c:pt>
                <c:pt idx="31">
                  <c:v>18.600000000000001</c:v>
                </c:pt>
                <c:pt idx="32">
                  <c:v>12.25</c:v>
                </c:pt>
                <c:pt idx="33">
                  <c:v>32.666666666666664</c:v>
                </c:pt>
                <c:pt idx="34">
                  <c:v>17.649999999999999</c:v>
                </c:pt>
                <c:pt idx="35">
                  <c:v>20.95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1C-4305-987A-649B4053A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Ch3 Imp/s</a:t>
            </a:r>
            <a:endParaRPr lang="en-US" sz="1000"/>
          </a:p>
        </c:rich>
      </c:tx>
      <c:layout>
        <c:manualLayout>
          <c:xMode val="edge"/>
          <c:yMode val="edge"/>
          <c:x val="0.17589958315823767"/>
          <c:y val="3.35223364012650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lineMarker"/>
        <c:varyColors val="0"/>
        <c:ser>
          <c:idx val="1"/>
          <c:order val="0"/>
          <c:tx>
            <c:strRef>
              <c:f>validation!$X$22</c:f>
              <c:strCache>
                <c:ptCount val="1"/>
                <c:pt idx="0">
                  <c:v>Dmax - Imp/s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9528261698491426"/>
                  <c:y val="-0.2312800352380465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validation!$X$23:$X$32</c:f>
              <c:numCache>
                <c:formatCode>0.000</c:formatCode>
                <c:ptCount val="10"/>
                <c:pt idx="0">
                  <c:v>41.207262199211904</c:v>
                </c:pt>
                <c:pt idx="1">
                  <c:v>20.565616418960641</c:v>
                </c:pt>
                <c:pt idx="2">
                  <c:v>23.029020988777891</c:v>
                </c:pt>
                <c:pt idx="3">
                  <c:v>20.442917594091853</c:v>
                </c:pt>
                <c:pt idx="4">
                  <c:v>39612.835500000001</c:v>
                </c:pt>
                <c:pt idx="5">
                  <c:v>700.80517499999996</c:v>
                </c:pt>
                <c:pt idx="6">
                  <c:v>447.85784166666667</c:v>
                </c:pt>
                <c:pt idx="7">
                  <c:v>148.379525</c:v>
                </c:pt>
                <c:pt idx="8">
                  <c:v>468.7165583333333</c:v>
                </c:pt>
                <c:pt idx="9">
                  <c:v>482.63810000000001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F04-4350-9F56-E4B73081FB03}"/>
            </c:ext>
          </c:extLst>
        </c:ser>
        <c:ser>
          <c:idx val="2"/>
          <c:order val="1"/>
          <c:tx>
            <c:strRef>
              <c:f>validation!$Y$22</c:f>
              <c:strCache>
                <c:ptCount val="1"/>
                <c:pt idx="0">
                  <c:v>Dmax - Imp/s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3189953126024896"/>
                  <c:y val="-7.747817006316783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validation!$Y$23:$Y$32</c:f>
              <c:numCache>
                <c:formatCode>0.00</c:formatCode>
                <c:ptCount val="10"/>
                <c:pt idx="0">
                  <c:v>40.923634346381888</c:v>
                </c:pt>
                <c:pt idx="1">
                  <c:v>15.263430355503798</c:v>
                </c:pt>
                <c:pt idx="2">
                  <c:v>19.104974879697991</c:v>
                </c:pt>
                <c:pt idx="3">
                  <c:v>15.060376567986314</c:v>
                </c:pt>
                <c:pt idx="4">
                  <c:v>5681.3444037847457</c:v>
                </c:pt>
                <c:pt idx="5">
                  <c:v>365.98187194714137</c:v>
                </c:pt>
                <c:pt idx="6">
                  <c:v>268.20710711659439</c:v>
                </c:pt>
                <c:pt idx="7">
                  <c:v>121.27142837162474</c:v>
                </c:pt>
                <c:pt idx="8">
                  <c:v>276.86742020354603</c:v>
                </c:pt>
                <c:pt idx="9">
                  <c:v>282.57592004094369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F04-4350-9F56-E4B73081F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smoothMarker"/>
        <c:varyColors val="0"/>
        <c:ser>
          <c:idx val="4"/>
          <c:order val="2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validation!$B$44:$B$45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validation!$C$44:$C$45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F04-4350-9F56-E4B73081F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9.4642433766248361E-3"/>
          <c:y val="0.84588534767051127"/>
          <c:w val="0.97427125826455718"/>
          <c:h val="0.136513116109033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Ch4 Imp/s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062161915687112"/>
                  <c:y val="0.2668066547123057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envelope'!$J$2:$J$37</c:f>
              <c:numCache>
                <c:formatCode>0.00</c:formatCode>
                <c:ptCount val="36"/>
                <c:pt idx="0">
                  <c:v>13.714285714285714</c:v>
                </c:pt>
                <c:pt idx="1">
                  <c:v>6.5</c:v>
                </c:pt>
                <c:pt idx="2">
                  <c:v>8.9</c:v>
                </c:pt>
                <c:pt idx="3">
                  <c:v>11</c:v>
                </c:pt>
                <c:pt idx="4">
                  <c:v>8.1999999999999993</c:v>
                </c:pt>
                <c:pt idx="5">
                  <c:v>12.75</c:v>
                </c:pt>
                <c:pt idx="6">
                  <c:v>9.1</c:v>
                </c:pt>
                <c:pt idx="7">
                  <c:v>7.5</c:v>
                </c:pt>
                <c:pt idx="8">
                  <c:v>13.666666666666666</c:v>
                </c:pt>
                <c:pt idx="9">
                  <c:v>7.25</c:v>
                </c:pt>
                <c:pt idx="10">
                  <c:v>8.1666666666666661</c:v>
                </c:pt>
                <c:pt idx="11">
                  <c:v>4.3</c:v>
                </c:pt>
                <c:pt idx="12">
                  <c:v>7.8</c:v>
                </c:pt>
                <c:pt idx="13">
                  <c:v>4</c:v>
                </c:pt>
                <c:pt idx="14">
                  <c:v>0.73333333333333328</c:v>
                </c:pt>
                <c:pt idx="15">
                  <c:v>4</c:v>
                </c:pt>
                <c:pt idx="16">
                  <c:v>3</c:v>
                </c:pt>
                <c:pt idx="17">
                  <c:v>2.8333333333333335</c:v>
                </c:pt>
                <c:pt idx="18">
                  <c:v>4.5</c:v>
                </c:pt>
                <c:pt idx="19">
                  <c:v>4.2</c:v>
                </c:pt>
                <c:pt idx="20">
                  <c:v>1.1000000000000001</c:v>
                </c:pt>
                <c:pt idx="21">
                  <c:v>0.2</c:v>
                </c:pt>
                <c:pt idx="22">
                  <c:v>0.13333333333333333</c:v>
                </c:pt>
                <c:pt idx="23">
                  <c:v>0.4</c:v>
                </c:pt>
                <c:pt idx="24">
                  <c:v>0.9</c:v>
                </c:pt>
                <c:pt idx="25">
                  <c:v>0.55000000000000004</c:v>
                </c:pt>
                <c:pt idx="26">
                  <c:v>3.5</c:v>
                </c:pt>
                <c:pt idx="27">
                  <c:v>2.8</c:v>
                </c:pt>
                <c:pt idx="28">
                  <c:v>1.7333333333333334</c:v>
                </c:pt>
                <c:pt idx="29">
                  <c:v>2.8</c:v>
                </c:pt>
                <c:pt idx="30">
                  <c:v>5.65</c:v>
                </c:pt>
                <c:pt idx="31">
                  <c:v>7.333333333333333</c:v>
                </c:pt>
                <c:pt idx="32">
                  <c:v>3.4</c:v>
                </c:pt>
                <c:pt idx="33">
                  <c:v>12.466666666666667</c:v>
                </c:pt>
                <c:pt idx="34">
                  <c:v>4.0999999999999996</c:v>
                </c:pt>
                <c:pt idx="35">
                  <c:v>7.1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75-455A-8A11-AE469CEA2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layout>
            <c:manualLayout>
              <c:xMode val="edge"/>
              <c:yMode val="edge"/>
              <c:x val="6.8547409397845677E-2"/>
              <c:y val="0.330643038693590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Ch4 </a:t>
            </a:r>
            <a:r>
              <a:rPr lang="en-US" sz="1100" baseline="0"/>
              <a:t>Dmax vs Imp/s 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272791399919537"/>
                  <c:y val="0.2917625502679589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envelope'!$J$2:$J$37</c:f>
              <c:numCache>
                <c:formatCode>0.00</c:formatCode>
                <c:ptCount val="36"/>
                <c:pt idx="0">
                  <c:v>13.714285714285714</c:v>
                </c:pt>
                <c:pt idx="1">
                  <c:v>6.5</c:v>
                </c:pt>
                <c:pt idx="2">
                  <c:v>8.9</c:v>
                </c:pt>
                <c:pt idx="3">
                  <c:v>11</c:v>
                </c:pt>
                <c:pt idx="4">
                  <c:v>8.1999999999999993</c:v>
                </c:pt>
                <c:pt idx="5">
                  <c:v>12.75</c:v>
                </c:pt>
                <c:pt idx="6">
                  <c:v>9.1</c:v>
                </c:pt>
                <c:pt idx="7">
                  <c:v>7.5</c:v>
                </c:pt>
                <c:pt idx="8">
                  <c:v>13.666666666666666</c:v>
                </c:pt>
                <c:pt idx="9">
                  <c:v>7.25</c:v>
                </c:pt>
                <c:pt idx="10">
                  <c:v>8.1666666666666661</c:v>
                </c:pt>
                <c:pt idx="11">
                  <c:v>4.3</c:v>
                </c:pt>
                <c:pt idx="12">
                  <c:v>7.8</c:v>
                </c:pt>
                <c:pt idx="13">
                  <c:v>4</c:v>
                </c:pt>
                <c:pt idx="14">
                  <c:v>0.73333333333333328</c:v>
                </c:pt>
                <c:pt idx="15">
                  <c:v>4</c:v>
                </c:pt>
                <c:pt idx="16">
                  <c:v>3</c:v>
                </c:pt>
                <c:pt idx="17">
                  <c:v>2.8333333333333335</c:v>
                </c:pt>
                <c:pt idx="18">
                  <c:v>4.5</c:v>
                </c:pt>
                <c:pt idx="19">
                  <c:v>4.2</c:v>
                </c:pt>
                <c:pt idx="20">
                  <c:v>1.1000000000000001</c:v>
                </c:pt>
                <c:pt idx="21">
                  <c:v>0.2</c:v>
                </c:pt>
                <c:pt idx="22">
                  <c:v>0.13333333333333333</c:v>
                </c:pt>
                <c:pt idx="23">
                  <c:v>0.4</c:v>
                </c:pt>
                <c:pt idx="24">
                  <c:v>0.9</c:v>
                </c:pt>
                <c:pt idx="25">
                  <c:v>0.55000000000000004</c:v>
                </c:pt>
                <c:pt idx="26">
                  <c:v>3.5</c:v>
                </c:pt>
                <c:pt idx="27">
                  <c:v>2.8</c:v>
                </c:pt>
                <c:pt idx="28">
                  <c:v>1.7333333333333334</c:v>
                </c:pt>
                <c:pt idx="29">
                  <c:v>2.8</c:v>
                </c:pt>
                <c:pt idx="30">
                  <c:v>5.65</c:v>
                </c:pt>
                <c:pt idx="31">
                  <c:v>7.333333333333333</c:v>
                </c:pt>
                <c:pt idx="32">
                  <c:v>3.4</c:v>
                </c:pt>
                <c:pt idx="33">
                  <c:v>12.466666666666667</c:v>
                </c:pt>
                <c:pt idx="34">
                  <c:v>4.0999999999999996</c:v>
                </c:pt>
                <c:pt idx="35">
                  <c:v>7.1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EA-4EB0-B546-45FAD41A8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Ch4 </a:t>
            </a:r>
            <a:r>
              <a:rPr lang="en-US" sz="1100" baseline="0"/>
              <a:t>Dmax vs Imp/s (3)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26519980719541736"/>
                  <c:y val="-0.1565187407064341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envelope'!$J$2:$J$37</c:f>
              <c:numCache>
                <c:formatCode>0.00</c:formatCode>
                <c:ptCount val="36"/>
                <c:pt idx="0">
                  <c:v>13.714285714285714</c:v>
                </c:pt>
                <c:pt idx="1">
                  <c:v>6.5</c:v>
                </c:pt>
                <c:pt idx="2">
                  <c:v>8.9</c:v>
                </c:pt>
                <c:pt idx="3">
                  <c:v>11</c:v>
                </c:pt>
                <c:pt idx="4">
                  <c:v>8.1999999999999993</c:v>
                </c:pt>
                <c:pt idx="5">
                  <c:v>12.75</c:v>
                </c:pt>
                <c:pt idx="6">
                  <c:v>9.1</c:v>
                </c:pt>
                <c:pt idx="7">
                  <c:v>7.5</c:v>
                </c:pt>
                <c:pt idx="8">
                  <c:v>13.666666666666666</c:v>
                </c:pt>
                <c:pt idx="9">
                  <c:v>7.25</c:v>
                </c:pt>
                <c:pt idx="10">
                  <c:v>8.1666666666666661</c:v>
                </c:pt>
                <c:pt idx="11">
                  <c:v>4.3</c:v>
                </c:pt>
                <c:pt idx="12">
                  <c:v>7.8</c:v>
                </c:pt>
                <c:pt idx="13">
                  <c:v>4</c:v>
                </c:pt>
                <c:pt idx="14">
                  <c:v>0.73333333333333328</c:v>
                </c:pt>
                <c:pt idx="15">
                  <c:v>4</c:v>
                </c:pt>
                <c:pt idx="16">
                  <c:v>3</c:v>
                </c:pt>
                <c:pt idx="17">
                  <c:v>2.8333333333333335</c:v>
                </c:pt>
                <c:pt idx="18">
                  <c:v>4.5</c:v>
                </c:pt>
                <c:pt idx="19">
                  <c:v>4.2</c:v>
                </c:pt>
                <c:pt idx="20">
                  <c:v>1.1000000000000001</c:v>
                </c:pt>
                <c:pt idx="21">
                  <c:v>0.2</c:v>
                </c:pt>
                <c:pt idx="22">
                  <c:v>0.13333333333333333</c:v>
                </c:pt>
                <c:pt idx="23">
                  <c:v>0.4</c:v>
                </c:pt>
                <c:pt idx="24">
                  <c:v>0.9</c:v>
                </c:pt>
                <c:pt idx="25">
                  <c:v>0.55000000000000004</c:v>
                </c:pt>
                <c:pt idx="26">
                  <c:v>3.5</c:v>
                </c:pt>
                <c:pt idx="27">
                  <c:v>2.8</c:v>
                </c:pt>
                <c:pt idx="28">
                  <c:v>1.7333333333333334</c:v>
                </c:pt>
                <c:pt idx="29">
                  <c:v>2.8</c:v>
                </c:pt>
                <c:pt idx="30">
                  <c:v>5.65</c:v>
                </c:pt>
                <c:pt idx="31">
                  <c:v>7.333333333333333</c:v>
                </c:pt>
                <c:pt idx="32">
                  <c:v>3.4</c:v>
                </c:pt>
                <c:pt idx="33">
                  <c:v>12.466666666666667</c:v>
                </c:pt>
                <c:pt idx="34">
                  <c:v>4.0999999999999996</c:v>
                </c:pt>
                <c:pt idx="35">
                  <c:v>7.1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2D-4C45-BB18-140095FA6D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Ch4 Imp/s</a:t>
            </a:r>
            <a:endParaRPr lang="en-US" sz="1000"/>
          </a:p>
        </c:rich>
      </c:tx>
      <c:layout>
        <c:manualLayout>
          <c:xMode val="edge"/>
          <c:yMode val="edge"/>
          <c:x val="0.10468539009637413"/>
          <c:y val="7.96155489530043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lineMarker"/>
        <c:varyColors val="0"/>
        <c:ser>
          <c:idx val="0"/>
          <c:order val="0"/>
          <c:tx>
            <c:strRef>
              <c:f>validation!$AC$22</c:f>
              <c:strCache>
                <c:ptCount val="1"/>
                <c:pt idx="0">
                  <c:v>Imp/s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validation!$B$23:$B$32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validation!$AC$23:$AC$32</c:f>
              <c:numCache>
                <c:formatCode>0.00</c:formatCode>
                <c:ptCount val="10"/>
                <c:pt idx="0">
                  <c:v>34.055752376002616</c:v>
                </c:pt>
                <c:pt idx="1">
                  <c:v>3.5639348475274497</c:v>
                </c:pt>
                <c:pt idx="2">
                  <c:v>2.1431694484715615</c:v>
                </c:pt>
                <c:pt idx="3">
                  <c:v>4.8389804371860778</c:v>
                </c:pt>
                <c:pt idx="4">
                  <c:v>81914.274316939889</c:v>
                </c:pt>
                <c:pt idx="5">
                  <c:v>1900.6131147540984</c:v>
                </c:pt>
                <c:pt idx="6">
                  <c:v>1647.6076502732242</c:v>
                </c:pt>
                <c:pt idx="7">
                  <c:v>18.828051001821493</c:v>
                </c:pt>
                <c:pt idx="8">
                  <c:v>493.87358834244083</c:v>
                </c:pt>
                <c:pt idx="9">
                  <c:v>1768.0083788706743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10-4452-B562-3B029DF7F529}"/>
            </c:ext>
          </c:extLst>
        </c:ser>
        <c:ser>
          <c:idx val="1"/>
          <c:order val="1"/>
          <c:tx>
            <c:strRef>
              <c:f>validation!$AD$22</c:f>
              <c:strCache>
                <c:ptCount val="1"/>
                <c:pt idx="0">
                  <c:v>Dmax - Imp/s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9528261698491426"/>
                  <c:y val="-0.2312800352380465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validation!$AD$23:$AD$32</c:f>
              <c:numCache>
                <c:formatCode>0.00</c:formatCode>
                <c:ptCount val="10"/>
                <c:pt idx="0">
                  <c:v>45.44043253352951</c:v>
                </c:pt>
                <c:pt idx="1">
                  <c:v>27.704673245050621</c:v>
                </c:pt>
                <c:pt idx="2">
                  <c:v>26.878276028829479</c:v>
                </c:pt>
                <c:pt idx="3">
                  <c:v>28.446311608815058</c:v>
                </c:pt>
                <c:pt idx="4">
                  <c:v>47671.589500000009</c:v>
                </c:pt>
                <c:pt idx="5">
                  <c:v>1131.1353750000001</c:v>
                </c:pt>
                <c:pt idx="6">
                  <c:v>983.97314000000006</c:v>
                </c:pt>
                <c:pt idx="7">
                  <c:v>36.583143333333332</c:v>
                </c:pt>
                <c:pt idx="8">
                  <c:v>312.8963966666667</c:v>
                </c:pt>
                <c:pt idx="9">
                  <c:v>1054.0049883333336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610-4452-B562-3B029DF7F529}"/>
            </c:ext>
          </c:extLst>
        </c:ser>
        <c:ser>
          <c:idx val="2"/>
          <c:order val="2"/>
          <c:tx>
            <c:strRef>
              <c:f>validation!$AE$22</c:f>
              <c:strCache>
                <c:ptCount val="1"/>
                <c:pt idx="0">
                  <c:v>Dmax - Imp/s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314218127097893"/>
                  <c:y val="-0.178398549565051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validation!$AE$23:$AE$32</c:f>
              <c:numCache>
                <c:formatCode>0.00</c:formatCode>
                <c:ptCount val="10"/>
                <c:pt idx="0">
                  <c:v>49.260837883196288</c:v>
                </c:pt>
                <c:pt idx="1">
                  <c:v>16.178763293074105</c:v>
                </c:pt>
                <c:pt idx="2">
                  <c:v>9.2058127259320273</c:v>
                </c:pt>
                <c:pt idx="3">
                  <c:v>19.832581929011742</c:v>
                </c:pt>
                <c:pt idx="4">
                  <c:v>1044.3302188724219</c:v>
                </c:pt>
                <c:pt idx="5">
                  <c:v>240.84522349993074</c:v>
                </c:pt>
                <c:pt idx="6">
                  <c:v>227.79161281593932</c:v>
                </c:pt>
                <c:pt idx="7">
                  <c:v>38.443393786617939</c:v>
                </c:pt>
                <c:pt idx="8">
                  <c:v>142.30546361649385</c:v>
                </c:pt>
                <c:pt idx="9">
                  <c:v>234.14580903473757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610-4452-B562-3B029DF7F529}"/>
            </c:ext>
          </c:extLst>
        </c:ser>
        <c:ser>
          <c:idx val="3"/>
          <c:order val="3"/>
          <c:tx>
            <c:strRef>
              <c:f>validation!$AF$22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0901395983816476"/>
                  <c:y val="-0.1672767885865683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validation!$B$23:$B$26</c:f>
              <c:numCache>
                <c:formatCode>General</c:formatCode>
                <c:ptCount val="4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</c:numCache>
            </c:numRef>
          </c:xVal>
          <c:yVal>
            <c:numRef>
              <c:f>validation!$AF$23:$AF$26</c:f>
              <c:numCache>
                <c:formatCode>0.00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610-4452-B562-3B029DF7F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smoothMarker"/>
        <c:varyColors val="0"/>
        <c:ser>
          <c:idx val="4"/>
          <c:order val="4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validation!$B$44:$B$45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validation!$C$44:$C$45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610-4452-B562-3B029DF7F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ayout>
        <c:manualLayout>
          <c:xMode val="edge"/>
          <c:yMode val="edge"/>
          <c:x val="9.4642433766248361E-3"/>
          <c:y val="0.84588534767051127"/>
          <c:w val="0.97427125826455718"/>
          <c:h val="0.136513116109033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Ch5 Imp/s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3280496349475523E-2"/>
                  <c:y val="-0.1099822133404293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envelope'!$I$2:$I$37</c:f>
              <c:numCache>
                <c:formatCode>0.00</c:formatCode>
                <c:ptCount val="36"/>
                <c:pt idx="0">
                  <c:v>2.2857142857142856</c:v>
                </c:pt>
                <c:pt idx="1">
                  <c:v>0.8</c:v>
                </c:pt>
                <c:pt idx="2">
                  <c:v>3.1</c:v>
                </c:pt>
                <c:pt idx="3">
                  <c:v>1.6</c:v>
                </c:pt>
                <c:pt idx="4">
                  <c:v>3.2</c:v>
                </c:pt>
                <c:pt idx="5">
                  <c:v>3.625</c:v>
                </c:pt>
                <c:pt idx="6">
                  <c:v>2.1</c:v>
                </c:pt>
                <c:pt idx="7">
                  <c:v>3.2</c:v>
                </c:pt>
                <c:pt idx="8">
                  <c:v>4.666666666666667</c:v>
                </c:pt>
                <c:pt idx="9">
                  <c:v>2.75</c:v>
                </c:pt>
                <c:pt idx="10">
                  <c:v>1.5</c:v>
                </c:pt>
                <c:pt idx="11">
                  <c:v>1.8</c:v>
                </c:pt>
                <c:pt idx="12">
                  <c:v>2.6</c:v>
                </c:pt>
                <c:pt idx="13">
                  <c:v>0.8</c:v>
                </c:pt>
                <c:pt idx="14">
                  <c:v>0</c:v>
                </c:pt>
                <c:pt idx="15">
                  <c:v>1</c:v>
                </c:pt>
                <c:pt idx="16">
                  <c:v>0.25</c:v>
                </c:pt>
                <c:pt idx="17">
                  <c:v>0.16666666666666666</c:v>
                </c:pt>
                <c:pt idx="18">
                  <c:v>1</c:v>
                </c:pt>
                <c:pt idx="19">
                  <c:v>0.6</c:v>
                </c:pt>
                <c:pt idx="20">
                  <c:v>0.1</c:v>
                </c:pt>
                <c:pt idx="21">
                  <c:v>0</c:v>
                </c:pt>
                <c:pt idx="22">
                  <c:v>0</c:v>
                </c:pt>
                <c:pt idx="23">
                  <c:v>0.1</c:v>
                </c:pt>
                <c:pt idx="24">
                  <c:v>0.05</c:v>
                </c:pt>
                <c:pt idx="25">
                  <c:v>0.05</c:v>
                </c:pt>
                <c:pt idx="26">
                  <c:v>0.4</c:v>
                </c:pt>
                <c:pt idx="27">
                  <c:v>0.55000000000000004</c:v>
                </c:pt>
                <c:pt idx="28">
                  <c:v>0.33333333333333331</c:v>
                </c:pt>
                <c:pt idx="29">
                  <c:v>0.3</c:v>
                </c:pt>
                <c:pt idx="30">
                  <c:v>1.9</c:v>
                </c:pt>
                <c:pt idx="31">
                  <c:v>2</c:v>
                </c:pt>
                <c:pt idx="32">
                  <c:v>1</c:v>
                </c:pt>
                <c:pt idx="33">
                  <c:v>4.0666666666666664</c:v>
                </c:pt>
                <c:pt idx="34">
                  <c:v>0.75</c:v>
                </c:pt>
                <c:pt idx="35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B1-4E1F-916B-F08D1CDA9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layout>
            <c:manualLayout>
              <c:xMode val="edge"/>
              <c:yMode val="edge"/>
              <c:x val="6.8547409397845677E-2"/>
              <c:y val="0.330643038693590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Ch5 </a:t>
            </a:r>
            <a:r>
              <a:rPr lang="en-US" sz="1100" baseline="0"/>
              <a:t>Dmax vs Imp/s 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26519980719541736"/>
                  <c:y val="-0.1565187407064341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456166573249465"/>
                  <c:y val="0.30402921204083927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envelope'!$I$2:$I$37</c:f>
              <c:numCache>
                <c:formatCode>0.00</c:formatCode>
                <c:ptCount val="36"/>
                <c:pt idx="0">
                  <c:v>2.2857142857142856</c:v>
                </c:pt>
                <c:pt idx="1">
                  <c:v>0.8</c:v>
                </c:pt>
                <c:pt idx="2">
                  <c:v>3.1</c:v>
                </c:pt>
                <c:pt idx="3">
                  <c:v>1.6</c:v>
                </c:pt>
                <c:pt idx="4">
                  <c:v>3.2</c:v>
                </c:pt>
                <c:pt idx="5">
                  <c:v>3.625</c:v>
                </c:pt>
                <c:pt idx="6">
                  <c:v>2.1</c:v>
                </c:pt>
                <c:pt idx="7">
                  <c:v>3.2</c:v>
                </c:pt>
                <c:pt idx="8">
                  <c:v>4.666666666666667</c:v>
                </c:pt>
                <c:pt idx="9">
                  <c:v>2.75</c:v>
                </c:pt>
                <c:pt idx="10">
                  <c:v>1.5</c:v>
                </c:pt>
                <c:pt idx="11">
                  <c:v>1.8</c:v>
                </c:pt>
                <c:pt idx="12">
                  <c:v>2.6</c:v>
                </c:pt>
                <c:pt idx="13">
                  <c:v>0.8</c:v>
                </c:pt>
                <c:pt idx="14">
                  <c:v>0</c:v>
                </c:pt>
                <c:pt idx="15">
                  <c:v>1</c:v>
                </c:pt>
                <c:pt idx="16">
                  <c:v>0.25</c:v>
                </c:pt>
                <c:pt idx="17">
                  <c:v>0.16666666666666666</c:v>
                </c:pt>
                <c:pt idx="18">
                  <c:v>1</c:v>
                </c:pt>
                <c:pt idx="19">
                  <c:v>0.6</c:v>
                </c:pt>
                <c:pt idx="20">
                  <c:v>0.1</c:v>
                </c:pt>
                <c:pt idx="21">
                  <c:v>0</c:v>
                </c:pt>
                <c:pt idx="22">
                  <c:v>0</c:v>
                </c:pt>
                <c:pt idx="23">
                  <c:v>0.1</c:v>
                </c:pt>
                <c:pt idx="24">
                  <c:v>0.05</c:v>
                </c:pt>
                <c:pt idx="25">
                  <c:v>0.05</c:v>
                </c:pt>
                <c:pt idx="26">
                  <c:v>0.4</c:v>
                </c:pt>
                <c:pt idx="27">
                  <c:v>0.55000000000000004</c:v>
                </c:pt>
                <c:pt idx="28">
                  <c:v>0.33333333333333331</c:v>
                </c:pt>
                <c:pt idx="29">
                  <c:v>0.3</c:v>
                </c:pt>
                <c:pt idx="30">
                  <c:v>1.9</c:v>
                </c:pt>
                <c:pt idx="31">
                  <c:v>2</c:v>
                </c:pt>
                <c:pt idx="32">
                  <c:v>1</c:v>
                </c:pt>
                <c:pt idx="33">
                  <c:v>4.0666666666666664</c:v>
                </c:pt>
                <c:pt idx="34">
                  <c:v>0.75</c:v>
                </c:pt>
                <c:pt idx="35">
                  <c:v>1.6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FAD-4AC8-A01D-FCC0367BF5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Ch5 </a:t>
            </a:r>
            <a:r>
              <a:rPr lang="en-US" sz="1100" baseline="0"/>
              <a:t>Dmax vs Imp/s (3) 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26519980719541736"/>
                  <c:y val="-0.1565187407064341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4456166573249465"/>
                  <c:y val="0.3040292120408392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1.3312493678850255E-2"/>
                  <c:y val="-4.557064848625047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envelope'!$I$2:$I$37</c:f>
              <c:numCache>
                <c:formatCode>0.00</c:formatCode>
                <c:ptCount val="36"/>
                <c:pt idx="0">
                  <c:v>2.2857142857142856</c:v>
                </c:pt>
                <c:pt idx="1">
                  <c:v>0.8</c:v>
                </c:pt>
                <c:pt idx="2">
                  <c:v>3.1</c:v>
                </c:pt>
                <c:pt idx="3">
                  <c:v>1.6</c:v>
                </c:pt>
                <c:pt idx="4">
                  <c:v>3.2</c:v>
                </c:pt>
                <c:pt idx="5">
                  <c:v>3.625</c:v>
                </c:pt>
                <c:pt idx="6">
                  <c:v>2.1</c:v>
                </c:pt>
                <c:pt idx="7">
                  <c:v>3.2</c:v>
                </c:pt>
                <c:pt idx="8">
                  <c:v>4.666666666666667</c:v>
                </c:pt>
                <c:pt idx="9">
                  <c:v>2.75</c:v>
                </c:pt>
                <c:pt idx="10">
                  <c:v>1.5</c:v>
                </c:pt>
                <c:pt idx="11">
                  <c:v>1.8</c:v>
                </c:pt>
                <c:pt idx="12">
                  <c:v>2.6</c:v>
                </c:pt>
                <c:pt idx="13">
                  <c:v>0.8</c:v>
                </c:pt>
                <c:pt idx="14">
                  <c:v>0</c:v>
                </c:pt>
                <c:pt idx="15">
                  <c:v>1</c:v>
                </c:pt>
                <c:pt idx="16">
                  <c:v>0.25</c:v>
                </c:pt>
                <c:pt idx="17">
                  <c:v>0.16666666666666666</c:v>
                </c:pt>
                <c:pt idx="18">
                  <c:v>1</c:v>
                </c:pt>
                <c:pt idx="19">
                  <c:v>0.6</c:v>
                </c:pt>
                <c:pt idx="20">
                  <c:v>0.1</c:v>
                </c:pt>
                <c:pt idx="21">
                  <c:v>0</c:v>
                </c:pt>
                <c:pt idx="22">
                  <c:v>0</c:v>
                </c:pt>
                <c:pt idx="23">
                  <c:v>0.1</c:v>
                </c:pt>
                <c:pt idx="24">
                  <c:v>0.05</c:v>
                </c:pt>
                <c:pt idx="25">
                  <c:v>0.05</c:v>
                </c:pt>
                <c:pt idx="26">
                  <c:v>0.4</c:v>
                </c:pt>
                <c:pt idx="27">
                  <c:v>0.55000000000000004</c:v>
                </c:pt>
                <c:pt idx="28">
                  <c:v>0.33333333333333331</c:v>
                </c:pt>
                <c:pt idx="29">
                  <c:v>0.3</c:v>
                </c:pt>
                <c:pt idx="30">
                  <c:v>1.9</c:v>
                </c:pt>
                <c:pt idx="31">
                  <c:v>2</c:v>
                </c:pt>
                <c:pt idx="32">
                  <c:v>1</c:v>
                </c:pt>
                <c:pt idx="33">
                  <c:v>4.0666666666666664</c:v>
                </c:pt>
                <c:pt idx="34">
                  <c:v>0.75</c:v>
                </c:pt>
                <c:pt idx="35">
                  <c:v>1.6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E6E-4B9C-AEB2-AAE57B290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Ch5 Imp/s</a:t>
            </a:r>
            <a:endParaRPr lang="en-US" sz="1000"/>
          </a:p>
        </c:rich>
      </c:tx>
      <c:layout>
        <c:manualLayout>
          <c:xMode val="edge"/>
          <c:yMode val="edge"/>
          <c:x val="0.13263486986456194"/>
          <c:y val="7.96155489530043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lineMarker"/>
        <c:varyColors val="0"/>
        <c:ser>
          <c:idx val="0"/>
          <c:order val="0"/>
          <c:tx>
            <c:strRef>
              <c:f>validation!$AI$22</c:f>
              <c:strCache>
                <c:ptCount val="1"/>
                <c:pt idx="0">
                  <c:v>Imp/s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3445744202660945"/>
                  <c:y val="-0.21474916812804476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validation!$AI$23:$AI$32</c:f>
              <c:numCache>
                <c:formatCode>0.00</c:formatCode>
                <c:ptCount val="10"/>
                <c:pt idx="0">
                  <c:v>29.615074905839549</c:v>
                </c:pt>
                <c:pt idx="1">
                  <c:v>4.0920504938377666</c:v>
                </c:pt>
                <c:pt idx="2">
                  <c:v>2.8368200836820083</c:v>
                </c:pt>
                <c:pt idx="3">
                  <c:v>4.7894005741147057</c:v>
                </c:pt>
                <c:pt idx="4">
                  <c:v>25232.962343096235</c:v>
                </c:pt>
                <c:pt idx="5">
                  <c:v>177.87168758716876</c:v>
                </c:pt>
                <c:pt idx="6">
                  <c:v>1161.1352859135284</c:v>
                </c:pt>
                <c:pt idx="7">
                  <c:v>4.2315202231520219</c:v>
                </c:pt>
                <c:pt idx="8">
                  <c:v>95.584379358437943</c:v>
                </c:pt>
                <c:pt idx="9">
                  <c:v>1582.3347280334726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D0-4C7F-9EEA-355AD8FB458F}"/>
            </c:ext>
          </c:extLst>
        </c:ser>
        <c:ser>
          <c:idx val="1"/>
          <c:order val="1"/>
          <c:tx>
            <c:strRef>
              <c:f>validation!$AJ$22</c:f>
              <c:strCache>
                <c:ptCount val="1"/>
                <c:pt idx="0">
                  <c:v>Dmax - Imp/s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0687950177302272"/>
                  <c:y val="-0.2318788840625376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validation!$AJ$23:$AJ$32</c:f>
              <c:numCache>
                <c:formatCode>0.00</c:formatCode>
                <c:ptCount val="10"/>
                <c:pt idx="0">
                  <c:v>49.598324488129023</c:v>
                </c:pt>
                <c:pt idx="1">
                  <c:v>40.165890105190499</c:v>
                </c:pt>
                <c:pt idx="2">
                  <c:v>39.701999999999998</c:v>
                </c:pt>
                <c:pt idx="3">
                  <c:v>40.4236067757531</c:v>
                </c:pt>
                <c:pt idx="4">
                  <c:v>9363.8909999999996</c:v>
                </c:pt>
                <c:pt idx="5">
                  <c:v>104.38888333333333</c:v>
                </c:pt>
                <c:pt idx="6">
                  <c:v>467.76938333333334</c:v>
                </c:pt>
                <c:pt idx="7">
                  <c:v>40.217433333333332</c:v>
                </c:pt>
                <c:pt idx="8">
                  <c:v>73.978316666666672</c:v>
                </c:pt>
                <c:pt idx="9">
                  <c:v>623.43025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D0-4C7F-9EEA-355AD8FB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smoothMarker"/>
        <c:varyColors val="0"/>
        <c:ser>
          <c:idx val="4"/>
          <c:order val="2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validation!$B$44:$B$45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validation!$C$44:$C$45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6D0-4C7F-9EEA-355AD8FB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ayout>
        <c:manualLayout>
          <c:xMode val="edge"/>
          <c:yMode val="edge"/>
          <c:x val="9.4642433766248361E-3"/>
          <c:y val="0.84588534767051127"/>
          <c:w val="0.97427125826455718"/>
          <c:h val="0.136513116109033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Ch6 Imp/s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9631580019503511E-2"/>
                  <c:y val="-5.8751514618818314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envelope'!$H$2:$H$37</c:f>
              <c:numCache>
                <c:formatCode>0.00</c:formatCode>
                <c:ptCount val="36"/>
                <c:pt idx="0">
                  <c:v>0.8571428571428571</c:v>
                </c:pt>
                <c:pt idx="1">
                  <c:v>0.2</c:v>
                </c:pt>
                <c:pt idx="2">
                  <c:v>1</c:v>
                </c:pt>
                <c:pt idx="3">
                  <c:v>0.4</c:v>
                </c:pt>
                <c:pt idx="4">
                  <c:v>0.4</c:v>
                </c:pt>
                <c:pt idx="5">
                  <c:v>0.75</c:v>
                </c:pt>
                <c:pt idx="6">
                  <c:v>0.3</c:v>
                </c:pt>
                <c:pt idx="7">
                  <c:v>0.9</c:v>
                </c:pt>
                <c:pt idx="8">
                  <c:v>1</c:v>
                </c:pt>
                <c:pt idx="9">
                  <c:v>0.375</c:v>
                </c:pt>
                <c:pt idx="10">
                  <c:v>0.33333333333333331</c:v>
                </c:pt>
                <c:pt idx="11">
                  <c:v>0.5</c:v>
                </c:pt>
                <c:pt idx="12">
                  <c:v>0.2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6.6666666666666666E-2</c:v>
                </c:pt>
                <c:pt idx="29">
                  <c:v>0</c:v>
                </c:pt>
                <c:pt idx="30">
                  <c:v>0.5</c:v>
                </c:pt>
                <c:pt idx="31">
                  <c:v>0.13333333333333333</c:v>
                </c:pt>
                <c:pt idx="32">
                  <c:v>0.2</c:v>
                </c:pt>
                <c:pt idx="33">
                  <c:v>0.8</c:v>
                </c:pt>
                <c:pt idx="34">
                  <c:v>0</c:v>
                </c:pt>
                <c:pt idx="35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52-4FD3-9131-0CBF70184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layout>
            <c:manualLayout>
              <c:xMode val="edge"/>
              <c:yMode val="edge"/>
              <c:x val="6.8547409397845677E-2"/>
              <c:y val="0.330643038693590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Ch6 </a:t>
            </a:r>
            <a:r>
              <a:rPr lang="en-US" sz="1100" baseline="0"/>
              <a:t>Dmax vs Imp/s 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26519980719541736"/>
                  <c:y val="-0.1565187407064341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2069045691391087"/>
                  <c:y val="0.30402921204083927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envelope'!$H$2:$H$37</c:f>
              <c:numCache>
                <c:formatCode>0.00</c:formatCode>
                <c:ptCount val="36"/>
                <c:pt idx="0">
                  <c:v>0.8571428571428571</c:v>
                </c:pt>
                <c:pt idx="1">
                  <c:v>0.2</c:v>
                </c:pt>
                <c:pt idx="2">
                  <c:v>1</c:v>
                </c:pt>
                <c:pt idx="3">
                  <c:v>0.4</c:v>
                </c:pt>
                <c:pt idx="4">
                  <c:v>0.4</c:v>
                </c:pt>
                <c:pt idx="5">
                  <c:v>0.75</c:v>
                </c:pt>
                <c:pt idx="6">
                  <c:v>0.3</c:v>
                </c:pt>
                <c:pt idx="7">
                  <c:v>0.9</c:v>
                </c:pt>
                <c:pt idx="8">
                  <c:v>1</c:v>
                </c:pt>
                <c:pt idx="9">
                  <c:v>0.375</c:v>
                </c:pt>
                <c:pt idx="10">
                  <c:v>0.33333333333333331</c:v>
                </c:pt>
                <c:pt idx="11">
                  <c:v>0.5</c:v>
                </c:pt>
                <c:pt idx="12">
                  <c:v>0.2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6.6666666666666666E-2</c:v>
                </c:pt>
                <c:pt idx="29">
                  <c:v>0</c:v>
                </c:pt>
                <c:pt idx="30">
                  <c:v>0.5</c:v>
                </c:pt>
                <c:pt idx="31">
                  <c:v>0.13333333333333333</c:v>
                </c:pt>
                <c:pt idx="32">
                  <c:v>0.2</c:v>
                </c:pt>
                <c:pt idx="33">
                  <c:v>0.8</c:v>
                </c:pt>
                <c:pt idx="34">
                  <c:v>0</c:v>
                </c:pt>
                <c:pt idx="35">
                  <c:v>0.3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DD4-4ABE-8A40-6EBB1C631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Ch6 </a:t>
            </a:r>
            <a:r>
              <a:rPr lang="en-US" sz="1100" baseline="0"/>
              <a:t>Dmax vs Imp/s (3)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26519980719541736"/>
                  <c:y val="-0.1565187407064341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22069045691391087"/>
                  <c:y val="0.3040292120408392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0.1994155208210914"/>
                  <c:y val="0.346962528245920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envelope'!$H$2:$H$37</c:f>
              <c:numCache>
                <c:formatCode>0.00</c:formatCode>
                <c:ptCount val="36"/>
                <c:pt idx="0">
                  <c:v>0.8571428571428571</c:v>
                </c:pt>
                <c:pt idx="1">
                  <c:v>0.2</c:v>
                </c:pt>
                <c:pt idx="2">
                  <c:v>1</c:v>
                </c:pt>
                <c:pt idx="3">
                  <c:v>0.4</c:v>
                </c:pt>
                <c:pt idx="4">
                  <c:v>0.4</c:v>
                </c:pt>
                <c:pt idx="5">
                  <c:v>0.75</c:v>
                </c:pt>
                <c:pt idx="6">
                  <c:v>0.3</c:v>
                </c:pt>
                <c:pt idx="7">
                  <c:v>0.9</c:v>
                </c:pt>
                <c:pt idx="8">
                  <c:v>1</c:v>
                </c:pt>
                <c:pt idx="9">
                  <c:v>0.375</c:v>
                </c:pt>
                <c:pt idx="10">
                  <c:v>0.33333333333333331</c:v>
                </c:pt>
                <c:pt idx="11">
                  <c:v>0.5</c:v>
                </c:pt>
                <c:pt idx="12">
                  <c:v>0.2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6.6666666666666666E-2</c:v>
                </c:pt>
                <c:pt idx="29">
                  <c:v>0</c:v>
                </c:pt>
                <c:pt idx="30">
                  <c:v>0.5</c:v>
                </c:pt>
                <c:pt idx="31">
                  <c:v>0.13333333333333333</c:v>
                </c:pt>
                <c:pt idx="32">
                  <c:v>0.2</c:v>
                </c:pt>
                <c:pt idx="33">
                  <c:v>0.8</c:v>
                </c:pt>
                <c:pt idx="34">
                  <c:v>0</c:v>
                </c:pt>
                <c:pt idx="35">
                  <c:v>0.3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908-4A80-82DF-3DEF83227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Ch6 Imp/s</a:t>
            </a:r>
            <a:endParaRPr lang="en-US" sz="1000"/>
          </a:p>
        </c:rich>
      </c:tx>
      <c:layout>
        <c:manualLayout>
          <c:xMode val="edge"/>
          <c:yMode val="edge"/>
          <c:x val="0.21392399120841601"/>
          <c:y val="7.1234964852688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lineMarker"/>
        <c:varyColors val="0"/>
        <c:ser>
          <c:idx val="0"/>
          <c:order val="0"/>
          <c:tx>
            <c:strRef>
              <c:f>validation!$AO$22</c:f>
              <c:strCache>
                <c:ptCount val="1"/>
                <c:pt idx="0">
                  <c:v>Imp/s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3445744202660945"/>
                  <c:y val="-0.21474916812804476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validation!$AO$23:$AO$32</c:f>
              <c:numCache>
                <c:formatCode>0.00</c:formatCode>
                <c:ptCount val="10"/>
                <c:pt idx="0">
                  <c:v>44.637690361172815</c:v>
                </c:pt>
                <c:pt idx="1">
                  <c:v>24.347826086956523</c:v>
                </c:pt>
                <c:pt idx="2">
                  <c:v>24.347826086956523</c:v>
                </c:pt>
                <c:pt idx="3">
                  <c:v>28.212560970711511</c:v>
                </c:pt>
                <c:pt idx="4">
                  <c:v>5531.594202898551</c:v>
                </c:pt>
                <c:pt idx="5">
                  <c:v>26.763285024154591</c:v>
                </c:pt>
                <c:pt idx="6">
                  <c:v>62.995169082125599</c:v>
                </c:pt>
                <c:pt idx="7">
                  <c:v>24.347826086956523</c:v>
                </c:pt>
                <c:pt idx="8">
                  <c:v>31.59420289855073</c:v>
                </c:pt>
                <c:pt idx="9">
                  <c:v>355.26570048309179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AE-4E26-AE78-1A6101C895C9}"/>
            </c:ext>
          </c:extLst>
        </c:ser>
        <c:ser>
          <c:idx val="1"/>
          <c:order val="1"/>
          <c:tx>
            <c:strRef>
              <c:f>validation!$AP$22</c:f>
              <c:strCache>
                <c:ptCount val="1"/>
                <c:pt idx="0">
                  <c:v>Dmax - Imp/s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0687950177302272"/>
                  <c:y val="-0.2318788840625376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validation!$AP$23:$AP$32</c:f>
              <c:numCache>
                <c:formatCode>0.00</c:formatCode>
                <c:ptCount val="10"/>
                <c:pt idx="0">
                  <c:v>53.097644481017909</c:v>
                </c:pt>
                <c:pt idx="1">
                  <c:v>43.216999999999999</c:v>
                </c:pt>
                <c:pt idx="2">
                  <c:v>43.216999999999999</c:v>
                </c:pt>
                <c:pt idx="3">
                  <c:v>45.099026951175652</c:v>
                </c:pt>
                <c:pt idx="4">
                  <c:v>2725.105</c:v>
                </c:pt>
                <c:pt idx="5">
                  <c:v>44.393266666666662</c:v>
                </c:pt>
                <c:pt idx="6">
                  <c:v>62.037266666666667</c:v>
                </c:pt>
                <c:pt idx="7">
                  <c:v>43.216999999999999</c:v>
                </c:pt>
                <c:pt idx="8">
                  <c:v>46.745799999999996</c:v>
                </c:pt>
                <c:pt idx="9">
                  <c:v>204.3655333333333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1AE-4E26-AE78-1A6101C89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smoothMarker"/>
        <c:varyColors val="0"/>
        <c:ser>
          <c:idx val="4"/>
          <c:order val="2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validation!$B$44:$B$45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validation!$C$44:$C$45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1AE-4E26-AE78-1A6101C89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ayout>
        <c:manualLayout>
          <c:xMode val="edge"/>
          <c:yMode val="edge"/>
          <c:x val="9.4642433766248361E-3"/>
          <c:y val="0.84588534767051127"/>
          <c:w val="0.97427125826455718"/>
          <c:h val="0.136513116109033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</a:t>
            </a:r>
            <a:r>
              <a:rPr lang="en-US" baseline="0"/>
              <a:t> Amplitude by Channel v/s Max Size - Linear </a:t>
            </a:r>
            <a:endParaRPr lang="en-US"/>
          </a:p>
        </c:rich>
      </c:tx>
      <c:layout>
        <c:manualLayout>
          <c:xMode val="edge"/>
          <c:yMode val="edge"/>
          <c:x val="0.12862585664133244"/>
          <c:y val="5.59796955247345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75258319916485"/>
          <c:y val="0.17381898388579803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tx>
            <c:v>ch6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envelope'!$V$2:$V$37</c:f>
              <c:numCache>
                <c:formatCode>General</c:formatCode>
                <c:ptCount val="36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6">
                  <c:v>4.5463397884194803E-2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28">
                  <c:v>2.4016207968108199E-2</c:v>
                </c:pt>
                <c:pt idx="30">
                  <c:v>0.12653412852816501</c:v>
                </c:pt>
                <c:pt idx="31">
                  <c:v>3.4786896818932399E-2</c:v>
                </c:pt>
                <c:pt idx="32">
                  <c:v>5.04335454776157E-2</c:v>
                </c:pt>
                <c:pt idx="33">
                  <c:v>9.6840712231762202E-2</c:v>
                </c:pt>
                <c:pt idx="35">
                  <c:v>6.5041528765672305E-2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4F-4FB0-A26B-5F14CB8882D9}"/>
            </c:ext>
          </c:extLst>
        </c:ser>
        <c:ser>
          <c:idx val="0"/>
          <c:order val="1"/>
          <c:tx>
            <c:v>ch5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envelope'!$W$2:$W$37</c:f>
              <c:numCache>
                <c:formatCode>General</c:formatCode>
                <c:ptCount val="36"/>
                <c:pt idx="0">
                  <c:v>0.41927640072245398</c:v>
                </c:pt>
                <c:pt idx="1">
                  <c:v>0.20568921240475099</c:v>
                </c:pt>
                <c:pt idx="2">
                  <c:v>0.64777887394095901</c:v>
                </c:pt>
                <c:pt idx="3">
                  <c:v>0.35766654738860698</c:v>
                </c:pt>
                <c:pt idx="4">
                  <c:v>0.18739975134602699</c:v>
                </c:pt>
                <c:pt idx="5">
                  <c:v>0.20701756688990799</c:v>
                </c:pt>
                <c:pt idx="6">
                  <c:v>0.25075332859211602</c:v>
                </c:pt>
                <c:pt idx="7">
                  <c:v>0.41172733850827198</c:v>
                </c:pt>
                <c:pt idx="8">
                  <c:v>0.17817418715271299</c:v>
                </c:pt>
                <c:pt idx="9">
                  <c:v>0.382556649604614</c:v>
                </c:pt>
                <c:pt idx="10">
                  <c:v>0.120317698949799</c:v>
                </c:pt>
                <c:pt idx="11">
                  <c:v>0.42153154818843802</c:v>
                </c:pt>
                <c:pt idx="12">
                  <c:v>0.110899540822579</c:v>
                </c:pt>
                <c:pt idx="13">
                  <c:v>8.9924460015169197E-2</c:v>
                </c:pt>
                <c:pt idx="15">
                  <c:v>8.9118018354809397E-2</c:v>
                </c:pt>
                <c:pt idx="16">
                  <c:v>4.3588035533449102E-2</c:v>
                </c:pt>
                <c:pt idx="17">
                  <c:v>4.5264926558627801E-2</c:v>
                </c:pt>
                <c:pt idx="18">
                  <c:v>9.8216553387208499E-2</c:v>
                </c:pt>
                <c:pt idx="19">
                  <c:v>6.4780702531506598E-2</c:v>
                </c:pt>
                <c:pt idx="20">
                  <c:v>4.2501950150423698E-2</c:v>
                </c:pt>
                <c:pt idx="23">
                  <c:v>2.7853920447008899E-2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0.14138370371945599</c:v>
                </c:pt>
                <c:pt idx="28">
                  <c:v>9.6064831872432796E-2</c:v>
                </c:pt>
                <c:pt idx="29">
                  <c:v>7.7688485677371896E-2</c:v>
                </c:pt>
                <c:pt idx="30">
                  <c:v>0.50613651411266203</c:v>
                </c:pt>
                <c:pt idx="31">
                  <c:v>0.206011803894672</c:v>
                </c:pt>
                <c:pt idx="32">
                  <c:v>0.201734181910463</c:v>
                </c:pt>
                <c:pt idx="33">
                  <c:v>0.38736284892704798</c:v>
                </c:pt>
                <c:pt idx="34">
                  <c:v>0.166679896852063</c:v>
                </c:pt>
                <c:pt idx="35">
                  <c:v>0.260166115062689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04F-4FB0-A26B-5F14CB8882D9}"/>
            </c:ext>
          </c:extLst>
        </c:ser>
        <c:ser>
          <c:idx val="2"/>
          <c:order val="2"/>
          <c:tx>
            <c:v>ch4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envelope'!$X$2:$X$37</c:f>
              <c:numCache>
                <c:formatCode>General</c:formatCode>
                <c:ptCount val="36"/>
                <c:pt idx="0">
                  <c:v>1.6771056028898099</c:v>
                </c:pt>
                <c:pt idx="1">
                  <c:v>0.82275684961900697</c:v>
                </c:pt>
                <c:pt idx="2">
                  <c:v>2.5911154957638298</c:v>
                </c:pt>
                <c:pt idx="3">
                  <c:v>1.4306661895544299</c:v>
                </c:pt>
                <c:pt idx="4">
                  <c:v>0.74959900538411095</c:v>
                </c:pt>
                <c:pt idx="5">
                  <c:v>0.82807026755963298</c:v>
                </c:pt>
                <c:pt idx="6">
                  <c:v>1.0030133143684601</c:v>
                </c:pt>
                <c:pt idx="7">
                  <c:v>1.6469093540330899</c:v>
                </c:pt>
                <c:pt idx="8">
                  <c:v>0.71269674861085297</c:v>
                </c:pt>
                <c:pt idx="9">
                  <c:v>1.53022659841845</c:v>
                </c:pt>
                <c:pt idx="10">
                  <c:v>0.48127079579919901</c:v>
                </c:pt>
                <c:pt idx="11">
                  <c:v>1.6861261927537501</c:v>
                </c:pt>
                <c:pt idx="12">
                  <c:v>0.44359816329031698</c:v>
                </c:pt>
                <c:pt idx="13">
                  <c:v>0.35969784006067601</c:v>
                </c:pt>
                <c:pt idx="14">
                  <c:v>0.175317651341791</c:v>
                </c:pt>
                <c:pt idx="15">
                  <c:v>0.35647207341923698</c:v>
                </c:pt>
                <c:pt idx="16">
                  <c:v>0.17435214213379599</c:v>
                </c:pt>
                <c:pt idx="17">
                  <c:v>0.18105970623451101</c:v>
                </c:pt>
                <c:pt idx="18">
                  <c:v>0.392866213548834</c:v>
                </c:pt>
                <c:pt idx="19">
                  <c:v>0.259122810126026</c:v>
                </c:pt>
                <c:pt idx="20">
                  <c:v>0.17000780060169399</c:v>
                </c:pt>
                <c:pt idx="21">
                  <c:v>8.56390953438151E-2</c:v>
                </c:pt>
                <c:pt idx="22">
                  <c:v>8.5713069200916994E-2</c:v>
                </c:pt>
                <c:pt idx="23">
                  <c:v>0.111415681788035</c:v>
                </c:pt>
                <c:pt idx="24">
                  <c:v>0.22405081109390301</c:v>
                </c:pt>
                <c:pt idx="25">
                  <c:v>0.174252813606527</c:v>
                </c:pt>
                <c:pt idx="26">
                  <c:v>0.371166958187158</c:v>
                </c:pt>
                <c:pt idx="27">
                  <c:v>0.56553481487782498</c:v>
                </c:pt>
                <c:pt idx="28">
                  <c:v>0.38425932748973102</c:v>
                </c:pt>
                <c:pt idx="29">
                  <c:v>0.31075394270948697</c:v>
                </c:pt>
                <c:pt idx="30">
                  <c:v>2.0245460564506401</c:v>
                </c:pt>
                <c:pt idx="31">
                  <c:v>0.82404721557868799</c:v>
                </c:pt>
                <c:pt idx="32">
                  <c:v>0.80693672764185198</c:v>
                </c:pt>
                <c:pt idx="33">
                  <c:v>1.5494513957081899</c:v>
                </c:pt>
                <c:pt idx="34">
                  <c:v>0.66671958740825399</c:v>
                </c:pt>
                <c:pt idx="35">
                  <c:v>1.04066446025075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04F-4FB0-A26B-5F14CB8882D9}"/>
            </c:ext>
          </c:extLst>
        </c:ser>
        <c:ser>
          <c:idx val="3"/>
          <c:order val="3"/>
          <c:tx>
            <c:v>ch3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envelope'!$Y$2:$Y$37</c:f>
              <c:numCache>
                <c:formatCode>General</c:formatCode>
                <c:ptCount val="36"/>
                <c:pt idx="0">
                  <c:v>6.7084224115592699</c:v>
                </c:pt>
                <c:pt idx="1">
                  <c:v>3.2910273984760301</c:v>
                </c:pt>
                <c:pt idx="2">
                  <c:v>10.3644619830553</c:v>
                </c:pt>
                <c:pt idx="3">
                  <c:v>5.7226647582177197</c:v>
                </c:pt>
                <c:pt idx="4">
                  <c:v>2.9983960215364398</c:v>
                </c:pt>
                <c:pt idx="5">
                  <c:v>3.3122810702385301</c:v>
                </c:pt>
                <c:pt idx="6">
                  <c:v>4.0120532574738599</c:v>
                </c:pt>
                <c:pt idx="7">
                  <c:v>6.5876374161323596</c:v>
                </c:pt>
                <c:pt idx="8">
                  <c:v>2.8507869944434101</c:v>
                </c:pt>
                <c:pt idx="9">
                  <c:v>6.1209063936738302</c:v>
                </c:pt>
                <c:pt idx="10">
                  <c:v>1.9250831831967901</c:v>
                </c:pt>
                <c:pt idx="11">
                  <c:v>6.7445047710150003</c:v>
                </c:pt>
                <c:pt idx="12">
                  <c:v>1.7743926531612599</c:v>
                </c:pt>
                <c:pt idx="13">
                  <c:v>1.4387913602427</c:v>
                </c:pt>
                <c:pt idx="14">
                  <c:v>0.70127060536716501</c:v>
                </c:pt>
                <c:pt idx="15">
                  <c:v>1.4258882936769499</c:v>
                </c:pt>
                <c:pt idx="16">
                  <c:v>0.69740856853518496</c:v>
                </c:pt>
                <c:pt idx="17">
                  <c:v>0.72423882493804503</c:v>
                </c:pt>
                <c:pt idx="18">
                  <c:v>1.57146485419533</c:v>
                </c:pt>
                <c:pt idx="19">
                  <c:v>1.0364912405041</c:v>
                </c:pt>
                <c:pt idx="20">
                  <c:v>0.68003120240677895</c:v>
                </c:pt>
                <c:pt idx="21">
                  <c:v>0.34626724490363803</c:v>
                </c:pt>
                <c:pt idx="22">
                  <c:v>0.346074787752647</c:v>
                </c:pt>
                <c:pt idx="23">
                  <c:v>0.445662727152142</c:v>
                </c:pt>
                <c:pt idx="24">
                  <c:v>0.89620324437561405</c:v>
                </c:pt>
                <c:pt idx="25">
                  <c:v>0.69701125442610801</c:v>
                </c:pt>
                <c:pt idx="26">
                  <c:v>1.48466783274863</c:v>
                </c:pt>
                <c:pt idx="27">
                  <c:v>2.2621392595112999</c:v>
                </c:pt>
                <c:pt idx="28">
                  <c:v>1.5370373099589201</c:v>
                </c:pt>
                <c:pt idx="29">
                  <c:v>1.2430157708379499</c:v>
                </c:pt>
                <c:pt idx="30">
                  <c:v>8.0981842258025907</c:v>
                </c:pt>
                <c:pt idx="31">
                  <c:v>3.2961888623147502</c:v>
                </c:pt>
                <c:pt idx="32">
                  <c:v>3.2277469105674101</c:v>
                </c:pt>
                <c:pt idx="33">
                  <c:v>6.19780558283278</c:v>
                </c:pt>
                <c:pt idx="34">
                  <c:v>2.6668783496330102</c:v>
                </c:pt>
                <c:pt idx="35">
                  <c:v>4.1626578410030204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04F-4FB0-A26B-5F14CB8882D9}"/>
            </c:ext>
          </c:extLst>
        </c:ser>
        <c:ser>
          <c:idx val="4"/>
          <c:order val="4"/>
          <c:tx>
            <c:v>ch2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envelope'!$Z$2:$Z$37</c:f>
              <c:numCache>
                <c:formatCode>General</c:formatCode>
                <c:ptCount val="36"/>
                <c:pt idx="0">
                  <c:v>26.833689646237001</c:v>
                </c:pt>
                <c:pt idx="1">
                  <c:v>13.164109593904101</c:v>
                </c:pt>
                <c:pt idx="2">
                  <c:v>41.457847932221398</c:v>
                </c:pt>
                <c:pt idx="3">
                  <c:v>22.890659032870801</c:v>
                </c:pt>
                <c:pt idx="4">
                  <c:v>11.993584086145701</c:v>
                </c:pt>
                <c:pt idx="5">
                  <c:v>13.249124280954099</c:v>
                </c:pt>
                <c:pt idx="6">
                  <c:v>16.0482130298954</c:v>
                </c:pt>
                <c:pt idx="7">
                  <c:v>26.3505496645294</c:v>
                </c:pt>
                <c:pt idx="8">
                  <c:v>11.4031479777736</c:v>
                </c:pt>
                <c:pt idx="9">
                  <c:v>24.483625574695299</c:v>
                </c:pt>
                <c:pt idx="10">
                  <c:v>7.7003327327871904</c:v>
                </c:pt>
                <c:pt idx="11">
                  <c:v>26.978019084060001</c:v>
                </c:pt>
                <c:pt idx="12">
                  <c:v>7.0975706126450699</c:v>
                </c:pt>
                <c:pt idx="13">
                  <c:v>5.7551654409708304</c:v>
                </c:pt>
                <c:pt idx="14">
                  <c:v>2.80508242146866</c:v>
                </c:pt>
                <c:pt idx="15">
                  <c:v>5.7035531747077997</c:v>
                </c:pt>
                <c:pt idx="16">
                  <c:v>2.7896342741407398</c:v>
                </c:pt>
                <c:pt idx="17">
                  <c:v>2.8969552997521801</c:v>
                </c:pt>
                <c:pt idx="18">
                  <c:v>6.2858594167813404</c:v>
                </c:pt>
                <c:pt idx="19">
                  <c:v>4.1459649620164196</c:v>
                </c:pt>
                <c:pt idx="20">
                  <c:v>2.72012480962711</c:v>
                </c:pt>
                <c:pt idx="21">
                  <c:v>1.3850689796145501</c:v>
                </c:pt>
                <c:pt idx="22">
                  <c:v>1.38429915101059</c:v>
                </c:pt>
                <c:pt idx="23">
                  <c:v>1.78265090860857</c:v>
                </c:pt>
                <c:pt idx="24">
                  <c:v>3.58481297750245</c:v>
                </c:pt>
                <c:pt idx="25">
                  <c:v>2.7880450177044298</c:v>
                </c:pt>
                <c:pt idx="26">
                  <c:v>5.9386713309945298</c:v>
                </c:pt>
                <c:pt idx="27">
                  <c:v>9.0485570380452103</c:v>
                </c:pt>
                <c:pt idx="28">
                  <c:v>6.1481492398356998</c:v>
                </c:pt>
                <c:pt idx="29">
                  <c:v>4.9720630833517996</c:v>
                </c:pt>
                <c:pt idx="30">
                  <c:v>32.392736903210299</c:v>
                </c:pt>
                <c:pt idx="31">
                  <c:v>13.184755449259001</c:v>
                </c:pt>
                <c:pt idx="32">
                  <c:v>12.9109876422696</c:v>
                </c:pt>
                <c:pt idx="33">
                  <c:v>24.791222331331099</c:v>
                </c:pt>
                <c:pt idx="34">
                  <c:v>10.667513398532</c:v>
                </c:pt>
                <c:pt idx="35">
                  <c:v>16.650631364012099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04F-4FB0-A26B-5F14CB8882D9}"/>
            </c:ext>
          </c:extLst>
        </c:ser>
        <c:ser>
          <c:idx val="5"/>
          <c:order val="5"/>
          <c:tx>
            <c:v>ch1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envelope'!$AA$2:$AA$37</c:f>
              <c:numCache>
                <c:formatCode>General</c:formatCode>
                <c:ptCount val="36"/>
                <c:pt idx="0">
                  <c:v>107.33475858494801</c:v>
                </c:pt>
                <c:pt idx="1">
                  <c:v>52.656438375616403</c:v>
                </c:pt>
                <c:pt idx="2">
                  <c:v>165.831391728885</c:v>
                </c:pt>
                <c:pt idx="3">
                  <c:v>91.562636131483501</c:v>
                </c:pt>
                <c:pt idx="4">
                  <c:v>47.974336344583101</c:v>
                </c:pt>
                <c:pt idx="5">
                  <c:v>52.996497123816503</c:v>
                </c:pt>
                <c:pt idx="6">
                  <c:v>64.192852119581701</c:v>
                </c:pt>
                <c:pt idx="7">
                  <c:v>105.402198658117</c:v>
                </c:pt>
                <c:pt idx="8">
                  <c:v>45.612591911094597</c:v>
                </c:pt>
                <c:pt idx="9">
                  <c:v>97.934502298781396</c:v>
                </c:pt>
                <c:pt idx="10">
                  <c:v>30.801330931148701</c:v>
                </c:pt>
                <c:pt idx="11">
                  <c:v>107.91207633624001</c:v>
                </c:pt>
                <c:pt idx="12">
                  <c:v>28.390282450580202</c:v>
                </c:pt>
                <c:pt idx="13">
                  <c:v>23.0206617638833</c:v>
                </c:pt>
                <c:pt idx="14">
                  <c:v>11.220329685874599</c:v>
                </c:pt>
                <c:pt idx="15">
                  <c:v>22.814212698831199</c:v>
                </c:pt>
                <c:pt idx="16">
                  <c:v>11.158537096562901</c:v>
                </c:pt>
                <c:pt idx="17">
                  <c:v>11.587821199008699</c:v>
                </c:pt>
                <c:pt idx="18">
                  <c:v>25.143437667125301</c:v>
                </c:pt>
                <c:pt idx="19">
                  <c:v>16.5838598480656</c:v>
                </c:pt>
                <c:pt idx="20">
                  <c:v>10.880499238508399</c:v>
                </c:pt>
                <c:pt idx="21">
                  <c:v>5.5402759184582102</c:v>
                </c:pt>
                <c:pt idx="22">
                  <c:v>5.5371966040423599</c:v>
                </c:pt>
                <c:pt idx="23">
                  <c:v>7.13060363443428</c:v>
                </c:pt>
                <c:pt idx="24">
                  <c:v>14.3392519100098</c:v>
                </c:pt>
                <c:pt idx="25">
                  <c:v>11.1521800708177</c:v>
                </c:pt>
                <c:pt idx="26">
                  <c:v>23.754685323978102</c:v>
                </c:pt>
                <c:pt idx="27">
                  <c:v>36.194228152180798</c:v>
                </c:pt>
                <c:pt idx="28">
                  <c:v>24.592596959342799</c:v>
                </c:pt>
                <c:pt idx="29">
                  <c:v>19.888252333407198</c:v>
                </c:pt>
                <c:pt idx="30">
                  <c:v>129.570947612841</c:v>
                </c:pt>
                <c:pt idx="31">
                  <c:v>52.739021797036003</c:v>
                </c:pt>
                <c:pt idx="32">
                  <c:v>51.643950569078498</c:v>
                </c:pt>
                <c:pt idx="33">
                  <c:v>99.164889325324495</c:v>
                </c:pt>
                <c:pt idx="34">
                  <c:v>42.670053594128298</c:v>
                </c:pt>
                <c:pt idx="35">
                  <c:v>66.602525456048397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04F-4FB0-A26B-5F14CB888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</a:t>
            </a:r>
            <a:r>
              <a:rPr lang="en-US" baseline="0"/>
              <a:t> Amplitude by Channel v/s Max Size - Power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3382520993456"/>
          <c:y val="0.1598240740659114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tx>
            <c:v>ch6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envelope'!$V$2:$V$37</c:f>
              <c:numCache>
                <c:formatCode>General</c:formatCode>
                <c:ptCount val="36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6">
                  <c:v>4.5463397884194803E-2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28">
                  <c:v>2.4016207968108199E-2</c:v>
                </c:pt>
                <c:pt idx="30">
                  <c:v>0.12653412852816501</c:v>
                </c:pt>
                <c:pt idx="31">
                  <c:v>3.4786896818932399E-2</c:v>
                </c:pt>
                <c:pt idx="32">
                  <c:v>5.04335454776157E-2</c:v>
                </c:pt>
                <c:pt idx="33">
                  <c:v>9.6840712231762202E-2</c:v>
                </c:pt>
                <c:pt idx="35">
                  <c:v>6.5041528765672305E-2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C9-42B1-9990-6E2E7D02ED63}"/>
            </c:ext>
          </c:extLst>
        </c:ser>
        <c:ser>
          <c:idx val="0"/>
          <c:order val="1"/>
          <c:tx>
            <c:v>ch5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envelope'!$W$2:$W$37</c:f>
              <c:numCache>
                <c:formatCode>General</c:formatCode>
                <c:ptCount val="36"/>
                <c:pt idx="0">
                  <c:v>0.41927640072245398</c:v>
                </c:pt>
                <c:pt idx="1">
                  <c:v>0.20568921240475099</c:v>
                </c:pt>
                <c:pt idx="2">
                  <c:v>0.64777887394095901</c:v>
                </c:pt>
                <c:pt idx="3">
                  <c:v>0.35766654738860698</c:v>
                </c:pt>
                <c:pt idx="4">
                  <c:v>0.18739975134602699</c:v>
                </c:pt>
                <c:pt idx="5">
                  <c:v>0.20701756688990799</c:v>
                </c:pt>
                <c:pt idx="6">
                  <c:v>0.25075332859211602</c:v>
                </c:pt>
                <c:pt idx="7">
                  <c:v>0.41172733850827198</c:v>
                </c:pt>
                <c:pt idx="8">
                  <c:v>0.17817418715271299</c:v>
                </c:pt>
                <c:pt idx="9">
                  <c:v>0.382556649604614</c:v>
                </c:pt>
                <c:pt idx="10">
                  <c:v>0.120317698949799</c:v>
                </c:pt>
                <c:pt idx="11">
                  <c:v>0.42153154818843802</c:v>
                </c:pt>
                <c:pt idx="12">
                  <c:v>0.110899540822579</c:v>
                </c:pt>
                <c:pt idx="13">
                  <c:v>8.9924460015169197E-2</c:v>
                </c:pt>
                <c:pt idx="15">
                  <c:v>8.9118018354809397E-2</c:v>
                </c:pt>
                <c:pt idx="16">
                  <c:v>4.3588035533449102E-2</c:v>
                </c:pt>
                <c:pt idx="17">
                  <c:v>4.5264926558627801E-2</c:v>
                </c:pt>
                <c:pt idx="18">
                  <c:v>9.8216553387208499E-2</c:v>
                </c:pt>
                <c:pt idx="19">
                  <c:v>6.4780702531506598E-2</c:v>
                </c:pt>
                <c:pt idx="20">
                  <c:v>4.2501950150423698E-2</c:v>
                </c:pt>
                <c:pt idx="23">
                  <c:v>2.7853920447008899E-2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0.14138370371945599</c:v>
                </c:pt>
                <c:pt idx="28">
                  <c:v>9.6064831872432796E-2</c:v>
                </c:pt>
                <c:pt idx="29">
                  <c:v>7.7688485677371896E-2</c:v>
                </c:pt>
                <c:pt idx="30">
                  <c:v>0.50613651411266203</c:v>
                </c:pt>
                <c:pt idx="31">
                  <c:v>0.206011803894672</c:v>
                </c:pt>
                <c:pt idx="32">
                  <c:v>0.201734181910463</c:v>
                </c:pt>
                <c:pt idx="33">
                  <c:v>0.38736284892704798</c:v>
                </c:pt>
                <c:pt idx="34">
                  <c:v>0.166679896852063</c:v>
                </c:pt>
                <c:pt idx="35">
                  <c:v>0.260166115062689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0C9-42B1-9990-6E2E7D02ED63}"/>
            </c:ext>
          </c:extLst>
        </c:ser>
        <c:ser>
          <c:idx val="2"/>
          <c:order val="2"/>
          <c:tx>
            <c:v>ch4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envelope'!$X$2:$X$37</c:f>
              <c:numCache>
                <c:formatCode>General</c:formatCode>
                <c:ptCount val="36"/>
                <c:pt idx="0">
                  <c:v>1.6771056028898099</c:v>
                </c:pt>
                <c:pt idx="1">
                  <c:v>0.82275684961900697</c:v>
                </c:pt>
                <c:pt idx="2">
                  <c:v>2.5911154957638298</c:v>
                </c:pt>
                <c:pt idx="3">
                  <c:v>1.4306661895544299</c:v>
                </c:pt>
                <c:pt idx="4">
                  <c:v>0.74959900538411095</c:v>
                </c:pt>
                <c:pt idx="5">
                  <c:v>0.82807026755963298</c:v>
                </c:pt>
                <c:pt idx="6">
                  <c:v>1.0030133143684601</c:v>
                </c:pt>
                <c:pt idx="7">
                  <c:v>1.6469093540330899</c:v>
                </c:pt>
                <c:pt idx="8">
                  <c:v>0.71269674861085297</c:v>
                </c:pt>
                <c:pt idx="9">
                  <c:v>1.53022659841845</c:v>
                </c:pt>
                <c:pt idx="10">
                  <c:v>0.48127079579919901</c:v>
                </c:pt>
                <c:pt idx="11">
                  <c:v>1.6861261927537501</c:v>
                </c:pt>
                <c:pt idx="12">
                  <c:v>0.44359816329031698</c:v>
                </c:pt>
                <c:pt idx="13">
                  <c:v>0.35969784006067601</c:v>
                </c:pt>
                <c:pt idx="14">
                  <c:v>0.175317651341791</c:v>
                </c:pt>
                <c:pt idx="15">
                  <c:v>0.35647207341923698</c:v>
                </c:pt>
                <c:pt idx="16">
                  <c:v>0.17435214213379599</c:v>
                </c:pt>
                <c:pt idx="17">
                  <c:v>0.18105970623451101</c:v>
                </c:pt>
                <c:pt idx="18">
                  <c:v>0.392866213548834</c:v>
                </c:pt>
                <c:pt idx="19">
                  <c:v>0.259122810126026</c:v>
                </c:pt>
                <c:pt idx="20">
                  <c:v>0.17000780060169399</c:v>
                </c:pt>
                <c:pt idx="21">
                  <c:v>8.56390953438151E-2</c:v>
                </c:pt>
                <c:pt idx="22">
                  <c:v>8.5713069200916994E-2</c:v>
                </c:pt>
                <c:pt idx="23">
                  <c:v>0.111415681788035</c:v>
                </c:pt>
                <c:pt idx="24">
                  <c:v>0.22405081109390301</c:v>
                </c:pt>
                <c:pt idx="25">
                  <c:v>0.174252813606527</c:v>
                </c:pt>
                <c:pt idx="26">
                  <c:v>0.371166958187158</c:v>
                </c:pt>
                <c:pt idx="27">
                  <c:v>0.56553481487782498</c:v>
                </c:pt>
                <c:pt idx="28">
                  <c:v>0.38425932748973102</c:v>
                </c:pt>
                <c:pt idx="29">
                  <c:v>0.31075394270948697</c:v>
                </c:pt>
                <c:pt idx="30">
                  <c:v>2.0245460564506401</c:v>
                </c:pt>
                <c:pt idx="31">
                  <c:v>0.82404721557868799</c:v>
                </c:pt>
                <c:pt idx="32">
                  <c:v>0.80693672764185198</c:v>
                </c:pt>
                <c:pt idx="33">
                  <c:v>1.5494513957081899</c:v>
                </c:pt>
                <c:pt idx="34">
                  <c:v>0.66671958740825399</c:v>
                </c:pt>
                <c:pt idx="35">
                  <c:v>1.04066446025075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0C9-42B1-9990-6E2E7D02ED63}"/>
            </c:ext>
          </c:extLst>
        </c:ser>
        <c:ser>
          <c:idx val="3"/>
          <c:order val="3"/>
          <c:tx>
            <c:v>ch3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envelope'!$Y$2:$Y$37</c:f>
              <c:numCache>
                <c:formatCode>General</c:formatCode>
                <c:ptCount val="36"/>
                <c:pt idx="0">
                  <c:v>6.7084224115592699</c:v>
                </c:pt>
                <c:pt idx="1">
                  <c:v>3.2910273984760301</c:v>
                </c:pt>
                <c:pt idx="2">
                  <c:v>10.3644619830553</c:v>
                </c:pt>
                <c:pt idx="3">
                  <c:v>5.7226647582177197</c:v>
                </c:pt>
                <c:pt idx="4">
                  <c:v>2.9983960215364398</c:v>
                </c:pt>
                <c:pt idx="5">
                  <c:v>3.3122810702385301</c:v>
                </c:pt>
                <c:pt idx="6">
                  <c:v>4.0120532574738599</c:v>
                </c:pt>
                <c:pt idx="7">
                  <c:v>6.5876374161323596</c:v>
                </c:pt>
                <c:pt idx="8">
                  <c:v>2.8507869944434101</c:v>
                </c:pt>
                <c:pt idx="9">
                  <c:v>6.1209063936738302</c:v>
                </c:pt>
                <c:pt idx="10">
                  <c:v>1.9250831831967901</c:v>
                </c:pt>
                <c:pt idx="11">
                  <c:v>6.7445047710150003</c:v>
                </c:pt>
                <c:pt idx="12">
                  <c:v>1.7743926531612599</c:v>
                </c:pt>
                <c:pt idx="13">
                  <c:v>1.4387913602427</c:v>
                </c:pt>
                <c:pt idx="14">
                  <c:v>0.70127060536716501</c:v>
                </c:pt>
                <c:pt idx="15">
                  <c:v>1.4258882936769499</c:v>
                </c:pt>
                <c:pt idx="16">
                  <c:v>0.69740856853518496</c:v>
                </c:pt>
                <c:pt idx="17">
                  <c:v>0.72423882493804503</c:v>
                </c:pt>
                <c:pt idx="18">
                  <c:v>1.57146485419533</c:v>
                </c:pt>
                <c:pt idx="19">
                  <c:v>1.0364912405041</c:v>
                </c:pt>
                <c:pt idx="20">
                  <c:v>0.68003120240677895</c:v>
                </c:pt>
                <c:pt idx="21">
                  <c:v>0.34626724490363803</c:v>
                </c:pt>
                <c:pt idx="22">
                  <c:v>0.346074787752647</c:v>
                </c:pt>
                <c:pt idx="23">
                  <c:v>0.445662727152142</c:v>
                </c:pt>
                <c:pt idx="24">
                  <c:v>0.89620324437561405</c:v>
                </c:pt>
                <c:pt idx="25">
                  <c:v>0.69701125442610801</c:v>
                </c:pt>
                <c:pt idx="26">
                  <c:v>1.48466783274863</c:v>
                </c:pt>
                <c:pt idx="27">
                  <c:v>2.2621392595112999</c:v>
                </c:pt>
                <c:pt idx="28">
                  <c:v>1.5370373099589201</c:v>
                </c:pt>
                <c:pt idx="29">
                  <c:v>1.2430157708379499</c:v>
                </c:pt>
                <c:pt idx="30">
                  <c:v>8.0981842258025907</c:v>
                </c:pt>
                <c:pt idx="31">
                  <c:v>3.2961888623147502</c:v>
                </c:pt>
                <c:pt idx="32">
                  <c:v>3.2277469105674101</c:v>
                </c:pt>
                <c:pt idx="33">
                  <c:v>6.19780558283278</c:v>
                </c:pt>
                <c:pt idx="34">
                  <c:v>2.6668783496330102</c:v>
                </c:pt>
                <c:pt idx="35">
                  <c:v>4.1626578410030204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0C9-42B1-9990-6E2E7D02ED63}"/>
            </c:ext>
          </c:extLst>
        </c:ser>
        <c:ser>
          <c:idx val="4"/>
          <c:order val="4"/>
          <c:tx>
            <c:v>ch2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envelope'!$Z$2:$Z$37</c:f>
              <c:numCache>
                <c:formatCode>General</c:formatCode>
                <c:ptCount val="36"/>
                <c:pt idx="0">
                  <c:v>26.833689646237001</c:v>
                </c:pt>
                <c:pt idx="1">
                  <c:v>13.164109593904101</c:v>
                </c:pt>
                <c:pt idx="2">
                  <c:v>41.457847932221398</c:v>
                </c:pt>
                <c:pt idx="3">
                  <c:v>22.890659032870801</c:v>
                </c:pt>
                <c:pt idx="4">
                  <c:v>11.993584086145701</c:v>
                </c:pt>
                <c:pt idx="5">
                  <c:v>13.249124280954099</c:v>
                </c:pt>
                <c:pt idx="6">
                  <c:v>16.0482130298954</c:v>
                </c:pt>
                <c:pt idx="7">
                  <c:v>26.3505496645294</c:v>
                </c:pt>
                <c:pt idx="8">
                  <c:v>11.4031479777736</c:v>
                </c:pt>
                <c:pt idx="9">
                  <c:v>24.483625574695299</c:v>
                </c:pt>
                <c:pt idx="10">
                  <c:v>7.7003327327871904</c:v>
                </c:pt>
                <c:pt idx="11">
                  <c:v>26.978019084060001</c:v>
                </c:pt>
                <c:pt idx="12">
                  <c:v>7.0975706126450699</c:v>
                </c:pt>
                <c:pt idx="13">
                  <c:v>5.7551654409708304</c:v>
                </c:pt>
                <c:pt idx="14">
                  <c:v>2.80508242146866</c:v>
                </c:pt>
                <c:pt idx="15">
                  <c:v>5.7035531747077997</c:v>
                </c:pt>
                <c:pt idx="16">
                  <c:v>2.7896342741407398</c:v>
                </c:pt>
                <c:pt idx="17">
                  <c:v>2.8969552997521801</c:v>
                </c:pt>
                <c:pt idx="18">
                  <c:v>6.2858594167813404</c:v>
                </c:pt>
                <c:pt idx="19">
                  <c:v>4.1459649620164196</c:v>
                </c:pt>
                <c:pt idx="20">
                  <c:v>2.72012480962711</c:v>
                </c:pt>
                <c:pt idx="21">
                  <c:v>1.3850689796145501</c:v>
                </c:pt>
                <c:pt idx="22">
                  <c:v>1.38429915101059</c:v>
                </c:pt>
                <c:pt idx="23">
                  <c:v>1.78265090860857</c:v>
                </c:pt>
                <c:pt idx="24">
                  <c:v>3.58481297750245</c:v>
                </c:pt>
                <c:pt idx="25">
                  <c:v>2.7880450177044298</c:v>
                </c:pt>
                <c:pt idx="26">
                  <c:v>5.9386713309945298</c:v>
                </c:pt>
                <c:pt idx="27">
                  <c:v>9.0485570380452103</c:v>
                </c:pt>
                <c:pt idx="28">
                  <c:v>6.1481492398356998</c:v>
                </c:pt>
                <c:pt idx="29">
                  <c:v>4.9720630833517996</c:v>
                </c:pt>
                <c:pt idx="30">
                  <c:v>32.392736903210299</c:v>
                </c:pt>
                <c:pt idx="31">
                  <c:v>13.184755449259001</c:v>
                </c:pt>
                <c:pt idx="32">
                  <c:v>12.9109876422696</c:v>
                </c:pt>
                <c:pt idx="33">
                  <c:v>24.791222331331099</c:v>
                </c:pt>
                <c:pt idx="34">
                  <c:v>10.667513398532</c:v>
                </c:pt>
                <c:pt idx="35">
                  <c:v>16.650631364012099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0C9-42B1-9990-6E2E7D02ED63}"/>
            </c:ext>
          </c:extLst>
        </c:ser>
        <c:ser>
          <c:idx val="5"/>
          <c:order val="5"/>
          <c:tx>
            <c:v>ch1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envelope'!$AA$2:$AA$37</c:f>
              <c:numCache>
                <c:formatCode>General</c:formatCode>
                <c:ptCount val="36"/>
                <c:pt idx="0">
                  <c:v>107.33475858494801</c:v>
                </c:pt>
                <c:pt idx="1">
                  <c:v>52.656438375616403</c:v>
                </c:pt>
                <c:pt idx="2">
                  <c:v>165.831391728885</c:v>
                </c:pt>
                <c:pt idx="3">
                  <c:v>91.562636131483501</c:v>
                </c:pt>
                <c:pt idx="4">
                  <c:v>47.974336344583101</c:v>
                </c:pt>
                <c:pt idx="5">
                  <c:v>52.996497123816503</c:v>
                </c:pt>
                <c:pt idx="6">
                  <c:v>64.192852119581701</c:v>
                </c:pt>
                <c:pt idx="7">
                  <c:v>105.402198658117</c:v>
                </c:pt>
                <c:pt idx="8">
                  <c:v>45.612591911094597</c:v>
                </c:pt>
                <c:pt idx="9">
                  <c:v>97.934502298781396</c:v>
                </c:pt>
                <c:pt idx="10">
                  <c:v>30.801330931148701</c:v>
                </c:pt>
                <c:pt idx="11">
                  <c:v>107.91207633624001</c:v>
                </c:pt>
                <c:pt idx="12">
                  <c:v>28.390282450580202</c:v>
                </c:pt>
                <c:pt idx="13">
                  <c:v>23.0206617638833</c:v>
                </c:pt>
                <c:pt idx="14">
                  <c:v>11.220329685874599</c:v>
                </c:pt>
                <c:pt idx="15">
                  <c:v>22.814212698831199</c:v>
                </c:pt>
                <c:pt idx="16">
                  <c:v>11.158537096562901</c:v>
                </c:pt>
                <c:pt idx="17">
                  <c:v>11.587821199008699</c:v>
                </c:pt>
                <c:pt idx="18">
                  <c:v>25.143437667125301</c:v>
                </c:pt>
                <c:pt idx="19">
                  <c:v>16.5838598480656</c:v>
                </c:pt>
                <c:pt idx="20">
                  <c:v>10.880499238508399</c:v>
                </c:pt>
                <c:pt idx="21">
                  <c:v>5.5402759184582102</c:v>
                </c:pt>
                <c:pt idx="22">
                  <c:v>5.5371966040423599</c:v>
                </c:pt>
                <c:pt idx="23">
                  <c:v>7.13060363443428</c:v>
                </c:pt>
                <c:pt idx="24">
                  <c:v>14.3392519100098</c:v>
                </c:pt>
                <c:pt idx="25">
                  <c:v>11.1521800708177</c:v>
                </c:pt>
                <c:pt idx="26">
                  <c:v>23.754685323978102</c:v>
                </c:pt>
                <c:pt idx="27">
                  <c:v>36.194228152180798</c:v>
                </c:pt>
                <c:pt idx="28">
                  <c:v>24.592596959342799</c:v>
                </c:pt>
                <c:pt idx="29">
                  <c:v>19.888252333407198</c:v>
                </c:pt>
                <c:pt idx="30">
                  <c:v>129.570947612841</c:v>
                </c:pt>
                <c:pt idx="31">
                  <c:v>52.739021797036003</c:v>
                </c:pt>
                <c:pt idx="32">
                  <c:v>51.643950569078498</c:v>
                </c:pt>
                <c:pt idx="33">
                  <c:v>99.164889325324495</c:v>
                </c:pt>
                <c:pt idx="34">
                  <c:v>42.670053594128298</c:v>
                </c:pt>
                <c:pt idx="35">
                  <c:v>66.602525456048397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0C9-42B1-9990-6E2E7D02E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Linear Max Amp</a:t>
            </a:r>
            <a:endParaRPr lang="en-US" sz="1000"/>
          </a:p>
        </c:rich>
      </c:tx>
      <c:layout>
        <c:manualLayout>
          <c:xMode val="edge"/>
          <c:yMode val="edge"/>
          <c:x val="0.15338224478320475"/>
          <c:y val="2.93320443511068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92924053061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6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validation!$B$44:$B$45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validation!$C$44:$C$45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E25-43BD-B4CB-7FC317EF7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3"/>
          <c:order val="0"/>
          <c:tx>
            <c:strRef>
              <c:f>validation!$AW$22</c:f>
              <c:strCache>
                <c:ptCount val="1"/>
                <c:pt idx="0">
                  <c:v>Ch1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3931868473974012"/>
                  <c:y val="-0.26480237163931153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validation!$AU$23:$AU$32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validation!$AW$23:$AW$32</c:f>
              <c:numCache>
                <c:formatCode>0.00</c:formatCode>
                <c:ptCount val="10"/>
                <c:pt idx="0">
                  <c:v>97.695476093415863</c:v>
                </c:pt>
                <c:pt idx="1">
                  <c:v>42.55860423110196</c:v>
                </c:pt>
                <c:pt idx="2">
                  <c:v>36.351979788789492</c:v>
                </c:pt>
                <c:pt idx="3">
                  <c:v>92.468522601216051</c:v>
                </c:pt>
                <c:pt idx="4">
                  <c:v>151.58133321367532</c:v>
                </c:pt>
                <c:pt idx="5">
                  <c:v>126.52564508843025</c:v>
                </c:pt>
                <c:pt idx="6">
                  <c:v>240.87012466288189</c:v>
                </c:pt>
                <c:pt idx="7">
                  <c:v>51.43777089423979</c:v>
                </c:pt>
                <c:pt idx="8">
                  <c:v>103.51560214323331</c:v>
                </c:pt>
                <c:pt idx="9">
                  <c:v>356.77442140258455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E25-43BD-B4CB-7FC317EF7AE1}"/>
            </c:ext>
          </c:extLst>
        </c:ser>
        <c:ser>
          <c:idx val="2"/>
          <c:order val="1"/>
          <c:tx>
            <c:strRef>
              <c:f>validation!$AX$22</c:f>
              <c:strCache>
                <c:ptCount val="1"/>
                <c:pt idx="0">
                  <c:v>Ch2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3569806419388735"/>
                  <c:y val="-0.18518682268630715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validation!$AU$23:$AU$32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validation!$AX$23:$AX$32</c:f>
              <c:numCache>
                <c:formatCode>0.00</c:formatCode>
                <c:ptCount val="10"/>
                <c:pt idx="0">
                  <c:v>97.695476093415976</c:v>
                </c:pt>
                <c:pt idx="1">
                  <c:v>42.558604231101967</c:v>
                </c:pt>
                <c:pt idx="2">
                  <c:v>36.351979788789485</c:v>
                </c:pt>
                <c:pt idx="3">
                  <c:v>92.468522601215938</c:v>
                </c:pt>
                <c:pt idx="4">
                  <c:v>151.58133321367521</c:v>
                </c:pt>
                <c:pt idx="5">
                  <c:v>126.52564508843049</c:v>
                </c:pt>
                <c:pt idx="6">
                  <c:v>240.87012466288203</c:v>
                </c:pt>
                <c:pt idx="7">
                  <c:v>51.437770894239833</c:v>
                </c:pt>
                <c:pt idx="8">
                  <c:v>103.51560214323331</c:v>
                </c:pt>
                <c:pt idx="9">
                  <c:v>356.7744214025833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E25-43BD-B4CB-7FC317EF7AE1}"/>
            </c:ext>
          </c:extLst>
        </c:ser>
        <c:ser>
          <c:idx val="1"/>
          <c:order val="2"/>
          <c:tx>
            <c:strRef>
              <c:f>validation!$AY$22</c:f>
              <c:strCache>
                <c:ptCount val="1"/>
                <c:pt idx="0">
                  <c:v>Ch3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4293930528559283"/>
                  <c:y val="-0.11525414781172721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validation!$AU$23:$AU$32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validation!$AY$23:$AY$32</c:f>
              <c:numCache>
                <c:formatCode>0.00</c:formatCode>
                <c:ptCount val="10"/>
                <c:pt idx="0">
                  <c:v>97.695476093415976</c:v>
                </c:pt>
                <c:pt idx="1">
                  <c:v>42.558604231101945</c:v>
                </c:pt>
                <c:pt idx="2">
                  <c:v>36.351979788789492</c:v>
                </c:pt>
                <c:pt idx="3">
                  <c:v>92.468522601215994</c:v>
                </c:pt>
                <c:pt idx="4">
                  <c:v>151.58133321367444</c:v>
                </c:pt>
                <c:pt idx="5">
                  <c:v>126.52564508843069</c:v>
                </c:pt>
                <c:pt idx="6">
                  <c:v>240.87012466288178</c:v>
                </c:pt>
                <c:pt idx="7">
                  <c:v>51.437770894239804</c:v>
                </c:pt>
                <c:pt idx="8">
                  <c:v>103.51560214323337</c:v>
                </c:pt>
                <c:pt idx="9">
                  <c:v>356.77442140258432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E25-43BD-B4CB-7FC317EF7AE1}"/>
            </c:ext>
          </c:extLst>
        </c:ser>
        <c:ser>
          <c:idx val="0"/>
          <c:order val="3"/>
          <c:tx>
            <c:strRef>
              <c:f>validation!$AZ$22</c:f>
              <c:strCache>
                <c:ptCount val="1"/>
                <c:pt idx="0">
                  <c:v>Ch4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739501768402303"/>
                  <c:y val="-0.1228686013498019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validation!$AU$23:$AU$32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validation!$AZ$23:$AZ$32</c:f>
              <c:numCache>
                <c:formatCode>0.00</c:formatCode>
                <c:ptCount val="10"/>
                <c:pt idx="0">
                  <c:v>97.695819187166947</c:v>
                </c:pt>
                <c:pt idx="1">
                  <c:v>42.561160235106172</c:v>
                </c:pt>
                <c:pt idx="2">
                  <c:v>35.798757291920879</c:v>
                </c:pt>
                <c:pt idx="3">
                  <c:v>92.469075477977853</c:v>
                </c:pt>
                <c:pt idx="4">
                  <c:v>151.57951360646626</c:v>
                </c:pt>
                <c:pt idx="5">
                  <c:v>126.524831087584</c:v>
                </c:pt>
                <c:pt idx="6">
                  <c:v>240.86472146314429</c:v>
                </c:pt>
                <c:pt idx="7">
                  <c:v>51.439970534194302</c:v>
                </c:pt>
                <c:pt idx="8">
                  <c:v>103.51571164708055</c:v>
                </c:pt>
                <c:pt idx="9">
                  <c:v>356.76436640092265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25-43BD-B4CB-7FC317EF7AE1}"/>
            </c:ext>
          </c:extLst>
        </c:ser>
        <c:ser>
          <c:idx val="5"/>
          <c:order val="4"/>
          <c:tx>
            <c:strRef>
              <c:f>validation!$BA$22</c:f>
              <c:strCache>
                <c:ptCount val="1"/>
                <c:pt idx="0">
                  <c:v>Ch5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9.2912535500612084E-2"/>
                  <c:y val="-0.21894968845013635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validation!$AU$23:$AU$32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validation!$BA$23:$BA$32</c:f>
              <c:numCache>
                <c:formatCode>0.00</c:formatCode>
                <c:ptCount val="10"/>
                <c:pt idx="0">
                  <c:v>97.20996129768622</c:v>
                </c:pt>
                <c:pt idx="1">
                  <c:v>44.072453848905766</c:v>
                </c:pt>
                <c:pt idx="2">
                  <c:v>33.411000000000001</c:v>
                </c:pt>
                <c:pt idx="3">
                  <c:v>92.172546755566742</c:v>
                </c:pt>
                <c:pt idx="4">
                  <c:v>149.14181810055297</c:v>
                </c:pt>
                <c:pt idx="5">
                  <c:v>124.99469532372542</c:v>
                </c:pt>
                <c:pt idx="6">
                  <c:v>235.19283369992988</c:v>
                </c:pt>
                <c:pt idx="7">
                  <c:v>52.629645593110169</c:v>
                </c:pt>
                <c:pt idx="8">
                  <c:v>102.81903886917608</c:v>
                </c:pt>
                <c:pt idx="9">
                  <c:v>346.89422740124928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E25-43BD-B4CB-7FC317EF7AE1}"/>
            </c:ext>
          </c:extLst>
        </c:ser>
        <c:ser>
          <c:idx val="6"/>
          <c:order val="5"/>
          <c:tx>
            <c:strRef>
              <c:f>validation!$BB$22</c:f>
              <c:strCache>
                <c:ptCount val="1"/>
                <c:pt idx="0">
                  <c:v>Ch6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8.5671294408906612E-2"/>
                  <c:y val="-0.20570077685375057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validation!$AU$23:$AU$32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validation!$BB$23:$BB$32</c:f>
              <c:numCache>
                <c:formatCode>0.000</c:formatCode>
                <c:ptCount val="10"/>
                <c:pt idx="0">
                  <c:v>94.751502888379235</c:v>
                </c:pt>
                <c:pt idx="1">
                  <c:v>59.341999999999999</c:v>
                </c:pt>
                <c:pt idx="2">
                  <c:v>59.341999999999999</c:v>
                </c:pt>
                <c:pt idx="3">
                  <c:v>91.955652593155037</c:v>
                </c:pt>
                <c:pt idx="4">
                  <c:v>123.57456201123529</c:v>
                </c:pt>
                <c:pt idx="5">
                  <c:v>102.25008197993075</c:v>
                </c:pt>
                <c:pt idx="6">
                  <c:v>171.33433150335432</c:v>
                </c:pt>
                <c:pt idx="7">
                  <c:v>59.341999999999999</c:v>
                </c:pt>
                <c:pt idx="8">
                  <c:v>89.418122930517768</c:v>
                </c:pt>
                <c:pt idx="9">
                  <c:v>233.33049480211895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E25-43BD-B4CB-7FC317EF7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ayout>
        <c:manualLayout>
          <c:xMode val="edge"/>
          <c:yMode val="edge"/>
          <c:x val="9.4642433766248361E-3"/>
          <c:y val="0.84588534767051127"/>
          <c:w val="0.78838153210983952"/>
          <c:h val="0.12501587856731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Power Max Amp</a:t>
            </a:r>
            <a:endParaRPr lang="en-US" sz="1000"/>
          </a:p>
        </c:rich>
      </c:tx>
      <c:layout>
        <c:manualLayout>
          <c:xMode val="edge"/>
          <c:yMode val="edge"/>
          <c:x val="0.15338224478320475"/>
          <c:y val="2.93320443511068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4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validation!$B$44:$B$45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validation!$C$44:$C$45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81-4B72-AB57-760E8D33B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3"/>
          <c:order val="0"/>
          <c:tx>
            <c:strRef>
              <c:f>validation!$BF$22</c:f>
              <c:strCache>
                <c:ptCount val="1"/>
                <c:pt idx="0">
                  <c:v>Ch1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5764615915971724"/>
                  <c:y val="-0.2552610436466759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validation!$BD$23:$BD$32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validation!$BF$23:$BF$32</c:f>
              <c:numCache>
                <c:formatCode>0.00</c:formatCode>
                <c:ptCount val="10"/>
                <c:pt idx="0">
                  <c:v>99.694232599765229</c:v>
                </c:pt>
                <c:pt idx="1">
                  <c:v>37.892011567978848</c:v>
                </c:pt>
                <c:pt idx="2">
                  <c:v>24.277495488594788</c:v>
                </c:pt>
                <c:pt idx="3">
                  <c:v>95.357755524747361</c:v>
                </c:pt>
                <c:pt idx="4">
                  <c:v>137.56698009569374</c:v>
                </c:pt>
                <c:pt idx="5">
                  <c:v>121.21668350947506</c:v>
                </c:pt>
                <c:pt idx="6">
                  <c:v>185.80485127886695</c:v>
                </c:pt>
                <c:pt idx="7">
                  <c:v>52.109418037082591</c:v>
                </c:pt>
                <c:pt idx="8">
                  <c:v>104.34162146920458</c:v>
                </c:pt>
                <c:pt idx="9">
                  <c:v>235.78186243862299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B81-4B72-AB57-760E8D33B874}"/>
            </c:ext>
          </c:extLst>
        </c:ser>
        <c:ser>
          <c:idx val="2"/>
          <c:order val="1"/>
          <c:tx>
            <c:strRef>
              <c:f>validation!$BG$22</c:f>
              <c:strCache>
                <c:ptCount val="1"/>
                <c:pt idx="0">
                  <c:v>Ch2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4357608186569225"/>
                  <c:y val="-0.15887706771940879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validation!$BD$23:$BD$32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validation!$BG$23:$BG$32</c:f>
              <c:numCache>
                <c:formatCode>0.00</c:formatCode>
                <c:ptCount val="10"/>
                <c:pt idx="0">
                  <c:v>99.698564460136211</c:v>
                </c:pt>
                <c:pt idx="1">
                  <c:v>37.89365803135999</c:v>
                </c:pt>
                <c:pt idx="2">
                  <c:v>24.278550381318947</c:v>
                </c:pt>
                <c:pt idx="3">
                  <c:v>95.361898958840129</c:v>
                </c:pt>
                <c:pt idx="4">
                  <c:v>137.57295758239351</c:v>
                </c:pt>
                <c:pt idx="5">
                  <c:v>121.2219505518496</c:v>
                </c:pt>
                <c:pt idx="6">
                  <c:v>185.81292477169589</c:v>
                </c:pt>
                <c:pt idx="7">
                  <c:v>52.111682267590851</c:v>
                </c:pt>
                <c:pt idx="8">
                  <c:v>104.34615526542616</c:v>
                </c:pt>
                <c:pt idx="9">
                  <c:v>235.79210750575859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B81-4B72-AB57-760E8D33B874}"/>
            </c:ext>
          </c:extLst>
        </c:ser>
        <c:ser>
          <c:idx val="1"/>
          <c:order val="2"/>
          <c:tx>
            <c:strRef>
              <c:f>validation!$BH$22</c:f>
              <c:strCache>
                <c:ptCount val="1"/>
                <c:pt idx="0">
                  <c:v>Ch3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380469143683066"/>
                  <c:y val="-0.2906577933658108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validation!$BD$23:$BD$32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validation!$BH$23:$BH$32</c:f>
              <c:numCache>
                <c:formatCode>0.00</c:formatCode>
                <c:ptCount val="10"/>
                <c:pt idx="0">
                  <c:v>99.707475964800153</c:v>
                </c:pt>
                <c:pt idx="1">
                  <c:v>37.897045136401111</c:v>
                </c:pt>
                <c:pt idx="2">
                  <c:v>24.280720506998595</c:v>
                </c:pt>
                <c:pt idx="3">
                  <c:v>95.37042283289928</c:v>
                </c:pt>
                <c:pt idx="4">
                  <c:v>137.58525447011417</c:v>
                </c:pt>
                <c:pt idx="5">
                  <c:v>121.23278591325702</c:v>
                </c:pt>
                <c:pt idx="6">
                  <c:v>185.82953356395561</c:v>
                </c:pt>
                <c:pt idx="7">
                  <c:v>52.116340243381011</c:v>
                </c:pt>
                <c:pt idx="8">
                  <c:v>104.35548219259258</c:v>
                </c:pt>
                <c:pt idx="9">
                  <c:v>235.81318366144026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81-4B72-AB57-760E8D33B874}"/>
            </c:ext>
          </c:extLst>
        </c:ser>
        <c:ser>
          <c:idx val="0"/>
          <c:order val="3"/>
          <c:tx>
            <c:strRef>
              <c:f>validation!$BI$22</c:f>
              <c:strCache>
                <c:ptCount val="1"/>
                <c:pt idx="0">
                  <c:v>Ch4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380469143683066"/>
                  <c:y val="-0.2332088893581429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validation!$BD$23:$BD$32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validation!$BI$23:$BI$32</c:f>
              <c:numCache>
                <c:formatCode>0.00</c:formatCode>
                <c:ptCount val="10"/>
                <c:pt idx="0">
                  <c:v>99.679486561846588</c:v>
                </c:pt>
                <c:pt idx="1">
                  <c:v>37.920313348849398</c:v>
                </c:pt>
                <c:pt idx="2">
                  <c:v>22.760195936132316</c:v>
                </c:pt>
                <c:pt idx="3">
                  <c:v>95.347571958453543</c:v>
                </c:pt>
                <c:pt idx="4">
                  <c:v>137.50568172006234</c:v>
                </c:pt>
                <c:pt idx="5">
                  <c:v>121.17684834328681</c:v>
                </c:pt>
                <c:pt idx="6">
                  <c:v>185.67044248276838</c:v>
                </c:pt>
                <c:pt idx="7">
                  <c:v>52.132977047334741</c:v>
                </c:pt>
                <c:pt idx="8">
                  <c:v>104.32179255222364</c:v>
                </c:pt>
                <c:pt idx="9">
                  <c:v>235.55940632996663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81-4B72-AB57-760E8D33B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9.4642433766248361E-3"/>
          <c:y val="0.84588534767051127"/>
          <c:w val="0.79042307261402944"/>
          <c:h val="0.12501587856731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</a:t>
            </a:r>
            <a:r>
              <a:rPr lang="en-US" baseline="0"/>
              <a:t> Amplitude by Channel v/s Max Size - Linear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75258319916485"/>
          <c:y val="0.17381898388579803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tx>
            <c:strRef>
              <c:f>validation!$BU$22</c:f>
              <c:strCache>
                <c:ptCount val="1"/>
                <c:pt idx="0">
                  <c:v>Ch6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envelope'!$O$2:$O$37</c:f>
              <c:numCache>
                <c:formatCode>General</c:formatCode>
                <c:ptCount val="36"/>
                <c:pt idx="0">
                  <c:v>6.4069250048013796E-2</c:v>
                </c:pt>
                <c:pt idx="1">
                  <c:v>5.1422303616638097E-2</c:v>
                </c:pt>
                <c:pt idx="2">
                  <c:v>9.4968206718967205E-2</c:v>
                </c:pt>
                <c:pt idx="3">
                  <c:v>5.6005964760614799E-2</c:v>
                </c:pt>
                <c:pt idx="4">
                  <c:v>4.6849938207403699E-2</c:v>
                </c:pt>
                <c:pt idx="5">
                  <c:v>3.9406083818281298E-2</c:v>
                </c:pt>
                <c:pt idx="6">
                  <c:v>4.5463397559226001E-2</c:v>
                </c:pt>
                <c:pt idx="7">
                  <c:v>9.5743592288179996E-2</c:v>
                </c:pt>
                <c:pt idx="8">
                  <c:v>3.8585276164057498E-2</c:v>
                </c:pt>
                <c:pt idx="9">
                  <c:v>9.5639162709086803E-2</c:v>
                </c:pt>
                <c:pt idx="10">
                  <c:v>2.85197693561322E-2</c:v>
                </c:pt>
                <c:pt idx="11">
                  <c:v>0.10538288717717199</c:v>
                </c:pt>
                <c:pt idx="12">
                  <c:v>2.77248857374158E-2</c:v>
                </c:pt>
                <c:pt idx="28">
                  <c:v>2.4016207968108199E-2</c:v>
                </c:pt>
                <c:pt idx="30">
                  <c:v>9.5477972807156197E-2</c:v>
                </c:pt>
                <c:pt idx="31">
                  <c:v>2.8717702047744001E-2</c:v>
                </c:pt>
                <c:pt idx="32">
                  <c:v>4.2099641834455401E-2</c:v>
                </c:pt>
                <c:pt idx="33">
                  <c:v>6.9669475601588704E-2</c:v>
                </c:pt>
                <c:pt idx="35">
                  <c:v>6.2038722824561902E-2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C2-4C9F-AB90-A94DE6202D24}"/>
            </c:ext>
          </c:extLst>
        </c:ser>
        <c:ser>
          <c:idx val="0"/>
          <c:order val="1"/>
          <c:tx>
            <c:strRef>
              <c:f>validation!$BT$22</c:f>
              <c:strCache>
                <c:ptCount val="1"/>
                <c:pt idx="0">
                  <c:v>Ch5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envelope'!$P$2:$P$37</c:f>
              <c:numCache>
                <c:formatCode>General</c:formatCode>
                <c:ptCount val="36"/>
                <c:pt idx="0">
                  <c:v>0.17940701762775299</c:v>
                </c:pt>
                <c:pt idx="1">
                  <c:v>0.136504884052633</c:v>
                </c:pt>
                <c:pt idx="2">
                  <c:v>0.31788484763340902</c:v>
                </c:pt>
                <c:pt idx="3">
                  <c:v>0.16309275016740199</c:v>
                </c:pt>
                <c:pt idx="4">
                  <c:v>0.12535462962986799</c:v>
                </c:pt>
                <c:pt idx="5">
                  <c:v>0.15393753693111001</c:v>
                </c:pt>
                <c:pt idx="6">
                  <c:v>0.16338445100562901</c:v>
                </c:pt>
                <c:pt idx="7">
                  <c:v>0.18723147718286101</c:v>
                </c:pt>
                <c:pt idx="8">
                  <c:v>0.117415800187244</c:v>
                </c:pt>
                <c:pt idx="9">
                  <c:v>0.18581760283662399</c:v>
                </c:pt>
                <c:pt idx="10">
                  <c:v>0.101347429024516</c:v>
                </c:pt>
                <c:pt idx="11">
                  <c:v>0.15056990486005101</c:v>
                </c:pt>
                <c:pt idx="12">
                  <c:v>7.8677957752448305E-2</c:v>
                </c:pt>
                <c:pt idx="13">
                  <c:v>7.7959153032395798E-2</c:v>
                </c:pt>
                <c:pt idx="15">
                  <c:v>7.2703926665255297E-2</c:v>
                </c:pt>
                <c:pt idx="16">
                  <c:v>4.3588035701968897E-2</c:v>
                </c:pt>
                <c:pt idx="17">
                  <c:v>4.5264926352280903E-2</c:v>
                </c:pt>
                <c:pt idx="18">
                  <c:v>6.4224427234734496E-2</c:v>
                </c:pt>
                <c:pt idx="19">
                  <c:v>5.66060042990124E-2</c:v>
                </c:pt>
                <c:pt idx="20">
                  <c:v>4.2501949944915698E-2</c:v>
                </c:pt>
                <c:pt idx="23">
                  <c:v>2.7853920384742901E-2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8.2766257918429495E-2</c:v>
                </c:pt>
                <c:pt idx="28">
                  <c:v>6.1687066952672398E-2</c:v>
                </c:pt>
                <c:pt idx="29">
                  <c:v>6.6744949341475304E-2</c:v>
                </c:pt>
                <c:pt idx="30">
                  <c:v>0.192484405703403</c:v>
                </c:pt>
                <c:pt idx="31">
                  <c:v>0.11587567427319601</c:v>
                </c:pt>
                <c:pt idx="32">
                  <c:v>0.10745936765490099</c:v>
                </c:pt>
                <c:pt idx="33">
                  <c:v>0.21182245741774999</c:v>
                </c:pt>
                <c:pt idx="34">
                  <c:v>7.9120500982877304E-2</c:v>
                </c:pt>
                <c:pt idx="35">
                  <c:v>0.13350547172294899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2C2-4C9F-AB90-A94DE6202D24}"/>
            </c:ext>
          </c:extLst>
        </c:ser>
        <c:ser>
          <c:idx val="2"/>
          <c:order val="2"/>
          <c:tx>
            <c:strRef>
              <c:f>validation!$BS$22</c:f>
              <c:strCache>
                <c:ptCount val="1"/>
                <c:pt idx="0">
                  <c:v>Ch4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envelope'!$Q$2:$Q$37</c:f>
              <c:numCache>
                <c:formatCode>General</c:formatCode>
                <c:ptCount val="36"/>
                <c:pt idx="0">
                  <c:v>0.59727911911144405</c:v>
                </c:pt>
                <c:pt idx="1">
                  <c:v>0.26754282688021702</c:v>
                </c:pt>
                <c:pt idx="2">
                  <c:v>0.78149567271952003</c:v>
                </c:pt>
                <c:pt idx="3">
                  <c:v>0.449858505678978</c:v>
                </c:pt>
                <c:pt idx="4">
                  <c:v>0.44063655773576799</c:v>
                </c:pt>
                <c:pt idx="5">
                  <c:v>0.46926879178815301</c:v>
                </c:pt>
                <c:pt idx="6">
                  <c:v>0.426009200925964</c:v>
                </c:pt>
                <c:pt idx="7">
                  <c:v>0.64667150537108198</c:v>
                </c:pt>
                <c:pt idx="8">
                  <c:v>0.46966320074897699</c:v>
                </c:pt>
                <c:pt idx="9">
                  <c:v>0.60536126077852104</c:v>
                </c:pt>
                <c:pt idx="10">
                  <c:v>0.24057369702033901</c:v>
                </c:pt>
                <c:pt idx="11">
                  <c:v>0.50129083006757003</c:v>
                </c:pt>
                <c:pt idx="12">
                  <c:v>0.26510584610390098</c:v>
                </c:pt>
                <c:pt idx="13">
                  <c:v>0.24135454645261201</c:v>
                </c:pt>
                <c:pt idx="14">
                  <c:v>0.12254395097085501</c:v>
                </c:pt>
                <c:pt idx="15">
                  <c:v>0.21382124817687001</c:v>
                </c:pt>
                <c:pt idx="16">
                  <c:v>0.13106034882425699</c:v>
                </c:pt>
                <c:pt idx="17">
                  <c:v>0.12707267062271299</c:v>
                </c:pt>
                <c:pt idx="18">
                  <c:v>0.22893530246709601</c:v>
                </c:pt>
                <c:pt idx="19">
                  <c:v>0.173305439270318</c:v>
                </c:pt>
                <c:pt idx="20">
                  <c:v>0.116374533955678</c:v>
                </c:pt>
                <c:pt idx="21">
                  <c:v>7.8663658425102104E-2</c:v>
                </c:pt>
                <c:pt idx="22">
                  <c:v>8.5713068849887802E-2</c:v>
                </c:pt>
                <c:pt idx="23">
                  <c:v>0.102227488893629</c:v>
                </c:pt>
                <c:pt idx="24">
                  <c:v>0.17662425401843199</c:v>
                </c:pt>
                <c:pt idx="25">
                  <c:v>0.14678489544762599</c:v>
                </c:pt>
                <c:pt idx="26">
                  <c:v>0.222368887754927</c:v>
                </c:pt>
                <c:pt idx="27">
                  <c:v>0.28137760228112102</c:v>
                </c:pt>
                <c:pt idx="28">
                  <c:v>0.19687478181427201</c:v>
                </c:pt>
                <c:pt idx="29">
                  <c:v>0.16107374150092801</c:v>
                </c:pt>
                <c:pt idx="30">
                  <c:v>0.54260603351381897</c:v>
                </c:pt>
                <c:pt idx="31">
                  <c:v>0.424330918118209</c:v>
                </c:pt>
                <c:pt idx="32">
                  <c:v>0.342981303210388</c:v>
                </c:pt>
                <c:pt idx="33">
                  <c:v>0.71876689058186105</c:v>
                </c:pt>
                <c:pt idx="34">
                  <c:v>0.25286216921415</c:v>
                </c:pt>
                <c:pt idx="35">
                  <c:v>0.41039439745539202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2C2-4C9F-AB90-A94DE6202D24}"/>
            </c:ext>
          </c:extLst>
        </c:ser>
        <c:ser>
          <c:idx val="3"/>
          <c:order val="3"/>
          <c:tx>
            <c:strRef>
              <c:f>validation!$BR$22</c:f>
              <c:strCache>
                <c:ptCount val="1"/>
                <c:pt idx="0">
                  <c:v>Ch3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envelope'!$R$2:$R$37</c:f>
              <c:numCache>
                <c:formatCode>General</c:formatCode>
                <c:ptCount val="36"/>
                <c:pt idx="0">
                  <c:v>2.1218818406845701</c:v>
                </c:pt>
                <c:pt idx="1">
                  <c:v>0.98750358289623297</c:v>
                </c:pt>
                <c:pt idx="2">
                  <c:v>2.2740324054836099</c:v>
                </c:pt>
                <c:pt idx="3">
                  <c:v>1.61414237742101</c:v>
                </c:pt>
                <c:pt idx="4">
                  <c:v>1.4715502319528799</c:v>
                </c:pt>
                <c:pt idx="5">
                  <c:v>1.6679355265670801</c:v>
                </c:pt>
                <c:pt idx="6">
                  <c:v>1.2687679005852299</c:v>
                </c:pt>
                <c:pt idx="7">
                  <c:v>1.81287477386409</c:v>
                </c:pt>
                <c:pt idx="8">
                  <c:v>1.4945503386105301</c:v>
                </c:pt>
                <c:pt idx="9">
                  <c:v>1.2337579982911999</c:v>
                </c:pt>
                <c:pt idx="10">
                  <c:v>0.96229478808135804</c:v>
                </c:pt>
                <c:pt idx="11">
                  <c:v>1.0515823951961401</c:v>
                </c:pt>
                <c:pt idx="12">
                  <c:v>0.92664835919294097</c:v>
                </c:pt>
                <c:pt idx="13">
                  <c:v>0.62231226944989104</c:v>
                </c:pt>
                <c:pt idx="14">
                  <c:v>0.35900970208783201</c:v>
                </c:pt>
                <c:pt idx="15">
                  <c:v>0.60450240905165797</c:v>
                </c:pt>
                <c:pt idx="16">
                  <c:v>0.52424139529702896</c:v>
                </c:pt>
                <c:pt idx="17">
                  <c:v>0.43334728234498898</c:v>
                </c:pt>
                <c:pt idx="18">
                  <c:v>0.58198300914003198</c:v>
                </c:pt>
                <c:pt idx="19">
                  <c:v>0.56215790367475604</c:v>
                </c:pt>
                <c:pt idx="20">
                  <c:v>0.36853445483851999</c:v>
                </c:pt>
                <c:pt idx="21">
                  <c:v>0.286033381784213</c:v>
                </c:pt>
                <c:pt idx="22">
                  <c:v>0.28274257889141102</c:v>
                </c:pt>
                <c:pt idx="23">
                  <c:v>0.312084224737535</c:v>
                </c:pt>
                <c:pt idx="24">
                  <c:v>0.371998081424883</c:v>
                </c:pt>
                <c:pt idx="25">
                  <c:v>0.32808884276820199</c:v>
                </c:pt>
                <c:pt idx="26">
                  <c:v>0.58513216291286296</c:v>
                </c:pt>
                <c:pt idx="27">
                  <c:v>0.60837215584300797</c:v>
                </c:pt>
                <c:pt idx="28">
                  <c:v>0.46344710039377801</c:v>
                </c:pt>
                <c:pt idx="29">
                  <c:v>0.484952010213689</c:v>
                </c:pt>
                <c:pt idx="30">
                  <c:v>1.4445985101020999</c:v>
                </c:pt>
                <c:pt idx="31">
                  <c:v>1.0317760232201201</c:v>
                </c:pt>
                <c:pt idx="32">
                  <c:v>0.759859641009906</c:v>
                </c:pt>
                <c:pt idx="33">
                  <c:v>2.4352261038974299</c:v>
                </c:pt>
                <c:pt idx="34">
                  <c:v>0.66084681493743003</c:v>
                </c:pt>
                <c:pt idx="35">
                  <c:v>1.17781242915115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2C2-4C9F-AB90-A94DE6202D24}"/>
            </c:ext>
          </c:extLst>
        </c:ser>
        <c:ser>
          <c:idx val="4"/>
          <c:order val="4"/>
          <c:tx>
            <c:strRef>
              <c:f>validation!$BQ$22</c:f>
              <c:strCache>
                <c:ptCount val="1"/>
                <c:pt idx="0">
                  <c:v>Ch2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envelope'!$S$2:$S$37</c:f>
              <c:numCache>
                <c:formatCode>General</c:formatCode>
                <c:ptCount val="36"/>
                <c:pt idx="0">
                  <c:v>8.4875273627382803</c:v>
                </c:pt>
                <c:pt idx="1">
                  <c:v>3.6696571758817198</c:v>
                </c:pt>
                <c:pt idx="2">
                  <c:v>8.3266858207082599</c:v>
                </c:pt>
                <c:pt idx="3">
                  <c:v>5.3915917727487104</c:v>
                </c:pt>
                <c:pt idx="4">
                  <c:v>5.0526826474058097</c:v>
                </c:pt>
                <c:pt idx="5">
                  <c:v>6.0491299651584196</c:v>
                </c:pt>
                <c:pt idx="6">
                  <c:v>4.6995148199797203</c:v>
                </c:pt>
                <c:pt idx="7">
                  <c:v>6.1106814199081896</c:v>
                </c:pt>
                <c:pt idx="8">
                  <c:v>5.97820135444214</c:v>
                </c:pt>
                <c:pt idx="9">
                  <c:v>4.9350319931648103</c:v>
                </c:pt>
                <c:pt idx="10">
                  <c:v>3.84917915232543</c:v>
                </c:pt>
                <c:pt idx="11">
                  <c:v>4.2063295807845602</c:v>
                </c:pt>
                <c:pt idx="12">
                  <c:v>3.7065934367717599</c:v>
                </c:pt>
                <c:pt idx="13">
                  <c:v>2.3516392566763402</c:v>
                </c:pt>
                <c:pt idx="14">
                  <c:v>1.2775871078584</c:v>
                </c:pt>
                <c:pt idx="15">
                  <c:v>2.4180096362066301</c:v>
                </c:pt>
                <c:pt idx="16">
                  <c:v>1.86124282879616</c:v>
                </c:pt>
                <c:pt idx="17">
                  <c:v>1.7333891293799499</c:v>
                </c:pt>
                <c:pt idx="18">
                  <c:v>2.1182747223488398</c:v>
                </c:pt>
                <c:pt idx="19">
                  <c:v>2.2486316146990202</c:v>
                </c:pt>
                <c:pt idx="20">
                  <c:v>1.38187374013061</c:v>
                </c:pt>
                <c:pt idx="21">
                  <c:v>1.08129059920596</c:v>
                </c:pt>
                <c:pt idx="22">
                  <c:v>0.96612323561066804</c:v>
                </c:pt>
                <c:pt idx="23">
                  <c:v>1.21105643309446</c:v>
                </c:pt>
                <c:pt idx="24">
                  <c:v>1.4536955966377501</c:v>
                </c:pt>
                <c:pt idx="25">
                  <c:v>1.23423783884298</c:v>
                </c:pt>
                <c:pt idx="26">
                  <c:v>2.3405286516514501</c:v>
                </c:pt>
                <c:pt idx="27">
                  <c:v>2.0097890273663599</c:v>
                </c:pt>
                <c:pt idx="28">
                  <c:v>1.6678313402251601</c:v>
                </c:pt>
                <c:pt idx="29">
                  <c:v>1.93980804085475</c:v>
                </c:pt>
                <c:pt idx="30">
                  <c:v>3.8969168791608402</c:v>
                </c:pt>
                <c:pt idx="31">
                  <c:v>3.52073104697577</c:v>
                </c:pt>
                <c:pt idx="32">
                  <c:v>2.5242279913372498</c:v>
                </c:pt>
                <c:pt idx="33">
                  <c:v>7.5299683456584097</c:v>
                </c:pt>
                <c:pt idx="34">
                  <c:v>2.5529730320435</c:v>
                </c:pt>
                <c:pt idx="35">
                  <c:v>3.97354688561304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2C2-4C9F-AB90-A94DE6202D24}"/>
            </c:ext>
          </c:extLst>
        </c:ser>
        <c:ser>
          <c:idx val="5"/>
          <c:order val="5"/>
          <c:tx>
            <c:strRef>
              <c:f>validation!$BP$22</c:f>
              <c:strCache>
                <c:ptCount val="1"/>
                <c:pt idx="0">
                  <c:v>Ch1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envelope'!$T$2:$T$37</c:f>
              <c:numCache>
                <c:formatCode>General</c:formatCode>
                <c:ptCount val="36"/>
                <c:pt idx="0">
                  <c:v>33.9501094509531</c:v>
                </c:pt>
                <c:pt idx="1">
                  <c:v>14.678628703526799</c:v>
                </c:pt>
                <c:pt idx="2">
                  <c:v>33.306743282832997</c:v>
                </c:pt>
                <c:pt idx="3">
                  <c:v>21.566367090994799</c:v>
                </c:pt>
                <c:pt idx="4">
                  <c:v>20.2107305896232</c:v>
                </c:pt>
                <c:pt idx="5">
                  <c:v>24.1965198606337</c:v>
                </c:pt>
                <c:pt idx="6">
                  <c:v>18.7980592799188</c:v>
                </c:pt>
                <c:pt idx="7">
                  <c:v>24.442725679632701</c:v>
                </c:pt>
                <c:pt idx="8">
                  <c:v>23.912805417768499</c:v>
                </c:pt>
                <c:pt idx="9">
                  <c:v>19.740127972659199</c:v>
                </c:pt>
                <c:pt idx="10">
                  <c:v>15.3967166093017</c:v>
                </c:pt>
                <c:pt idx="11">
                  <c:v>16.825318323138202</c:v>
                </c:pt>
                <c:pt idx="12">
                  <c:v>14.826373747087001</c:v>
                </c:pt>
                <c:pt idx="13">
                  <c:v>9.4065570267053804</c:v>
                </c:pt>
                <c:pt idx="14">
                  <c:v>5.1103484314336303</c:v>
                </c:pt>
                <c:pt idx="15">
                  <c:v>9.6720385448265294</c:v>
                </c:pt>
                <c:pt idx="16">
                  <c:v>7.4449713151846701</c:v>
                </c:pt>
                <c:pt idx="17">
                  <c:v>6.9335565175198299</c:v>
                </c:pt>
                <c:pt idx="18">
                  <c:v>8.4730988893953594</c:v>
                </c:pt>
                <c:pt idx="19">
                  <c:v>8.9945264587960896</c:v>
                </c:pt>
                <c:pt idx="20">
                  <c:v>5.5274949605224499</c:v>
                </c:pt>
                <c:pt idx="21">
                  <c:v>4.3251623968238597</c:v>
                </c:pt>
                <c:pt idx="22">
                  <c:v>3.8644929424426699</c:v>
                </c:pt>
                <c:pt idx="23">
                  <c:v>4.8442257323778604</c:v>
                </c:pt>
                <c:pt idx="24">
                  <c:v>5.8147823865510198</c:v>
                </c:pt>
                <c:pt idx="25">
                  <c:v>4.93695135537192</c:v>
                </c:pt>
                <c:pt idx="26">
                  <c:v>9.3621146066058198</c:v>
                </c:pt>
                <c:pt idx="27">
                  <c:v>8.0391561094654609</c:v>
                </c:pt>
                <c:pt idx="28">
                  <c:v>6.6713253609006697</c:v>
                </c:pt>
                <c:pt idx="29">
                  <c:v>7.7592321634190196</c:v>
                </c:pt>
                <c:pt idx="30">
                  <c:v>15.5876675166433</c:v>
                </c:pt>
                <c:pt idx="31">
                  <c:v>14.082924187903</c:v>
                </c:pt>
                <c:pt idx="32">
                  <c:v>10.096911965348999</c:v>
                </c:pt>
                <c:pt idx="33">
                  <c:v>30.1198733826336</c:v>
                </c:pt>
                <c:pt idx="34">
                  <c:v>10.211892128174</c:v>
                </c:pt>
                <c:pt idx="35">
                  <c:v>15.8941875424521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2C2-4C9F-AB90-A94DE6202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</a:t>
            </a:r>
            <a:r>
              <a:rPr lang="en-US" baseline="0"/>
              <a:t>Amplitude by Channel v/s Max Size - Power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3382520993456"/>
          <c:y val="0.1598240740659114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envelope'!$O$2:$O$37</c:f>
              <c:numCache>
                <c:formatCode>General</c:formatCode>
                <c:ptCount val="36"/>
                <c:pt idx="0">
                  <c:v>6.4069250048013796E-2</c:v>
                </c:pt>
                <c:pt idx="1">
                  <c:v>5.1422303616638097E-2</c:v>
                </c:pt>
                <c:pt idx="2">
                  <c:v>9.4968206718967205E-2</c:v>
                </c:pt>
                <c:pt idx="3">
                  <c:v>5.6005964760614799E-2</c:v>
                </c:pt>
                <c:pt idx="4">
                  <c:v>4.6849938207403699E-2</c:v>
                </c:pt>
                <c:pt idx="5">
                  <c:v>3.9406083818281298E-2</c:v>
                </c:pt>
                <c:pt idx="6">
                  <c:v>4.5463397559226001E-2</c:v>
                </c:pt>
                <c:pt idx="7">
                  <c:v>9.5743592288179996E-2</c:v>
                </c:pt>
                <c:pt idx="8">
                  <c:v>3.8585276164057498E-2</c:v>
                </c:pt>
                <c:pt idx="9">
                  <c:v>9.5639162709086803E-2</c:v>
                </c:pt>
                <c:pt idx="10">
                  <c:v>2.85197693561322E-2</c:v>
                </c:pt>
                <c:pt idx="11">
                  <c:v>0.10538288717717199</c:v>
                </c:pt>
                <c:pt idx="12">
                  <c:v>2.77248857374158E-2</c:v>
                </c:pt>
                <c:pt idx="28">
                  <c:v>2.4016207968108199E-2</c:v>
                </c:pt>
                <c:pt idx="30">
                  <c:v>9.5477972807156197E-2</c:v>
                </c:pt>
                <c:pt idx="31">
                  <c:v>2.8717702047744001E-2</c:v>
                </c:pt>
                <c:pt idx="32">
                  <c:v>4.2099641834455401E-2</c:v>
                </c:pt>
                <c:pt idx="33">
                  <c:v>6.9669475601588704E-2</c:v>
                </c:pt>
                <c:pt idx="35">
                  <c:v>6.2038722824561902E-2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56-4E2B-A503-C9C9EB7F7CF2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envelope'!$P$2:$P$37</c:f>
              <c:numCache>
                <c:formatCode>General</c:formatCode>
                <c:ptCount val="36"/>
                <c:pt idx="0">
                  <c:v>0.17940701762775299</c:v>
                </c:pt>
                <c:pt idx="1">
                  <c:v>0.136504884052633</c:v>
                </c:pt>
                <c:pt idx="2">
                  <c:v>0.31788484763340902</c:v>
                </c:pt>
                <c:pt idx="3">
                  <c:v>0.16309275016740199</c:v>
                </c:pt>
                <c:pt idx="4">
                  <c:v>0.12535462962986799</c:v>
                </c:pt>
                <c:pt idx="5">
                  <c:v>0.15393753693111001</c:v>
                </c:pt>
                <c:pt idx="6">
                  <c:v>0.16338445100562901</c:v>
                </c:pt>
                <c:pt idx="7">
                  <c:v>0.18723147718286101</c:v>
                </c:pt>
                <c:pt idx="8">
                  <c:v>0.117415800187244</c:v>
                </c:pt>
                <c:pt idx="9">
                  <c:v>0.18581760283662399</c:v>
                </c:pt>
                <c:pt idx="10">
                  <c:v>0.101347429024516</c:v>
                </c:pt>
                <c:pt idx="11">
                  <c:v>0.15056990486005101</c:v>
                </c:pt>
                <c:pt idx="12">
                  <c:v>7.8677957752448305E-2</c:v>
                </c:pt>
                <c:pt idx="13">
                  <c:v>7.7959153032395798E-2</c:v>
                </c:pt>
                <c:pt idx="15">
                  <c:v>7.2703926665255297E-2</c:v>
                </c:pt>
                <c:pt idx="16">
                  <c:v>4.3588035701968897E-2</c:v>
                </c:pt>
                <c:pt idx="17">
                  <c:v>4.5264926352280903E-2</c:v>
                </c:pt>
                <c:pt idx="18">
                  <c:v>6.4224427234734496E-2</c:v>
                </c:pt>
                <c:pt idx="19">
                  <c:v>5.66060042990124E-2</c:v>
                </c:pt>
                <c:pt idx="20">
                  <c:v>4.2501949944915698E-2</c:v>
                </c:pt>
                <c:pt idx="23">
                  <c:v>2.7853920384742901E-2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8.2766257918429495E-2</c:v>
                </c:pt>
                <c:pt idx="28">
                  <c:v>6.1687066952672398E-2</c:v>
                </c:pt>
                <c:pt idx="29">
                  <c:v>6.6744949341475304E-2</c:v>
                </c:pt>
                <c:pt idx="30">
                  <c:v>0.192484405703403</c:v>
                </c:pt>
                <c:pt idx="31">
                  <c:v>0.11587567427319601</c:v>
                </c:pt>
                <c:pt idx="32">
                  <c:v>0.10745936765490099</c:v>
                </c:pt>
                <c:pt idx="33">
                  <c:v>0.21182245741774999</c:v>
                </c:pt>
                <c:pt idx="34">
                  <c:v>7.9120500982877304E-2</c:v>
                </c:pt>
                <c:pt idx="35">
                  <c:v>0.13350547172294899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E56-4E2B-A503-C9C9EB7F7CF2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envelope'!$Q$2:$Q$37</c:f>
              <c:numCache>
                <c:formatCode>General</c:formatCode>
                <c:ptCount val="36"/>
                <c:pt idx="0">
                  <c:v>0.59727911911144405</c:v>
                </c:pt>
                <c:pt idx="1">
                  <c:v>0.26754282688021702</c:v>
                </c:pt>
                <c:pt idx="2">
                  <c:v>0.78149567271952003</c:v>
                </c:pt>
                <c:pt idx="3">
                  <c:v>0.449858505678978</c:v>
                </c:pt>
                <c:pt idx="4">
                  <c:v>0.44063655773576799</c:v>
                </c:pt>
                <c:pt idx="5">
                  <c:v>0.46926879178815301</c:v>
                </c:pt>
                <c:pt idx="6">
                  <c:v>0.426009200925964</c:v>
                </c:pt>
                <c:pt idx="7">
                  <c:v>0.64667150537108198</c:v>
                </c:pt>
                <c:pt idx="8">
                  <c:v>0.46966320074897699</c:v>
                </c:pt>
                <c:pt idx="9">
                  <c:v>0.60536126077852104</c:v>
                </c:pt>
                <c:pt idx="10">
                  <c:v>0.24057369702033901</c:v>
                </c:pt>
                <c:pt idx="11">
                  <c:v>0.50129083006757003</c:v>
                </c:pt>
                <c:pt idx="12">
                  <c:v>0.26510584610390098</c:v>
                </c:pt>
                <c:pt idx="13">
                  <c:v>0.24135454645261201</c:v>
                </c:pt>
                <c:pt idx="14">
                  <c:v>0.12254395097085501</c:v>
                </c:pt>
                <c:pt idx="15">
                  <c:v>0.21382124817687001</c:v>
                </c:pt>
                <c:pt idx="16">
                  <c:v>0.13106034882425699</c:v>
                </c:pt>
                <c:pt idx="17">
                  <c:v>0.12707267062271299</c:v>
                </c:pt>
                <c:pt idx="18">
                  <c:v>0.22893530246709601</c:v>
                </c:pt>
                <c:pt idx="19">
                  <c:v>0.173305439270318</c:v>
                </c:pt>
                <c:pt idx="20">
                  <c:v>0.116374533955678</c:v>
                </c:pt>
                <c:pt idx="21">
                  <c:v>7.8663658425102104E-2</c:v>
                </c:pt>
                <c:pt idx="22">
                  <c:v>8.5713068849887802E-2</c:v>
                </c:pt>
                <c:pt idx="23">
                  <c:v>0.102227488893629</c:v>
                </c:pt>
                <c:pt idx="24">
                  <c:v>0.17662425401843199</c:v>
                </c:pt>
                <c:pt idx="25">
                  <c:v>0.14678489544762599</c:v>
                </c:pt>
                <c:pt idx="26">
                  <c:v>0.222368887754927</c:v>
                </c:pt>
                <c:pt idx="27">
                  <c:v>0.28137760228112102</c:v>
                </c:pt>
                <c:pt idx="28">
                  <c:v>0.19687478181427201</c:v>
                </c:pt>
                <c:pt idx="29">
                  <c:v>0.16107374150092801</c:v>
                </c:pt>
                <c:pt idx="30">
                  <c:v>0.54260603351381897</c:v>
                </c:pt>
                <c:pt idx="31">
                  <c:v>0.424330918118209</c:v>
                </c:pt>
                <c:pt idx="32">
                  <c:v>0.342981303210388</c:v>
                </c:pt>
                <c:pt idx="33">
                  <c:v>0.71876689058186105</c:v>
                </c:pt>
                <c:pt idx="34">
                  <c:v>0.25286216921415</c:v>
                </c:pt>
                <c:pt idx="35">
                  <c:v>0.41039439745539202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E56-4E2B-A503-C9C9EB7F7CF2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envelope'!$R$2:$R$37</c:f>
              <c:numCache>
                <c:formatCode>General</c:formatCode>
                <c:ptCount val="36"/>
                <c:pt idx="0">
                  <c:v>2.1218818406845701</c:v>
                </c:pt>
                <c:pt idx="1">
                  <c:v>0.98750358289623297</c:v>
                </c:pt>
                <c:pt idx="2">
                  <c:v>2.2740324054836099</c:v>
                </c:pt>
                <c:pt idx="3">
                  <c:v>1.61414237742101</c:v>
                </c:pt>
                <c:pt idx="4">
                  <c:v>1.4715502319528799</c:v>
                </c:pt>
                <c:pt idx="5">
                  <c:v>1.6679355265670801</c:v>
                </c:pt>
                <c:pt idx="6">
                  <c:v>1.2687679005852299</c:v>
                </c:pt>
                <c:pt idx="7">
                  <c:v>1.81287477386409</c:v>
                </c:pt>
                <c:pt idx="8">
                  <c:v>1.4945503386105301</c:v>
                </c:pt>
                <c:pt idx="9">
                  <c:v>1.2337579982911999</c:v>
                </c:pt>
                <c:pt idx="10">
                  <c:v>0.96229478808135804</c:v>
                </c:pt>
                <c:pt idx="11">
                  <c:v>1.0515823951961401</c:v>
                </c:pt>
                <c:pt idx="12">
                  <c:v>0.92664835919294097</c:v>
                </c:pt>
                <c:pt idx="13">
                  <c:v>0.62231226944989104</c:v>
                </c:pt>
                <c:pt idx="14">
                  <c:v>0.35900970208783201</c:v>
                </c:pt>
                <c:pt idx="15">
                  <c:v>0.60450240905165797</c:v>
                </c:pt>
                <c:pt idx="16">
                  <c:v>0.52424139529702896</c:v>
                </c:pt>
                <c:pt idx="17">
                  <c:v>0.43334728234498898</c:v>
                </c:pt>
                <c:pt idx="18">
                  <c:v>0.58198300914003198</c:v>
                </c:pt>
                <c:pt idx="19">
                  <c:v>0.56215790367475604</c:v>
                </c:pt>
                <c:pt idx="20">
                  <c:v>0.36853445483851999</c:v>
                </c:pt>
                <c:pt idx="21">
                  <c:v>0.286033381784213</c:v>
                </c:pt>
                <c:pt idx="22">
                  <c:v>0.28274257889141102</c:v>
                </c:pt>
                <c:pt idx="23">
                  <c:v>0.312084224737535</c:v>
                </c:pt>
                <c:pt idx="24">
                  <c:v>0.371998081424883</c:v>
                </c:pt>
                <c:pt idx="25">
                  <c:v>0.32808884276820199</c:v>
                </c:pt>
                <c:pt idx="26">
                  <c:v>0.58513216291286296</c:v>
                </c:pt>
                <c:pt idx="27">
                  <c:v>0.60837215584300797</c:v>
                </c:pt>
                <c:pt idx="28">
                  <c:v>0.46344710039377801</c:v>
                </c:pt>
                <c:pt idx="29">
                  <c:v>0.484952010213689</c:v>
                </c:pt>
                <c:pt idx="30">
                  <c:v>1.4445985101020999</c:v>
                </c:pt>
                <c:pt idx="31">
                  <c:v>1.0317760232201201</c:v>
                </c:pt>
                <c:pt idx="32">
                  <c:v>0.759859641009906</c:v>
                </c:pt>
                <c:pt idx="33">
                  <c:v>2.4352261038974299</c:v>
                </c:pt>
                <c:pt idx="34">
                  <c:v>0.66084681493743003</c:v>
                </c:pt>
                <c:pt idx="35">
                  <c:v>1.17781242915115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E56-4E2B-A503-C9C9EB7F7CF2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envelope'!$S$2:$S$37</c:f>
              <c:numCache>
                <c:formatCode>General</c:formatCode>
                <c:ptCount val="36"/>
                <c:pt idx="0">
                  <c:v>8.4875273627382803</c:v>
                </c:pt>
                <c:pt idx="1">
                  <c:v>3.6696571758817198</c:v>
                </c:pt>
                <c:pt idx="2">
                  <c:v>8.3266858207082599</c:v>
                </c:pt>
                <c:pt idx="3">
                  <c:v>5.3915917727487104</c:v>
                </c:pt>
                <c:pt idx="4">
                  <c:v>5.0526826474058097</c:v>
                </c:pt>
                <c:pt idx="5">
                  <c:v>6.0491299651584196</c:v>
                </c:pt>
                <c:pt idx="6">
                  <c:v>4.6995148199797203</c:v>
                </c:pt>
                <c:pt idx="7">
                  <c:v>6.1106814199081896</c:v>
                </c:pt>
                <c:pt idx="8">
                  <c:v>5.97820135444214</c:v>
                </c:pt>
                <c:pt idx="9">
                  <c:v>4.9350319931648103</c:v>
                </c:pt>
                <c:pt idx="10">
                  <c:v>3.84917915232543</c:v>
                </c:pt>
                <c:pt idx="11">
                  <c:v>4.2063295807845602</c:v>
                </c:pt>
                <c:pt idx="12">
                  <c:v>3.7065934367717599</c:v>
                </c:pt>
                <c:pt idx="13">
                  <c:v>2.3516392566763402</c:v>
                </c:pt>
                <c:pt idx="14">
                  <c:v>1.2775871078584</c:v>
                </c:pt>
                <c:pt idx="15">
                  <c:v>2.4180096362066301</c:v>
                </c:pt>
                <c:pt idx="16">
                  <c:v>1.86124282879616</c:v>
                </c:pt>
                <c:pt idx="17">
                  <c:v>1.7333891293799499</c:v>
                </c:pt>
                <c:pt idx="18">
                  <c:v>2.1182747223488398</c:v>
                </c:pt>
                <c:pt idx="19">
                  <c:v>2.2486316146990202</c:v>
                </c:pt>
                <c:pt idx="20">
                  <c:v>1.38187374013061</c:v>
                </c:pt>
                <c:pt idx="21">
                  <c:v>1.08129059920596</c:v>
                </c:pt>
                <c:pt idx="22">
                  <c:v>0.96612323561066804</c:v>
                </c:pt>
                <c:pt idx="23">
                  <c:v>1.21105643309446</c:v>
                </c:pt>
                <c:pt idx="24">
                  <c:v>1.4536955966377501</c:v>
                </c:pt>
                <c:pt idx="25">
                  <c:v>1.23423783884298</c:v>
                </c:pt>
                <c:pt idx="26">
                  <c:v>2.3405286516514501</c:v>
                </c:pt>
                <c:pt idx="27">
                  <c:v>2.0097890273663599</c:v>
                </c:pt>
                <c:pt idx="28">
                  <c:v>1.6678313402251601</c:v>
                </c:pt>
                <c:pt idx="29">
                  <c:v>1.93980804085475</c:v>
                </c:pt>
                <c:pt idx="30">
                  <c:v>3.8969168791608402</c:v>
                </c:pt>
                <c:pt idx="31">
                  <c:v>3.52073104697577</c:v>
                </c:pt>
                <c:pt idx="32">
                  <c:v>2.5242279913372498</c:v>
                </c:pt>
                <c:pt idx="33">
                  <c:v>7.5299683456584097</c:v>
                </c:pt>
                <c:pt idx="34">
                  <c:v>2.5529730320435</c:v>
                </c:pt>
                <c:pt idx="35">
                  <c:v>3.97354688561304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E56-4E2B-A503-C9C9EB7F7CF2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envelope'!$T$2:$T$37</c:f>
              <c:numCache>
                <c:formatCode>General</c:formatCode>
                <c:ptCount val="36"/>
                <c:pt idx="0">
                  <c:v>33.9501094509531</c:v>
                </c:pt>
                <c:pt idx="1">
                  <c:v>14.678628703526799</c:v>
                </c:pt>
                <c:pt idx="2">
                  <c:v>33.306743282832997</c:v>
                </c:pt>
                <c:pt idx="3">
                  <c:v>21.566367090994799</c:v>
                </c:pt>
                <c:pt idx="4">
                  <c:v>20.2107305896232</c:v>
                </c:pt>
                <c:pt idx="5">
                  <c:v>24.1965198606337</c:v>
                </c:pt>
                <c:pt idx="6">
                  <c:v>18.7980592799188</c:v>
                </c:pt>
                <c:pt idx="7">
                  <c:v>24.442725679632701</c:v>
                </c:pt>
                <c:pt idx="8">
                  <c:v>23.912805417768499</c:v>
                </c:pt>
                <c:pt idx="9">
                  <c:v>19.740127972659199</c:v>
                </c:pt>
                <c:pt idx="10">
                  <c:v>15.3967166093017</c:v>
                </c:pt>
                <c:pt idx="11">
                  <c:v>16.825318323138202</c:v>
                </c:pt>
                <c:pt idx="12">
                  <c:v>14.826373747087001</c:v>
                </c:pt>
                <c:pt idx="13">
                  <c:v>9.4065570267053804</c:v>
                </c:pt>
                <c:pt idx="14">
                  <c:v>5.1103484314336303</c:v>
                </c:pt>
                <c:pt idx="15">
                  <c:v>9.6720385448265294</c:v>
                </c:pt>
                <c:pt idx="16">
                  <c:v>7.4449713151846701</c:v>
                </c:pt>
                <c:pt idx="17">
                  <c:v>6.9335565175198299</c:v>
                </c:pt>
                <c:pt idx="18">
                  <c:v>8.4730988893953594</c:v>
                </c:pt>
                <c:pt idx="19">
                  <c:v>8.9945264587960896</c:v>
                </c:pt>
                <c:pt idx="20">
                  <c:v>5.5274949605224499</c:v>
                </c:pt>
                <c:pt idx="21">
                  <c:v>4.3251623968238597</c:v>
                </c:pt>
                <c:pt idx="22">
                  <c:v>3.8644929424426699</c:v>
                </c:pt>
                <c:pt idx="23">
                  <c:v>4.8442257323778604</c:v>
                </c:pt>
                <c:pt idx="24">
                  <c:v>5.8147823865510198</c:v>
                </c:pt>
                <c:pt idx="25">
                  <c:v>4.93695135537192</c:v>
                </c:pt>
                <c:pt idx="26">
                  <c:v>9.3621146066058198</c:v>
                </c:pt>
                <c:pt idx="27">
                  <c:v>8.0391561094654609</c:v>
                </c:pt>
                <c:pt idx="28">
                  <c:v>6.6713253609006697</c:v>
                </c:pt>
                <c:pt idx="29">
                  <c:v>7.7592321634190196</c:v>
                </c:pt>
                <c:pt idx="30">
                  <c:v>15.5876675166433</c:v>
                </c:pt>
                <c:pt idx="31">
                  <c:v>14.082924187903</c:v>
                </c:pt>
                <c:pt idx="32">
                  <c:v>10.096911965348999</c:v>
                </c:pt>
                <c:pt idx="33">
                  <c:v>30.1198733826336</c:v>
                </c:pt>
                <c:pt idx="34">
                  <c:v>10.211892128174</c:v>
                </c:pt>
                <c:pt idx="35">
                  <c:v>15.8941875424521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E56-4E2B-A503-C9C9EB7F7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Linear Mean Amp</a:t>
            </a:r>
            <a:endParaRPr lang="en-US" sz="1000"/>
          </a:p>
        </c:rich>
      </c:tx>
      <c:layout>
        <c:manualLayout>
          <c:xMode val="edge"/>
          <c:yMode val="edge"/>
          <c:x val="0.15338224478320475"/>
          <c:y val="2.93320443511068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4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validation!$B$44:$B$45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validation!$C$44:$C$45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6D6-4E1F-A2CA-DB9124D77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3"/>
          <c:order val="0"/>
          <c:tx>
            <c:strRef>
              <c:f>validation!$BP$22</c:f>
              <c:strCache>
                <c:ptCount val="1"/>
                <c:pt idx="0">
                  <c:v>Ch1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5764615915971724"/>
                  <c:y val="-0.2552610436466759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validation!$BD$23:$BD$32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validation!$BP$23:$BP$32</c:f>
              <c:numCache>
                <c:formatCode>0.00</c:formatCode>
                <c:ptCount val="10"/>
                <c:pt idx="0">
                  <c:v>364.33260145892592</c:v>
                </c:pt>
                <c:pt idx="1">
                  <c:v>74.414803400430642</c:v>
                </c:pt>
                <c:pt idx="2">
                  <c:v>41.779457380353541</c:v>
                </c:pt>
                <c:pt idx="3">
                  <c:v>336.84850967372444</c:v>
                </c:pt>
                <c:pt idx="4">
                  <c:v>647.67237963517539</c:v>
                </c:pt>
                <c:pt idx="5">
                  <c:v>515.9258788860742</c:v>
                </c:pt>
                <c:pt idx="6">
                  <c:v>1117.1660040268696</c:v>
                </c:pt>
                <c:pt idx="7">
                  <c:v>121.102770284</c:v>
                </c:pt>
                <c:pt idx="8">
                  <c:v>394.93568197099387</c:v>
                </c:pt>
                <c:pt idx="9">
                  <c:v>1726.6078777008913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6D6-4E1F-A2CA-DB9124D77184}"/>
            </c:ext>
          </c:extLst>
        </c:ser>
        <c:ser>
          <c:idx val="2"/>
          <c:order val="1"/>
          <c:tx>
            <c:strRef>
              <c:f>validation!$BQ$22</c:f>
              <c:strCache>
                <c:ptCount val="1"/>
                <c:pt idx="0">
                  <c:v>Ch2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4357608186569225"/>
                  <c:y val="-0.15887706771940879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validation!$BN$23:$BN$32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validation!$BQ$23:$BQ$32</c:f>
              <c:numCache>
                <c:formatCode>0.00</c:formatCode>
                <c:ptCount val="10"/>
                <c:pt idx="0">
                  <c:v>364.32728764642911</c:v>
                </c:pt>
                <c:pt idx="1">
                  <c:v>74.413915408439124</c:v>
                </c:pt>
                <c:pt idx="2">
                  <c:v>41.779067592282487</c:v>
                </c:pt>
                <c:pt idx="3">
                  <c:v>336.84361542724753</c:v>
                </c:pt>
                <c:pt idx="4">
                  <c:v>647.66274042075725</c:v>
                </c:pt>
                <c:pt idx="5">
                  <c:v>515.9182508843827</c:v>
                </c:pt>
                <c:pt idx="6">
                  <c:v>1117.1491976273951</c:v>
                </c:pt>
                <c:pt idx="7">
                  <c:v>121.10116956390914</c:v>
                </c:pt>
                <c:pt idx="8">
                  <c:v>394.92990097868829</c:v>
                </c:pt>
                <c:pt idx="9">
                  <c:v>1726.5817676975616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6D6-4E1F-A2CA-DB9124D77184}"/>
            </c:ext>
          </c:extLst>
        </c:ser>
        <c:ser>
          <c:idx val="1"/>
          <c:order val="2"/>
          <c:tx>
            <c:strRef>
              <c:f>validation!$BR$22</c:f>
              <c:strCache>
                <c:ptCount val="1"/>
                <c:pt idx="0">
                  <c:v>Ch3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380469143683066"/>
                  <c:y val="-0.2906577933658108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validation!$BN$23:$BN$32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validation!$BR$23:$BR$32</c:f>
              <c:numCache>
                <c:formatCode>0.00</c:formatCode>
                <c:ptCount val="10"/>
                <c:pt idx="0">
                  <c:v>319.96390759037655</c:v>
                </c:pt>
                <c:pt idx="1">
                  <c:v>68.582835131746805</c:v>
                </c:pt>
                <c:pt idx="2">
                  <c:v>40.285475198949058</c:v>
                </c:pt>
                <c:pt idx="3">
                  <c:v>296.13308204333094</c:v>
                </c:pt>
                <c:pt idx="4">
                  <c:v>565.64132989807285</c:v>
                </c:pt>
                <c:pt idx="5">
                  <c:v>451.40696114677337</c:v>
                </c:pt>
                <c:pt idx="6">
                  <c:v>972.72848219584648</c:v>
                </c:pt>
                <c:pt idx="7">
                  <c:v>109.06490027124764</c:v>
                </c:pt>
                <c:pt idx="8">
                  <c:v>346.49913671801062</c:v>
                </c:pt>
                <c:pt idx="9">
                  <c:v>1501.161551263448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6D6-4E1F-A2CA-DB9124D77184}"/>
            </c:ext>
          </c:extLst>
        </c:ser>
        <c:ser>
          <c:idx val="0"/>
          <c:order val="3"/>
          <c:tx>
            <c:strRef>
              <c:f>validation!$BS$22</c:f>
              <c:strCache>
                <c:ptCount val="1"/>
                <c:pt idx="0">
                  <c:v>Ch4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380469143683066"/>
                  <c:y val="-0.2332088893581429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validation!$BN$23:$BN$32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validation!$BS$23:$BS$32</c:f>
              <c:numCache>
                <c:formatCode>0.00</c:formatCode>
                <c:ptCount val="10"/>
                <c:pt idx="0">
                  <c:v>234.71949110814046</c:v>
                </c:pt>
                <c:pt idx="1">
                  <c:v>55.266300283589857</c:v>
                </c:pt>
                <c:pt idx="2">
                  <c:v>33.255920445181978</c:v>
                </c:pt>
                <c:pt idx="3">
                  <c:v>217.7074000920035</c:v>
                </c:pt>
                <c:pt idx="4">
                  <c:v>410.10102208606764</c:v>
                </c:pt>
                <c:pt idx="5">
                  <c:v>328.55263113621379</c:v>
                </c:pt>
                <c:pt idx="6">
                  <c:v>700.7079787237351</c:v>
                </c:pt>
                <c:pt idx="7">
                  <c:v>84.165197441594188</c:v>
                </c:pt>
                <c:pt idx="8">
                  <c:v>253.66217239134818</c:v>
                </c:pt>
                <c:pt idx="9">
                  <c:v>1077.9400410024009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6D6-4E1F-A2CA-DB9124D77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9.806214691630355E-2"/>
          <c:y val="0.84169505562035296"/>
          <c:w val="0.79042307261402944"/>
          <c:h val="0.12501587856731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Linear Mean Amp</a:t>
            </a:r>
            <a:endParaRPr lang="en-US" sz="1000"/>
          </a:p>
        </c:rich>
      </c:tx>
      <c:layout>
        <c:manualLayout>
          <c:xMode val="edge"/>
          <c:yMode val="edge"/>
          <c:x val="0.15338224478320475"/>
          <c:y val="2.93320443511068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4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validation!$B$44:$B$45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validation!$C$44:$C$45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529-452F-8D61-B468F33E0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3"/>
          <c:order val="0"/>
          <c:tx>
            <c:strRef>
              <c:f>validation!$BY$22</c:f>
              <c:strCache>
                <c:ptCount val="1"/>
                <c:pt idx="0">
                  <c:v>Ch1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5764615915971724"/>
                  <c:y val="-0.2552610436466759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validation!$BD$23:$BD$32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validation!$BY$23:$BY$32</c:f>
              <c:numCache>
                <c:formatCode>0.00</c:formatCode>
                <c:ptCount val="10"/>
                <c:pt idx="0">
                  <c:v>318.9670548214167</c:v>
                </c:pt>
                <c:pt idx="1">
                  <c:v>74.975956194233888</c:v>
                </c:pt>
                <c:pt idx="2">
                  <c:v>38.506328399357002</c:v>
                </c:pt>
                <c:pt idx="3">
                  <c:v>298.42645328901642</c:v>
                </c:pt>
                <c:pt idx="4">
                  <c:v>516.48708918829755</c:v>
                </c:pt>
                <c:pt idx="5">
                  <c:v>427.3754928312203</c:v>
                </c:pt>
                <c:pt idx="6">
                  <c:v>809.93698309413901</c:v>
                </c:pt>
                <c:pt idx="7">
                  <c:v>120.78889816845482</c:v>
                </c:pt>
                <c:pt idx="8">
                  <c:v>341.47829558115103</c:v>
                </c:pt>
                <c:pt idx="9">
                  <c:v>1156.901584421455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29-452F-8D61-B468F33E002F}"/>
            </c:ext>
          </c:extLst>
        </c:ser>
        <c:ser>
          <c:idx val="2"/>
          <c:order val="1"/>
          <c:tx>
            <c:strRef>
              <c:f>validation!$BZ$22</c:f>
              <c:strCache>
                <c:ptCount val="1"/>
                <c:pt idx="0">
                  <c:v>Ch2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4357608186569225"/>
                  <c:y val="-0.15887706771940879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validation!$BN$23:$BN$32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validation!$BZ$23:$BZ$32</c:f>
              <c:numCache>
                <c:formatCode>General</c:formatCode>
                <c:ptCount val="10"/>
                <c:pt idx="0">
                  <c:v>318.95677155946009</c:v>
                </c:pt>
                <c:pt idx="1">
                  <c:v>74.973539024854261</c:v>
                </c:pt>
                <c:pt idx="2">
                  <c:v>38.5050869838065</c:v>
                </c:pt>
                <c:pt idx="3">
                  <c:v>298.41683224086142</c:v>
                </c:pt>
                <c:pt idx="4">
                  <c:v>516.47043802650649</c:v>
                </c:pt>
                <c:pt idx="5">
                  <c:v>427.36171456139527</c:v>
                </c:pt>
                <c:pt idx="6">
                  <c:v>809.91087132478845</c:v>
                </c:pt>
                <c:pt idx="7">
                  <c:v>120.78500402370675</c:v>
                </c:pt>
                <c:pt idx="8">
                  <c:v>341.46728657343982</c:v>
                </c:pt>
                <c:pt idx="9">
                  <c:v>1156.86428676995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529-452F-8D61-B468F33E002F}"/>
            </c:ext>
          </c:extLst>
        </c:ser>
        <c:ser>
          <c:idx val="1"/>
          <c:order val="2"/>
          <c:tx>
            <c:strRef>
              <c:f>validation!$CA$22</c:f>
              <c:strCache>
                <c:ptCount val="1"/>
                <c:pt idx="0">
                  <c:v>Ch3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380469143683066"/>
                  <c:y val="-0.2906577933658108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validation!$BN$23:$BN$32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validation!$CA$24:$CA$33</c:f>
              <c:numCache>
                <c:formatCode>General</c:formatCode>
                <c:ptCount val="10"/>
                <c:pt idx="0">
                  <c:v>69.413766763516179</c:v>
                </c:pt>
                <c:pt idx="1">
                  <c:v>36.229662410963577</c:v>
                </c:pt>
                <c:pt idx="2">
                  <c:v>267.19719303270881</c:v>
                </c:pt>
                <c:pt idx="3">
                  <c:v>456.33593559748067</c:v>
                </c:pt>
                <c:pt idx="4">
                  <c:v>379.33837521171017</c:v>
                </c:pt>
                <c:pt idx="5">
                  <c:v>707.85506284767735</c:v>
                </c:pt>
                <c:pt idx="6">
                  <c:v>110.54391828022214</c:v>
                </c:pt>
                <c:pt idx="7">
                  <c:v>304.74758631506432</c:v>
                </c:pt>
                <c:pt idx="8">
                  <c:v>1002.396211193217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529-452F-8D61-B468F33E002F}"/>
            </c:ext>
          </c:extLst>
        </c:ser>
        <c:ser>
          <c:idx val="0"/>
          <c:order val="3"/>
          <c:tx>
            <c:strRef>
              <c:f>validation!$CB$22</c:f>
              <c:strCache>
                <c:ptCount val="1"/>
                <c:pt idx="0">
                  <c:v>Ch4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380469143683066"/>
                  <c:y val="-0.2332088893581429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validation!$BN$23:$BN$32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validation!$CB$23:$CB$32</c:f>
              <c:numCache>
                <c:formatCode>General</c:formatCode>
                <c:ptCount val="10"/>
                <c:pt idx="0">
                  <c:v>213.30081318545697</c:v>
                </c:pt>
                <c:pt idx="1">
                  <c:v>53.94458799502717</c:v>
                </c:pt>
                <c:pt idx="2">
                  <c:v>26.097541183844328</c:v>
                </c:pt>
                <c:pt idx="3">
                  <c:v>200.23729242898125</c:v>
                </c:pt>
                <c:pt idx="4">
                  <c:v>337.07610282431187</c:v>
                </c:pt>
                <c:pt idx="5">
                  <c:v>281.60140098067734</c:v>
                </c:pt>
                <c:pt idx="6">
                  <c:v>516.70791356258064</c:v>
                </c:pt>
                <c:pt idx="7">
                  <c:v>84.83719823169416</c:v>
                </c:pt>
                <c:pt idx="8">
                  <c:v>227.56894947640296</c:v>
                </c:pt>
                <c:pt idx="9">
                  <c:v>724.87781777671887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529-452F-8D61-B468F33E0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9.806214691630355E-2"/>
          <c:y val="0.84588534767051127"/>
          <c:w val="0.79042307261402944"/>
          <c:h val="0.12501587856731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/>
              <a:t>H1 Flood Calibration - Impact Pipes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26419688736091085"/>
                  <c:y val="5.2768891144978696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floods!$F$3:$F$7</c:f>
              <c:numCache>
                <c:formatCode>General</c:formatCode>
                <c:ptCount val="5"/>
                <c:pt idx="0">
                  <c:v>90</c:v>
                </c:pt>
                <c:pt idx="1">
                  <c:v>90</c:v>
                </c:pt>
                <c:pt idx="2">
                  <c:v>45</c:v>
                </c:pt>
                <c:pt idx="3">
                  <c:v>64</c:v>
                </c:pt>
                <c:pt idx="4">
                  <c:v>90</c:v>
                </c:pt>
              </c:numCache>
            </c:numRef>
          </c:xVal>
          <c:yVal>
            <c:numRef>
              <c:f>floods!$B$3:$B$7</c:f>
              <c:numCache>
                <c:formatCode>General</c:formatCode>
                <c:ptCount val="5"/>
                <c:pt idx="0">
                  <c:v>7.0800000000000002E-2</c:v>
                </c:pt>
                <c:pt idx="1">
                  <c:v>4.87E-2</c:v>
                </c:pt>
                <c:pt idx="2">
                  <c:v>6.7999999999999996E-3</c:v>
                </c:pt>
                <c:pt idx="3">
                  <c:v>1.5E-3</c:v>
                </c:pt>
                <c:pt idx="4">
                  <c:v>4.9599999999999998E-2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FC-4426-80EC-39C1B2E9F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790400"/>
        <c:axId val="1128790880"/>
      </c:scatterChart>
      <c:valAx>
        <c:axId val="112879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790880"/>
        <c:crosses val="autoZero"/>
        <c:crossBetween val="midCat"/>
      </c:valAx>
      <c:valAx>
        <c:axId val="112879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790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30.xml"/><Relationship Id="rId18" Type="http://schemas.openxmlformats.org/officeDocument/2006/relationships/chart" Target="../charts/chart35.xml"/><Relationship Id="rId26" Type="http://schemas.openxmlformats.org/officeDocument/2006/relationships/chart" Target="../charts/chart43.xml"/><Relationship Id="rId39" Type="http://schemas.openxmlformats.org/officeDocument/2006/relationships/chart" Target="../charts/chart56.xml"/><Relationship Id="rId21" Type="http://schemas.openxmlformats.org/officeDocument/2006/relationships/chart" Target="../charts/chart38.xml"/><Relationship Id="rId34" Type="http://schemas.openxmlformats.org/officeDocument/2006/relationships/chart" Target="../charts/chart51.xml"/><Relationship Id="rId7" Type="http://schemas.openxmlformats.org/officeDocument/2006/relationships/chart" Target="../charts/chart24.xml"/><Relationship Id="rId12" Type="http://schemas.openxmlformats.org/officeDocument/2006/relationships/chart" Target="../charts/chart29.xml"/><Relationship Id="rId17" Type="http://schemas.openxmlformats.org/officeDocument/2006/relationships/chart" Target="../charts/chart34.xml"/><Relationship Id="rId25" Type="http://schemas.openxmlformats.org/officeDocument/2006/relationships/chart" Target="../charts/chart42.xml"/><Relationship Id="rId33" Type="http://schemas.openxmlformats.org/officeDocument/2006/relationships/chart" Target="../charts/chart50.xml"/><Relationship Id="rId38" Type="http://schemas.openxmlformats.org/officeDocument/2006/relationships/chart" Target="../charts/chart55.xml"/><Relationship Id="rId2" Type="http://schemas.openxmlformats.org/officeDocument/2006/relationships/chart" Target="../charts/chart19.xml"/><Relationship Id="rId16" Type="http://schemas.openxmlformats.org/officeDocument/2006/relationships/chart" Target="../charts/chart33.xml"/><Relationship Id="rId20" Type="http://schemas.openxmlformats.org/officeDocument/2006/relationships/chart" Target="../charts/chart37.xml"/><Relationship Id="rId29" Type="http://schemas.openxmlformats.org/officeDocument/2006/relationships/chart" Target="../charts/chart46.xml"/><Relationship Id="rId1" Type="http://schemas.openxmlformats.org/officeDocument/2006/relationships/chart" Target="../charts/chart18.xml"/><Relationship Id="rId6" Type="http://schemas.openxmlformats.org/officeDocument/2006/relationships/chart" Target="../charts/chart23.xml"/><Relationship Id="rId11" Type="http://schemas.openxmlformats.org/officeDocument/2006/relationships/chart" Target="../charts/chart28.xml"/><Relationship Id="rId24" Type="http://schemas.openxmlformats.org/officeDocument/2006/relationships/chart" Target="../charts/chart41.xml"/><Relationship Id="rId32" Type="http://schemas.openxmlformats.org/officeDocument/2006/relationships/chart" Target="../charts/chart49.xml"/><Relationship Id="rId37" Type="http://schemas.openxmlformats.org/officeDocument/2006/relationships/chart" Target="../charts/chart54.xml"/><Relationship Id="rId40" Type="http://schemas.openxmlformats.org/officeDocument/2006/relationships/chart" Target="../charts/chart57.xml"/><Relationship Id="rId5" Type="http://schemas.openxmlformats.org/officeDocument/2006/relationships/chart" Target="../charts/chart22.xml"/><Relationship Id="rId15" Type="http://schemas.openxmlformats.org/officeDocument/2006/relationships/chart" Target="../charts/chart32.xml"/><Relationship Id="rId23" Type="http://schemas.openxmlformats.org/officeDocument/2006/relationships/chart" Target="../charts/chart40.xml"/><Relationship Id="rId28" Type="http://schemas.openxmlformats.org/officeDocument/2006/relationships/chart" Target="../charts/chart45.xml"/><Relationship Id="rId36" Type="http://schemas.openxmlformats.org/officeDocument/2006/relationships/chart" Target="../charts/chart53.xml"/><Relationship Id="rId10" Type="http://schemas.openxmlformats.org/officeDocument/2006/relationships/chart" Target="../charts/chart27.xml"/><Relationship Id="rId19" Type="http://schemas.openxmlformats.org/officeDocument/2006/relationships/chart" Target="../charts/chart36.xml"/><Relationship Id="rId31" Type="http://schemas.openxmlformats.org/officeDocument/2006/relationships/chart" Target="../charts/chart48.xml"/><Relationship Id="rId4" Type="http://schemas.openxmlformats.org/officeDocument/2006/relationships/chart" Target="../charts/chart21.xml"/><Relationship Id="rId9" Type="http://schemas.openxmlformats.org/officeDocument/2006/relationships/chart" Target="../charts/chart26.xml"/><Relationship Id="rId14" Type="http://schemas.openxmlformats.org/officeDocument/2006/relationships/chart" Target="../charts/chart31.xml"/><Relationship Id="rId22" Type="http://schemas.openxmlformats.org/officeDocument/2006/relationships/chart" Target="../charts/chart39.xml"/><Relationship Id="rId27" Type="http://schemas.openxmlformats.org/officeDocument/2006/relationships/chart" Target="../charts/chart44.xml"/><Relationship Id="rId30" Type="http://schemas.openxmlformats.org/officeDocument/2006/relationships/chart" Target="../charts/chart47.xml"/><Relationship Id="rId35" Type="http://schemas.openxmlformats.org/officeDocument/2006/relationships/chart" Target="../charts/chart52.xml"/><Relationship Id="rId8" Type="http://schemas.openxmlformats.org/officeDocument/2006/relationships/chart" Target="../charts/chart25.xml"/><Relationship Id="rId3" Type="http://schemas.openxmlformats.org/officeDocument/2006/relationships/chart" Target="../charts/chart2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668254</xdr:colOff>
      <xdr:row>38</xdr:row>
      <xdr:rowOff>135484</xdr:rowOff>
    </xdr:from>
    <xdr:to>
      <xdr:col>3</xdr:col>
      <xdr:colOff>614950</xdr:colOff>
      <xdr:row>55</xdr:row>
      <xdr:rowOff>40147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A5BC6B-7FFA-7404-10B4-6C5ADDF9CC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692634</xdr:colOff>
      <xdr:row>38</xdr:row>
      <xdr:rowOff>106638</xdr:rowOff>
    </xdr:from>
    <xdr:to>
      <xdr:col>7</xdr:col>
      <xdr:colOff>13993</xdr:colOff>
      <xdr:row>55</xdr:row>
      <xdr:rowOff>11301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C4C9BAA-27B9-4ED8-97CD-E7E7741094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56943</xdr:colOff>
      <xdr:row>38</xdr:row>
      <xdr:rowOff>114921</xdr:rowOff>
    </xdr:from>
    <xdr:to>
      <xdr:col>12</xdr:col>
      <xdr:colOff>402238</xdr:colOff>
      <xdr:row>55</xdr:row>
      <xdr:rowOff>19584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52B500A-9672-4C76-9840-B7AB33DA3C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697367</xdr:colOff>
      <xdr:row>55</xdr:row>
      <xdr:rowOff>91848</xdr:rowOff>
    </xdr:from>
    <xdr:to>
      <xdr:col>6</xdr:col>
      <xdr:colOff>870857</xdr:colOff>
      <xdr:row>85</xdr:row>
      <xdr:rowOff>159883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FEB500E-0FBD-4FFF-A26E-78C825E9EF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57430</xdr:colOff>
      <xdr:row>55</xdr:row>
      <xdr:rowOff>113459</xdr:rowOff>
    </xdr:from>
    <xdr:to>
      <xdr:col>18</xdr:col>
      <xdr:colOff>183295</xdr:colOff>
      <xdr:row>85</xdr:row>
      <xdr:rowOff>181494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C0D60EA-FC0E-4CF1-9A27-D1FDB42EE3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721179</xdr:colOff>
      <xdr:row>86</xdr:row>
      <xdr:rowOff>68036</xdr:rowOff>
    </xdr:from>
    <xdr:to>
      <xdr:col>7</xdr:col>
      <xdr:colOff>10205</xdr:colOff>
      <xdr:row>116</xdr:row>
      <xdr:rowOff>136071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90278AB-8DD2-4A74-B8C2-88A0A1CABE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136071</xdr:colOff>
      <xdr:row>86</xdr:row>
      <xdr:rowOff>95250</xdr:rowOff>
    </xdr:from>
    <xdr:to>
      <xdr:col>18</xdr:col>
      <xdr:colOff>261936</xdr:colOff>
      <xdr:row>116</xdr:row>
      <xdr:rowOff>163285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25AA566-695E-4F0B-8254-EF827BE983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344365</xdr:colOff>
      <xdr:row>38</xdr:row>
      <xdr:rowOff>141876</xdr:rowOff>
    </xdr:from>
    <xdr:to>
      <xdr:col>17</xdr:col>
      <xdr:colOff>332446</xdr:colOff>
      <xdr:row>49</xdr:row>
      <xdr:rowOff>117029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D470DA8-C972-4552-BB64-A07C9CDA47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263769</xdr:colOff>
      <xdr:row>38</xdr:row>
      <xdr:rowOff>153866</xdr:rowOff>
    </xdr:from>
    <xdr:to>
      <xdr:col>21</xdr:col>
      <xdr:colOff>251849</xdr:colOff>
      <xdr:row>49</xdr:row>
      <xdr:rowOff>129019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C9B19E68-7F9D-47E4-8BDA-9F4A382609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27</xdr:col>
      <xdr:colOff>500063</xdr:colOff>
      <xdr:row>1</xdr:row>
      <xdr:rowOff>71438</xdr:rowOff>
    </xdr:from>
    <xdr:to>
      <xdr:col>39</xdr:col>
      <xdr:colOff>235961</xdr:colOff>
      <xdr:row>25</xdr:row>
      <xdr:rowOff>36802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86D5A355-60C4-4EAD-BA45-9A6BF3D375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39</xdr:col>
      <xdr:colOff>299357</xdr:colOff>
      <xdr:row>1</xdr:row>
      <xdr:rowOff>54429</xdr:rowOff>
    </xdr:from>
    <xdr:to>
      <xdr:col>51</xdr:col>
      <xdr:colOff>35255</xdr:colOff>
      <xdr:row>25</xdr:row>
      <xdr:rowOff>19793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619FECEC-5912-47AA-A558-DB5D5447C3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27</xdr:col>
      <xdr:colOff>508196</xdr:colOff>
      <xdr:row>25</xdr:row>
      <xdr:rowOff>78093</xdr:rowOff>
    </xdr:from>
    <xdr:to>
      <xdr:col>39</xdr:col>
      <xdr:colOff>244094</xdr:colOff>
      <xdr:row>49</xdr:row>
      <xdr:rowOff>43457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61EE5840-815B-4298-9B2E-014A06BAFB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39</xdr:col>
      <xdr:colOff>306456</xdr:colOff>
      <xdr:row>25</xdr:row>
      <xdr:rowOff>66261</xdr:rowOff>
    </xdr:from>
    <xdr:to>
      <xdr:col>51</xdr:col>
      <xdr:colOff>42355</xdr:colOff>
      <xdr:row>49</xdr:row>
      <xdr:rowOff>31625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756D361C-41BB-4544-BD8B-DBADC1805D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27</xdr:col>
      <xdr:colOff>476250</xdr:colOff>
      <xdr:row>57</xdr:row>
      <xdr:rowOff>17008</xdr:rowOff>
    </xdr:from>
    <xdr:to>
      <xdr:col>39</xdr:col>
      <xdr:colOff>212148</xdr:colOff>
      <xdr:row>80</xdr:row>
      <xdr:rowOff>172872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47151FD5-B402-4B8F-A319-066ABDD7DD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39</xdr:col>
      <xdr:colOff>275544</xdr:colOff>
      <xdr:row>57</xdr:row>
      <xdr:rowOff>-1</xdr:rowOff>
    </xdr:from>
    <xdr:to>
      <xdr:col>51</xdr:col>
      <xdr:colOff>11442</xdr:colOff>
      <xdr:row>80</xdr:row>
      <xdr:rowOff>155863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BD27C65-07B5-4341-8B07-C875638A3E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27</xdr:col>
      <xdr:colOff>484383</xdr:colOff>
      <xdr:row>81</xdr:row>
      <xdr:rowOff>23663</xdr:rowOff>
    </xdr:from>
    <xdr:to>
      <xdr:col>39</xdr:col>
      <xdr:colOff>220281</xdr:colOff>
      <xdr:row>104</xdr:row>
      <xdr:rowOff>179527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A177A9DA-EB73-40CF-819C-875947E2C6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39</xdr:col>
      <xdr:colOff>282643</xdr:colOff>
      <xdr:row>81</xdr:row>
      <xdr:rowOff>11831</xdr:rowOff>
    </xdr:from>
    <xdr:to>
      <xdr:col>51</xdr:col>
      <xdr:colOff>18542</xdr:colOff>
      <xdr:row>104</xdr:row>
      <xdr:rowOff>167695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AACD1488-0A4E-46E0-88FC-AFFBDADA07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752061</xdr:colOff>
      <xdr:row>54</xdr:row>
      <xdr:rowOff>135835</xdr:rowOff>
    </xdr:from>
    <xdr:to>
      <xdr:col>5</xdr:col>
      <xdr:colOff>95250</xdr:colOff>
      <xdr:row>65</xdr:row>
      <xdr:rowOff>39283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F4C65D-0C9E-474C-AF01-DFDCBA30C0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125897</xdr:colOff>
      <xdr:row>32</xdr:row>
      <xdr:rowOff>144322</xdr:rowOff>
    </xdr:from>
    <xdr:to>
      <xdr:col>4</xdr:col>
      <xdr:colOff>190500</xdr:colOff>
      <xdr:row>48</xdr:row>
      <xdr:rowOff>127137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E567D33-46DD-B248-80E9-7E624FAC08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66265</xdr:colOff>
      <xdr:row>54</xdr:row>
      <xdr:rowOff>107675</xdr:rowOff>
    </xdr:from>
    <xdr:to>
      <xdr:col>2</xdr:col>
      <xdr:colOff>657226</xdr:colOff>
      <xdr:row>65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B679F5B-0A51-4FF8-8D60-72BCCB5E9F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131281</xdr:colOff>
      <xdr:row>65</xdr:row>
      <xdr:rowOff>128795</xdr:rowOff>
    </xdr:from>
    <xdr:to>
      <xdr:col>3</xdr:col>
      <xdr:colOff>571501</xdr:colOff>
      <xdr:row>76</xdr:row>
      <xdr:rowOff>152401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7B65CE5-9526-43D6-ABD1-C44A7C402B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345682</xdr:colOff>
      <xdr:row>54</xdr:row>
      <xdr:rowOff>152399</xdr:rowOff>
    </xdr:from>
    <xdr:to>
      <xdr:col>8</xdr:col>
      <xdr:colOff>19471</xdr:colOff>
      <xdr:row>65</xdr:row>
      <xdr:rowOff>127552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6C64D8-E0C0-4279-AB72-44432ED8F6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64131</xdr:colOff>
      <xdr:row>54</xdr:row>
      <xdr:rowOff>176362</xdr:rowOff>
    </xdr:from>
    <xdr:to>
      <xdr:col>10</xdr:col>
      <xdr:colOff>190501</xdr:colOff>
      <xdr:row>65</xdr:row>
      <xdr:rowOff>110101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24982CB-C70B-4177-BD99-1DC496FCFA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356568</xdr:colOff>
      <xdr:row>65</xdr:row>
      <xdr:rowOff>185532</xdr:rowOff>
    </xdr:from>
    <xdr:to>
      <xdr:col>9</xdr:col>
      <xdr:colOff>276226</xdr:colOff>
      <xdr:row>76</xdr:row>
      <xdr:rowOff>119271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450F4C8-B8EC-4990-BFEC-421978A880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660596</xdr:colOff>
      <xdr:row>32</xdr:row>
      <xdr:rowOff>115246</xdr:rowOff>
    </xdr:from>
    <xdr:to>
      <xdr:col>10</xdr:col>
      <xdr:colOff>20410</xdr:colOff>
      <xdr:row>47</xdr:row>
      <xdr:rowOff>125185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0BB64E0-EDBC-4B17-810E-FD05C69E9F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775920</xdr:colOff>
      <xdr:row>54</xdr:row>
      <xdr:rowOff>136583</xdr:rowOff>
    </xdr:from>
    <xdr:to>
      <xdr:col>13</xdr:col>
      <xdr:colOff>44826</xdr:colOff>
      <xdr:row>65</xdr:row>
      <xdr:rowOff>111736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63319BF-52EF-43D2-8924-6D16394DD5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85165</xdr:colOff>
      <xdr:row>54</xdr:row>
      <xdr:rowOff>135591</xdr:rowOff>
    </xdr:from>
    <xdr:to>
      <xdr:col>15</xdr:col>
      <xdr:colOff>359856</xdr:colOff>
      <xdr:row>65</xdr:row>
      <xdr:rowOff>110744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E5AEBEE-6E3D-4399-907E-4675723553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</xdr:col>
      <xdr:colOff>666190</xdr:colOff>
      <xdr:row>65</xdr:row>
      <xdr:rowOff>161365</xdr:rowOff>
    </xdr:from>
    <xdr:to>
      <xdr:col>14</xdr:col>
      <xdr:colOff>228600</xdr:colOff>
      <xdr:row>76</xdr:row>
      <xdr:rowOff>136518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41F470B-22AC-49C7-AFD5-F5C2048719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300118</xdr:colOff>
      <xdr:row>32</xdr:row>
      <xdr:rowOff>75468</xdr:rowOff>
    </xdr:from>
    <xdr:to>
      <xdr:col>15</xdr:col>
      <xdr:colOff>140804</xdr:colOff>
      <xdr:row>48</xdr:row>
      <xdr:rowOff>58283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1892222-A218-484E-A2A4-938C7BCADD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15</xdr:col>
      <xdr:colOff>378619</xdr:colOff>
      <xdr:row>54</xdr:row>
      <xdr:rowOff>181334</xdr:rowOff>
    </xdr:from>
    <xdr:to>
      <xdr:col>18</xdr:col>
      <xdr:colOff>233343</xdr:colOff>
      <xdr:row>65</xdr:row>
      <xdr:rowOff>156487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947A7BB-F638-44E4-8C72-EA3D362159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18</xdr:col>
      <xdr:colOff>179871</xdr:colOff>
      <xdr:row>54</xdr:row>
      <xdr:rowOff>178163</xdr:rowOff>
    </xdr:from>
    <xdr:to>
      <xdr:col>21</xdr:col>
      <xdr:colOff>66675</xdr:colOff>
      <xdr:row>65</xdr:row>
      <xdr:rowOff>153316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F102C2-87AA-4436-AC98-CAABFAC097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</xdr:col>
      <xdr:colOff>448148</xdr:colOff>
      <xdr:row>66</xdr:row>
      <xdr:rowOff>34964</xdr:rowOff>
    </xdr:from>
    <xdr:to>
      <xdr:col>19</xdr:col>
      <xdr:colOff>511186</xdr:colOff>
      <xdr:row>77</xdr:row>
      <xdr:rowOff>10117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58580FA6-F121-4BCC-B9EC-A44C38A458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15</xdr:col>
      <xdr:colOff>668821</xdr:colOff>
      <xdr:row>32</xdr:row>
      <xdr:rowOff>95250</xdr:rowOff>
    </xdr:from>
    <xdr:to>
      <xdr:col>20</xdr:col>
      <xdr:colOff>247650</xdr:colOff>
      <xdr:row>48</xdr:row>
      <xdr:rowOff>57150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EC3E3EF-B9EC-40C3-967D-6F88E620E3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21</xdr:col>
      <xdr:colOff>257175</xdr:colOff>
      <xdr:row>54</xdr:row>
      <xdr:rowOff>176833</xdr:rowOff>
    </xdr:from>
    <xdr:to>
      <xdr:col>23</xdr:col>
      <xdr:colOff>705216</xdr:colOff>
      <xdr:row>65</xdr:row>
      <xdr:rowOff>151986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D836AD4C-804C-4441-9011-25A9F83C87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23</xdr:col>
      <xdr:colOff>725557</xdr:colOff>
      <xdr:row>55</xdr:row>
      <xdr:rowOff>15323</xdr:rowOff>
    </xdr:from>
    <xdr:to>
      <xdr:col>26</xdr:col>
      <xdr:colOff>581026</xdr:colOff>
      <xdr:row>65</xdr:row>
      <xdr:rowOff>180976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380A632E-1A4D-4666-83F3-7B18221311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22</xdr:col>
      <xdr:colOff>447674</xdr:colOff>
      <xdr:row>66</xdr:row>
      <xdr:rowOff>50938</xdr:rowOff>
    </xdr:from>
    <xdr:to>
      <xdr:col>25</xdr:col>
      <xdr:colOff>76199</xdr:colOff>
      <xdr:row>77</xdr:row>
      <xdr:rowOff>26091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E84FFF3D-43CF-44E2-BE84-90253C99D2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21</xdr:col>
      <xdr:colOff>454715</xdr:colOff>
      <xdr:row>32</xdr:row>
      <xdr:rowOff>125896</xdr:rowOff>
    </xdr:from>
    <xdr:to>
      <xdr:col>25</xdr:col>
      <xdr:colOff>256761</xdr:colOff>
      <xdr:row>48</xdr:row>
      <xdr:rowOff>108711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AF7CD427-0B1B-4F9C-AE22-52B179A810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26</xdr:col>
      <xdr:colOff>949779</xdr:colOff>
      <xdr:row>54</xdr:row>
      <xdr:rowOff>168728</xdr:rowOff>
    </xdr:from>
    <xdr:to>
      <xdr:col>29</xdr:col>
      <xdr:colOff>68035</xdr:colOff>
      <xdr:row>65</xdr:row>
      <xdr:rowOff>143881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8135D72B-C3C8-4BDD-8237-829090942F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29</xdr:col>
      <xdr:colOff>84896</xdr:colOff>
      <xdr:row>55</xdr:row>
      <xdr:rowOff>22777</xdr:rowOff>
    </xdr:from>
    <xdr:to>
      <xdr:col>31</xdr:col>
      <xdr:colOff>389282</xdr:colOff>
      <xdr:row>65</xdr:row>
      <xdr:rowOff>188430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BC679499-0B14-401B-A504-B155090006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27</xdr:col>
      <xdr:colOff>704850</xdr:colOff>
      <xdr:row>65</xdr:row>
      <xdr:rowOff>188430</xdr:rowOff>
    </xdr:from>
    <xdr:to>
      <xdr:col>30</xdr:col>
      <xdr:colOff>165239</xdr:colOff>
      <xdr:row>76</xdr:row>
      <xdr:rowOff>163583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7E438959-0346-45B7-B179-1EB802BDB7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26</xdr:col>
      <xdr:colOff>1046093</xdr:colOff>
      <xdr:row>32</xdr:row>
      <xdr:rowOff>163582</xdr:rowOff>
    </xdr:from>
    <xdr:to>
      <xdr:col>31</xdr:col>
      <xdr:colOff>33130</xdr:colOff>
      <xdr:row>48</xdr:row>
      <xdr:rowOff>146397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A0AD29C6-2C56-4909-993B-C325584D9E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31</xdr:col>
      <xdr:colOff>781886</xdr:colOff>
      <xdr:row>55</xdr:row>
      <xdr:rowOff>9998</xdr:rowOff>
    </xdr:from>
    <xdr:to>
      <xdr:col>34</xdr:col>
      <xdr:colOff>590527</xdr:colOff>
      <xdr:row>65</xdr:row>
      <xdr:rowOff>175651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7EF839A9-87F1-498A-889E-8EFE3EB36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35</xdr:col>
      <xdr:colOff>30878</xdr:colOff>
      <xdr:row>55</xdr:row>
      <xdr:rowOff>8755</xdr:rowOff>
    </xdr:from>
    <xdr:to>
      <xdr:col>37</xdr:col>
      <xdr:colOff>657329</xdr:colOff>
      <xdr:row>65</xdr:row>
      <xdr:rowOff>174408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DC70BDB8-D0C3-409F-A04F-1AC55A08F4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32</xdr:col>
      <xdr:colOff>595954</xdr:colOff>
      <xdr:row>66</xdr:row>
      <xdr:rowOff>11781</xdr:rowOff>
    </xdr:from>
    <xdr:to>
      <xdr:col>36</xdr:col>
      <xdr:colOff>454882</xdr:colOff>
      <xdr:row>76</xdr:row>
      <xdr:rowOff>177434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D1888C49-6687-410B-BA9B-5153E1D14A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32</xdr:col>
      <xdr:colOff>211907</xdr:colOff>
      <xdr:row>32</xdr:row>
      <xdr:rowOff>158135</xdr:rowOff>
    </xdr:from>
    <xdr:to>
      <xdr:col>37</xdr:col>
      <xdr:colOff>244719</xdr:colOff>
      <xdr:row>48</xdr:row>
      <xdr:rowOff>140950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B916C93B-7B2F-441E-827C-4214460BB9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38</xdr:col>
      <xdr:colOff>171450</xdr:colOff>
      <xdr:row>55</xdr:row>
      <xdr:rowOff>9525</xdr:rowOff>
    </xdr:from>
    <xdr:to>
      <xdr:col>41</xdr:col>
      <xdr:colOff>257177</xdr:colOff>
      <xdr:row>65</xdr:row>
      <xdr:rowOff>175178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4E4F7EEA-64FD-4641-A554-3667E76B6A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41</xdr:col>
      <xdr:colOff>295275</xdr:colOff>
      <xdr:row>55</xdr:row>
      <xdr:rowOff>28575</xdr:rowOff>
    </xdr:from>
    <xdr:to>
      <xdr:col>44</xdr:col>
      <xdr:colOff>381000</xdr:colOff>
      <xdr:row>66</xdr:row>
      <xdr:rowOff>3728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7139D7C-DB7B-42F9-AFD3-7C247E00F9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39</xdr:col>
      <xdr:colOff>361950</xdr:colOff>
      <xdr:row>66</xdr:row>
      <xdr:rowOff>85725</xdr:rowOff>
    </xdr:from>
    <xdr:to>
      <xdr:col>42</xdr:col>
      <xdr:colOff>447675</xdr:colOff>
      <xdr:row>77</xdr:row>
      <xdr:rowOff>60878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624FE031-1A3A-4D42-BFF9-BC2C0DF5E0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38</xdr:col>
      <xdr:colOff>209550</xdr:colOff>
      <xdr:row>32</xdr:row>
      <xdr:rowOff>133350</xdr:rowOff>
    </xdr:from>
    <xdr:to>
      <xdr:col>44</xdr:col>
      <xdr:colOff>66675</xdr:colOff>
      <xdr:row>48</xdr:row>
      <xdr:rowOff>116165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7CE9466D-1416-43A7-9CCE-8001FA47E4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46</xdr:col>
      <xdr:colOff>254431</xdr:colOff>
      <xdr:row>48</xdr:row>
      <xdr:rowOff>177313</xdr:rowOff>
    </xdr:from>
    <xdr:to>
      <xdr:col>53</xdr:col>
      <xdr:colOff>541510</xdr:colOff>
      <xdr:row>64</xdr:row>
      <xdr:rowOff>177311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9A40C958-90D4-40B0-942B-B613B69251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54</xdr:col>
      <xdr:colOff>55475</xdr:colOff>
      <xdr:row>49</xdr:row>
      <xdr:rowOff>54428</xdr:rowOff>
    </xdr:from>
    <xdr:to>
      <xdr:col>61</xdr:col>
      <xdr:colOff>489857</xdr:colOff>
      <xdr:row>64</xdr:row>
      <xdr:rowOff>181079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D311CECD-BD2C-4F6A-947C-58427DE788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46</xdr:col>
      <xdr:colOff>478964</xdr:colOff>
      <xdr:row>32</xdr:row>
      <xdr:rowOff>135339</xdr:rowOff>
    </xdr:from>
    <xdr:to>
      <xdr:col>52</xdr:col>
      <xdr:colOff>309763</xdr:colOff>
      <xdr:row>48</xdr:row>
      <xdr:rowOff>118154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47D8167C-2C3B-468E-A996-0E49B8CB4E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56</xdr:col>
      <xdr:colOff>304348</xdr:colOff>
      <xdr:row>32</xdr:row>
      <xdr:rowOff>129802</xdr:rowOff>
    </xdr:from>
    <xdr:to>
      <xdr:col>62</xdr:col>
      <xdr:colOff>257248</xdr:colOff>
      <xdr:row>48</xdr:row>
      <xdr:rowOff>112617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4E551408-1201-44CB-B573-A323F013F8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65</xdr:col>
      <xdr:colOff>141604</xdr:colOff>
      <xdr:row>48</xdr:row>
      <xdr:rowOff>181332</xdr:rowOff>
    </xdr:from>
    <xdr:to>
      <xdr:col>73</xdr:col>
      <xdr:colOff>314785</xdr:colOff>
      <xdr:row>64</xdr:row>
      <xdr:rowOff>181332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A5CCFD7D-2D20-4DFA-A230-E2A147AE9F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74</xdr:col>
      <xdr:colOff>220757</xdr:colOff>
      <xdr:row>49</xdr:row>
      <xdr:rowOff>1121</xdr:rowOff>
    </xdr:from>
    <xdr:to>
      <xdr:col>82</xdr:col>
      <xdr:colOff>511549</xdr:colOff>
      <xdr:row>64</xdr:row>
      <xdr:rowOff>172571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51AA83BC-59C6-4A44-AFD5-6F2A181350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65</xdr:col>
      <xdr:colOff>526677</xdr:colOff>
      <xdr:row>33</xdr:row>
      <xdr:rowOff>11206</xdr:rowOff>
    </xdr:from>
    <xdr:to>
      <xdr:col>71</xdr:col>
      <xdr:colOff>479576</xdr:colOff>
      <xdr:row>48</xdr:row>
      <xdr:rowOff>184521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6FD278D-0046-44E3-94C7-D80F9E405C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75</xdr:col>
      <xdr:colOff>358588</xdr:colOff>
      <xdr:row>32</xdr:row>
      <xdr:rowOff>100853</xdr:rowOff>
    </xdr:from>
    <xdr:to>
      <xdr:col>81</xdr:col>
      <xdr:colOff>311487</xdr:colOff>
      <xdr:row>48</xdr:row>
      <xdr:rowOff>83668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D1BC811A-C878-4772-80A4-82143A683F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560070</xdr:colOff>
      <xdr:row>0</xdr:row>
      <xdr:rowOff>91440</xdr:rowOff>
    </xdr:from>
    <xdr:to>
      <xdr:col>12</xdr:col>
      <xdr:colOff>217170</xdr:colOff>
      <xdr:row>13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96B00F-A438-8A09-D7D6-90C62CF2F7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42"/>
  <sheetViews>
    <sheetView zoomScale="70" zoomScaleNormal="70" workbookViewId="0">
      <selection activeCell="P8" sqref="P8"/>
    </sheetView>
  </sheetViews>
  <sheetFormatPr defaultRowHeight="14.4" x14ac:dyDescent="0.3"/>
  <cols>
    <col min="1" max="1" width="15.88671875" style="1" customWidth="1"/>
    <col min="2" max="2" width="13" style="1" customWidth="1"/>
    <col min="3" max="3" width="24.44140625" style="1" customWidth="1"/>
    <col min="4" max="4" width="17.88671875" style="1" customWidth="1"/>
    <col min="5" max="5" width="17.109375" style="1" customWidth="1"/>
    <col min="6" max="6" width="13.88671875" customWidth="1"/>
    <col min="7" max="7" width="13.33203125" customWidth="1"/>
    <col min="8" max="8" width="9.5546875" customWidth="1"/>
  </cols>
  <sheetData>
    <row r="1" spans="1:5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22</v>
      </c>
      <c r="F1" s="1" t="s">
        <v>23</v>
      </c>
      <c r="G1" s="1" t="s">
        <v>24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103</v>
      </c>
      <c r="M1" s="1" t="s">
        <v>102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V1" t="s">
        <v>88</v>
      </c>
      <c r="W1" t="s">
        <v>89</v>
      </c>
      <c r="X1" t="s">
        <v>90</v>
      </c>
      <c r="Y1" t="s">
        <v>91</v>
      </c>
      <c r="Z1" t="s">
        <v>92</v>
      </c>
      <c r="AA1" t="s">
        <v>93</v>
      </c>
      <c r="BA1" s="1" t="s">
        <v>25</v>
      </c>
      <c r="BB1" s="1" t="s">
        <v>26</v>
      </c>
      <c r="BC1" s="1" t="s">
        <v>27</v>
      </c>
      <c r="BD1" s="1" t="s">
        <v>28</v>
      </c>
      <c r="BE1" s="1" t="s">
        <v>29</v>
      </c>
      <c r="BF1" s="1" t="s">
        <v>30</v>
      </c>
    </row>
    <row r="2" spans="1:58" x14ac:dyDescent="0.3">
      <c r="A2" s="2">
        <v>167</v>
      </c>
      <c r="B2" s="2">
        <v>128</v>
      </c>
      <c r="C2" s="2">
        <v>41</v>
      </c>
      <c r="D2" s="2">
        <v>48</v>
      </c>
      <c r="E2" s="5">
        <v>0.104819100180613</v>
      </c>
      <c r="F2" s="5">
        <v>3.3154403752457901E-2</v>
      </c>
      <c r="G2" s="5">
        <v>2.2914216154744201E-2</v>
      </c>
      <c r="H2" s="16">
        <f t="shared" ref="H2:M2" si="0">BA2/($D2-$C2)</f>
        <v>0.8571428571428571</v>
      </c>
      <c r="I2" s="16">
        <f t="shared" si="0"/>
        <v>2.2857142857142856</v>
      </c>
      <c r="J2" s="16">
        <f t="shared" si="0"/>
        <v>13.714285714285714</v>
      </c>
      <c r="K2" s="16">
        <f t="shared" si="0"/>
        <v>37.714285714285715</v>
      </c>
      <c r="L2" s="16">
        <f t="shared" si="0"/>
        <v>86.285714285714292</v>
      </c>
      <c r="M2" s="16">
        <f t="shared" si="0"/>
        <v>139.71428571428572</v>
      </c>
      <c r="N2" s="34"/>
      <c r="O2">
        <v>6.4069250048013796E-2</v>
      </c>
      <c r="P2">
        <v>0.17940701762775299</v>
      </c>
      <c r="Q2">
        <v>0.59727911911144405</v>
      </c>
      <c r="R2">
        <v>2.1218818406845701</v>
      </c>
      <c r="S2">
        <v>8.4875273627382803</v>
      </c>
      <c r="T2">
        <v>33.9501094509531</v>
      </c>
      <c r="V2">
        <v>0.104819100180613</v>
      </c>
      <c r="W2">
        <v>0.41927640072245398</v>
      </c>
      <c r="X2">
        <v>1.6771056028898099</v>
      </c>
      <c r="Y2">
        <v>6.7084224115592699</v>
      </c>
      <c r="Z2">
        <v>26.833689646237001</v>
      </c>
      <c r="AA2">
        <v>107.33475858494801</v>
      </c>
      <c r="BA2" s="1">
        <v>6</v>
      </c>
      <c r="BB2" s="1">
        <v>16</v>
      </c>
      <c r="BC2" s="1">
        <v>96</v>
      </c>
      <c r="BD2" s="1">
        <v>264</v>
      </c>
      <c r="BE2" s="1">
        <v>604</v>
      </c>
      <c r="BF2" s="1">
        <v>978</v>
      </c>
    </row>
    <row r="3" spans="1:58" x14ac:dyDescent="0.3">
      <c r="A3" s="2">
        <v>6</v>
      </c>
      <c r="B3" s="2">
        <v>128</v>
      </c>
      <c r="C3" s="2">
        <v>80</v>
      </c>
      <c r="D3" s="2">
        <v>90</v>
      </c>
      <c r="E3" s="5">
        <v>5.1422303101187901E-2</v>
      </c>
      <c r="F3" s="5">
        <v>1.43345982575964E-2</v>
      </c>
      <c r="G3" s="5">
        <v>7.2966466530169603E-3</v>
      </c>
      <c r="H3" s="16">
        <f t="shared" ref="H3:H37" si="1">BA3/(D3-C3)</f>
        <v>0.2</v>
      </c>
      <c r="I3" s="16">
        <f t="shared" ref="I3:I37" si="2">BB3/($D3-$C3)</f>
        <v>0.8</v>
      </c>
      <c r="J3" s="16">
        <f t="shared" ref="J3:J37" si="3">BC3/($D3-$C3)</f>
        <v>6.5</v>
      </c>
      <c r="K3" s="16">
        <f t="shared" ref="K3:K37" si="4">BD3/($D3-$C3)</f>
        <v>19.5</v>
      </c>
      <c r="L3" s="16">
        <f t="shared" ref="L3:L37" si="5">BE3/($D3-$C3)</f>
        <v>62.8</v>
      </c>
      <c r="M3" s="16">
        <f t="shared" ref="M3:M37" si="6">BF3/($D3-$C3)</f>
        <v>169</v>
      </c>
      <c r="N3" s="34"/>
      <c r="O3">
        <v>5.1422303616638097E-2</v>
      </c>
      <c r="P3">
        <v>0.136504884052633</v>
      </c>
      <c r="Q3">
        <v>0.26754282688021702</v>
      </c>
      <c r="R3">
        <v>0.98750358289623297</v>
      </c>
      <c r="S3">
        <v>3.6696571758817198</v>
      </c>
      <c r="T3">
        <v>14.678628703526799</v>
      </c>
      <c r="V3">
        <v>5.1422303101187901E-2</v>
      </c>
      <c r="W3">
        <v>0.20568921240475099</v>
      </c>
      <c r="X3">
        <v>0.82275684961900697</v>
      </c>
      <c r="Y3">
        <v>3.2910273984760301</v>
      </c>
      <c r="Z3">
        <v>13.164109593904101</v>
      </c>
      <c r="AA3">
        <v>52.656438375616403</v>
      </c>
      <c r="BA3" s="1">
        <v>2</v>
      </c>
      <c r="BB3" s="1">
        <v>8</v>
      </c>
      <c r="BC3" s="1">
        <v>65</v>
      </c>
      <c r="BD3" s="1">
        <v>195</v>
      </c>
      <c r="BE3" s="1">
        <v>628</v>
      </c>
      <c r="BF3" s="1">
        <v>1690</v>
      </c>
    </row>
    <row r="4" spans="1:58" x14ac:dyDescent="0.3">
      <c r="A4" s="2">
        <v>8</v>
      </c>
      <c r="B4" s="2">
        <v>128</v>
      </c>
      <c r="C4" s="2">
        <v>115</v>
      </c>
      <c r="D4" s="2">
        <v>125</v>
      </c>
      <c r="E4" s="5">
        <v>0.161944718485239</v>
      </c>
      <c r="F4" s="5">
        <v>3.2526116479269097E-2</v>
      </c>
      <c r="G4" s="5">
        <v>7.7989329746457701E-3</v>
      </c>
      <c r="H4" s="16">
        <f t="shared" si="1"/>
        <v>1</v>
      </c>
      <c r="I4" s="16">
        <f t="shared" si="2"/>
        <v>3.1</v>
      </c>
      <c r="J4" s="16">
        <f t="shared" si="3"/>
        <v>8.9</v>
      </c>
      <c r="K4" s="16">
        <f t="shared" si="4"/>
        <v>23</v>
      </c>
      <c r="L4" s="16">
        <f t="shared" si="5"/>
        <v>50.9</v>
      </c>
      <c r="M4" s="16">
        <f t="shared" si="6"/>
        <v>149.30000000000001</v>
      </c>
      <c r="N4" s="34"/>
      <c r="O4">
        <v>9.4968206718967205E-2</v>
      </c>
      <c r="P4">
        <v>0.31788484763340902</v>
      </c>
      <c r="Q4">
        <v>0.78149567271952003</v>
      </c>
      <c r="R4">
        <v>2.2740324054836099</v>
      </c>
      <c r="S4">
        <v>8.3266858207082599</v>
      </c>
      <c r="T4">
        <v>33.306743282832997</v>
      </c>
      <c r="V4">
        <v>0.161944718485239</v>
      </c>
      <c r="W4">
        <v>0.64777887394095901</v>
      </c>
      <c r="X4">
        <v>2.5911154957638298</v>
      </c>
      <c r="Y4">
        <v>10.3644619830553</v>
      </c>
      <c r="Z4">
        <v>41.457847932221398</v>
      </c>
      <c r="AA4">
        <v>165.831391728885</v>
      </c>
      <c r="BA4" s="1">
        <v>10</v>
      </c>
      <c r="BB4" s="1">
        <v>31</v>
      </c>
      <c r="BC4" s="1">
        <v>89</v>
      </c>
      <c r="BD4" s="1">
        <v>230</v>
      </c>
      <c r="BE4" s="1">
        <v>509</v>
      </c>
      <c r="BF4" s="1">
        <v>1493</v>
      </c>
    </row>
    <row r="5" spans="1:58" x14ac:dyDescent="0.3">
      <c r="A5" s="2">
        <v>168</v>
      </c>
      <c r="B5" s="2">
        <v>128</v>
      </c>
      <c r="C5" s="2">
        <v>150</v>
      </c>
      <c r="D5" s="2">
        <v>160</v>
      </c>
      <c r="E5" s="5">
        <v>8.9416636847151898E-2</v>
      </c>
      <c r="F5" s="5">
        <v>2.1060905578879598E-2</v>
      </c>
      <c r="G5" s="5">
        <v>9.6694169987568603E-3</v>
      </c>
      <c r="H5" s="16">
        <f t="shared" si="1"/>
        <v>0.4</v>
      </c>
      <c r="I5" s="16">
        <f t="shared" si="2"/>
        <v>1.6</v>
      </c>
      <c r="J5" s="16">
        <f t="shared" si="3"/>
        <v>11</v>
      </c>
      <c r="K5" s="16">
        <f t="shared" si="4"/>
        <v>25.5</v>
      </c>
      <c r="L5" s="16">
        <f t="shared" si="5"/>
        <v>48.9</v>
      </c>
      <c r="M5" s="16">
        <f t="shared" si="6"/>
        <v>135.1</v>
      </c>
      <c r="N5" s="34"/>
      <c r="O5">
        <v>5.6005964760614799E-2</v>
      </c>
      <c r="P5">
        <v>0.16309275016740199</v>
      </c>
      <c r="Q5">
        <v>0.449858505678978</v>
      </c>
      <c r="R5">
        <v>1.61414237742101</v>
      </c>
      <c r="S5">
        <v>5.3915917727487104</v>
      </c>
      <c r="T5">
        <v>21.566367090994799</v>
      </c>
      <c r="V5">
        <v>8.9416636847151898E-2</v>
      </c>
      <c r="W5">
        <v>0.35766654738860698</v>
      </c>
      <c r="X5">
        <v>1.4306661895544299</v>
      </c>
      <c r="Y5">
        <v>5.7226647582177197</v>
      </c>
      <c r="Z5">
        <v>22.890659032870801</v>
      </c>
      <c r="AA5">
        <v>91.562636131483501</v>
      </c>
      <c r="BA5" s="1">
        <v>4</v>
      </c>
      <c r="BB5" s="1">
        <v>16</v>
      </c>
      <c r="BC5" s="1">
        <v>110</v>
      </c>
      <c r="BD5" s="1">
        <v>255</v>
      </c>
      <c r="BE5" s="1">
        <v>489</v>
      </c>
      <c r="BF5" s="1">
        <v>1351</v>
      </c>
    </row>
    <row r="6" spans="1:58" x14ac:dyDescent="0.3">
      <c r="A6" s="2">
        <v>150</v>
      </c>
      <c r="B6" s="2">
        <v>90</v>
      </c>
      <c r="C6" s="2">
        <v>194</v>
      </c>
      <c r="D6" s="2">
        <v>199</v>
      </c>
      <c r="E6" s="5">
        <v>4.68499378365069E-2</v>
      </c>
      <c r="F6" s="5">
        <v>1.9737041545963101E-2</v>
      </c>
      <c r="G6" s="5">
        <v>1.1301251811562101E-2</v>
      </c>
      <c r="H6" s="16">
        <f t="shared" si="1"/>
        <v>0.4</v>
      </c>
      <c r="I6" s="16">
        <f t="shared" si="2"/>
        <v>3.2</v>
      </c>
      <c r="J6" s="16">
        <f t="shared" si="3"/>
        <v>8.1999999999999993</v>
      </c>
      <c r="K6" s="16">
        <f t="shared" si="4"/>
        <v>27.8</v>
      </c>
      <c r="L6" s="16">
        <f t="shared" si="5"/>
        <v>82.8</v>
      </c>
      <c r="M6" s="16">
        <f t="shared" si="6"/>
        <v>176.4</v>
      </c>
      <c r="N6" s="34"/>
      <c r="O6">
        <v>4.6849938207403699E-2</v>
      </c>
      <c r="P6">
        <v>0.12535462962986799</v>
      </c>
      <c r="Q6">
        <v>0.44063655773576799</v>
      </c>
      <c r="R6">
        <v>1.4715502319528799</v>
      </c>
      <c r="S6">
        <v>5.0526826474058097</v>
      </c>
      <c r="T6">
        <v>20.2107305896232</v>
      </c>
      <c r="V6">
        <v>4.68499378365069E-2</v>
      </c>
      <c r="W6">
        <v>0.18739975134602699</v>
      </c>
      <c r="X6">
        <v>0.74959900538411095</v>
      </c>
      <c r="Y6">
        <v>2.9983960215364398</v>
      </c>
      <c r="Z6">
        <v>11.993584086145701</v>
      </c>
      <c r="AA6">
        <v>47.974336344583101</v>
      </c>
      <c r="BA6" s="1">
        <v>2</v>
      </c>
      <c r="BB6" s="1">
        <v>16</v>
      </c>
      <c r="BC6" s="1">
        <v>41</v>
      </c>
      <c r="BD6" s="1">
        <v>139</v>
      </c>
      <c r="BE6" s="1">
        <v>414</v>
      </c>
      <c r="BF6" s="1">
        <v>882</v>
      </c>
    </row>
    <row r="7" spans="1:58" x14ac:dyDescent="0.3">
      <c r="A7" s="2">
        <v>11</v>
      </c>
      <c r="B7" s="2">
        <v>90</v>
      </c>
      <c r="C7" s="2">
        <v>226</v>
      </c>
      <c r="D7" s="2">
        <v>234</v>
      </c>
      <c r="E7" s="5">
        <v>5.1754391722476999E-2</v>
      </c>
      <c r="F7" s="5">
        <v>2.3629413923689099E-2</v>
      </c>
      <c r="G7" s="5">
        <v>3.0143536797057099E-2</v>
      </c>
      <c r="H7" s="16">
        <f t="shared" si="1"/>
        <v>0.75</v>
      </c>
      <c r="I7" s="16">
        <f t="shared" si="2"/>
        <v>3.625</v>
      </c>
      <c r="J7" s="16">
        <f t="shared" si="3"/>
        <v>12.75</v>
      </c>
      <c r="K7" s="16">
        <f t="shared" si="4"/>
        <v>30.75</v>
      </c>
      <c r="L7" s="16">
        <f t="shared" si="5"/>
        <v>61.625</v>
      </c>
      <c r="M7" s="16">
        <f t="shared" si="6"/>
        <v>166.125</v>
      </c>
      <c r="N7" s="34"/>
      <c r="O7">
        <v>3.9406083818281298E-2</v>
      </c>
      <c r="P7">
        <v>0.15393753693111001</v>
      </c>
      <c r="Q7">
        <v>0.46926879178815301</v>
      </c>
      <c r="R7">
        <v>1.6679355265670801</v>
      </c>
      <c r="S7">
        <v>6.0491299651584196</v>
      </c>
      <c r="T7">
        <v>24.1965198606337</v>
      </c>
      <c r="V7">
        <v>5.1754391722476999E-2</v>
      </c>
      <c r="W7">
        <v>0.20701756688990799</v>
      </c>
      <c r="X7">
        <v>0.82807026755963298</v>
      </c>
      <c r="Y7">
        <v>3.3122810702385301</v>
      </c>
      <c r="Z7">
        <v>13.249124280954099</v>
      </c>
      <c r="AA7">
        <v>52.996497123816503</v>
      </c>
      <c r="BA7" s="1">
        <v>6</v>
      </c>
      <c r="BB7" s="1">
        <v>29</v>
      </c>
      <c r="BC7" s="1">
        <v>102</v>
      </c>
      <c r="BD7" s="1">
        <v>246</v>
      </c>
      <c r="BE7" s="1">
        <v>493</v>
      </c>
      <c r="BF7" s="1">
        <v>1329</v>
      </c>
    </row>
    <row r="8" spans="1:58" x14ac:dyDescent="0.3">
      <c r="A8" s="2">
        <v>22</v>
      </c>
      <c r="B8" s="2">
        <v>90</v>
      </c>
      <c r="C8" s="2">
        <v>265</v>
      </c>
      <c r="D8" s="2">
        <v>275</v>
      </c>
      <c r="E8" s="5">
        <v>6.2688332148029005E-2</v>
      </c>
      <c r="F8" s="5">
        <v>1.8357479777712401E-2</v>
      </c>
      <c r="G8" s="5">
        <v>5.3392743586913897E-3</v>
      </c>
      <c r="H8" s="16">
        <f t="shared" si="1"/>
        <v>0.3</v>
      </c>
      <c r="I8" s="16">
        <f t="shared" si="2"/>
        <v>2.1</v>
      </c>
      <c r="J8" s="16">
        <f t="shared" si="3"/>
        <v>9.1</v>
      </c>
      <c r="K8" s="16">
        <f t="shared" si="4"/>
        <v>21.2</v>
      </c>
      <c r="L8" s="16">
        <f t="shared" si="5"/>
        <v>66</v>
      </c>
      <c r="M8" s="16">
        <f t="shared" si="6"/>
        <v>158.1</v>
      </c>
      <c r="N8" s="34"/>
      <c r="O8">
        <v>4.5463397559226001E-2</v>
      </c>
      <c r="P8">
        <v>0.16338445100562901</v>
      </c>
      <c r="Q8">
        <v>0.426009200925964</v>
      </c>
      <c r="R8">
        <v>1.2687679005852299</v>
      </c>
      <c r="S8">
        <v>4.6995148199797203</v>
      </c>
      <c r="T8">
        <v>18.7980592799188</v>
      </c>
      <c r="V8">
        <v>4.5463397884194803E-2</v>
      </c>
      <c r="W8">
        <v>0.25075332859211602</v>
      </c>
      <c r="X8">
        <v>1.0030133143684601</v>
      </c>
      <c r="Y8">
        <v>4.0120532574738599</v>
      </c>
      <c r="Z8">
        <v>16.0482130298954</v>
      </c>
      <c r="AA8">
        <v>64.192852119581701</v>
      </c>
      <c r="BA8" s="1">
        <v>3</v>
      </c>
      <c r="BB8" s="1">
        <v>21</v>
      </c>
      <c r="BC8" s="1">
        <v>91</v>
      </c>
      <c r="BD8" s="1">
        <v>212</v>
      </c>
      <c r="BE8" s="1">
        <v>660</v>
      </c>
      <c r="BF8" s="1">
        <v>1581</v>
      </c>
    </row>
    <row r="9" spans="1:58" x14ac:dyDescent="0.3">
      <c r="A9" s="2">
        <v>152</v>
      </c>
      <c r="B9" s="2">
        <v>90</v>
      </c>
      <c r="C9" s="2">
        <v>310</v>
      </c>
      <c r="D9" s="2">
        <v>320</v>
      </c>
      <c r="E9" s="5">
        <v>0.10293183462706799</v>
      </c>
      <c r="F9" s="5">
        <v>2.3869849132825499E-2</v>
      </c>
      <c r="G9" s="5">
        <v>8.4624680045280194E-3</v>
      </c>
      <c r="H9" s="16">
        <f t="shared" si="1"/>
        <v>0.9</v>
      </c>
      <c r="I9" s="16">
        <f t="shared" si="2"/>
        <v>3.2</v>
      </c>
      <c r="J9" s="16">
        <f t="shared" si="3"/>
        <v>7.5</v>
      </c>
      <c r="K9" s="16">
        <f t="shared" si="4"/>
        <v>23.3</v>
      </c>
      <c r="L9" s="16">
        <f t="shared" si="5"/>
        <v>70</v>
      </c>
      <c r="M9" s="16">
        <f t="shared" si="6"/>
        <v>163.9</v>
      </c>
      <c r="N9" s="34"/>
      <c r="O9">
        <v>9.5743592288179996E-2</v>
      </c>
      <c r="P9">
        <v>0.18723147718286101</v>
      </c>
      <c r="Q9">
        <v>0.64667150537108198</v>
      </c>
      <c r="R9">
        <v>1.81287477386409</v>
      </c>
      <c r="S9">
        <v>6.1106814199081896</v>
      </c>
      <c r="T9">
        <v>24.442725679632701</v>
      </c>
      <c r="V9">
        <v>0.10293183462706799</v>
      </c>
      <c r="W9">
        <v>0.41172733850827198</v>
      </c>
      <c r="X9">
        <v>1.6469093540330899</v>
      </c>
      <c r="Y9">
        <v>6.5876374161323596</v>
      </c>
      <c r="Z9">
        <v>26.3505496645294</v>
      </c>
      <c r="AA9">
        <v>105.402198658117</v>
      </c>
      <c r="BA9" s="1">
        <v>9</v>
      </c>
      <c r="BB9" s="1">
        <v>32</v>
      </c>
      <c r="BC9" s="1">
        <v>75</v>
      </c>
      <c r="BD9" s="1">
        <v>233</v>
      </c>
      <c r="BE9" s="1">
        <v>700</v>
      </c>
      <c r="BF9" s="1">
        <v>1639</v>
      </c>
    </row>
    <row r="10" spans="1:58" x14ac:dyDescent="0.3">
      <c r="A10" s="2">
        <v>12</v>
      </c>
      <c r="B10" s="2">
        <v>64</v>
      </c>
      <c r="C10" s="2">
        <v>357</v>
      </c>
      <c r="D10" s="2">
        <v>360</v>
      </c>
      <c r="E10" s="5">
        <v>4.4543546788178297E-2</v>
      </c>
      <c r="F10" s="5">
        <v>2.3352349155409499E-2</v>
      </c>
      <c r="G10" s="5">
        <v>2.1759151907210301E-2</v>
      </c>
      <c r="H10" s="16">
        <f t="shared" si="1"/>
        <v>1</v>
      </c>
      <c r="I10" s="16">
        <f t="shared" si="2"/>
        <v>4.666666666666667</v>
      </c>
      <c r="J10" s="16">
        <f t="shared" si="3"/>
        <v>13.666666666666666</v>
      </c>
      <c r="K10" s="16">
        <f t="shared" si="4"/>
        <v>34.333333333333336</v>
      </c>
      <c r="L10" s="16">
        <f t="shared" si="5"/>
        <v>107.66666666666667</v>
      </c>
      <c r="M10" s="16">
        <f t="shared" si="6"/>
        <v>186.33333333333334</v>
      </c>
      <c r="N10" s="34"/>
      <c r="O10">
        <v>3.8585276164057498E-2</v>
      </c>
      <c r="P10">
        <v>0.117415800187244</v>
      </c>
      <c r="Q10">
        <v>0.46966320074897699</v>
      </c>
      <c r="R10">
        <v>1.4945503386105301</v>
      </c>
      <c r="S10">
        <v>5.97820135444214</v>
      </c>
      <c r="T10">
        <v>23.912805417768499</v>
      </c>
      <c r="V10">
        <v>4.4543546788178297E-2</v>
      </c>
      <c r="W10">
        <v>0.17817418715271299</v>
      </c>
      <c r="X10">
        <v>0.71269674861085297</v>
      </c>
      <c r="Y10">
        <v>2.8507869944434101</v>
      </c>
      <c r="Z10">
        <v>11.4031479777736</v>
      </c>
      <c r="AA10">
        <v>45.612591911094597</v>
      </c>
      <c r="BA10" s="1">
        <v>3</v>
      </c>
      <c r="BB10" s="1">
        <v>14</v>
      </c>
      <c r="BC10" s="1">
        <v>41</v>
      </c>
      <c r="BD10" s="1">
        <v>103</v>
      </c>
      <c r="BE10" s="1">
        <v>323</v>
      </c>
      <c r="BF10" s="1">
        <v>559</v>
      </c>
    </row>
    <row r="11" spans="1:58" x14ac:dyDescent="0.3">
      <c r="A11" s="2">
        <v>96</v>
      </c>
      <c r="B11" s="2">
        <v>64</v>
      </c>
      <c r="C11" s="2">
        <v>392</v>
      </c>
      <c r="D11" s="2">
        <v>400</v>
      </c>
      <c r="E11" s="5">
        <v>9.5639162401153693E-2</v>
      </c>
      <c r="F11" s="5">
        <v>1.9277468694701001E-2</v>
      </c>
      <c r="G11" s="5">
        <v>5.1627678565697001E-3</v>
      </c>
      <c r="H11" s="16">
        <f t="shared" si="1"/>
        <v>0.375</v>
      </c>
      <c r="I11" s="16">
        <f t="shared" si="2"/>
        <v>2.75</v>
      </c>
      <c r="J11" s="16">
        <f t="shared" si="3"/>
        <v>7.25</v>
      </c>
      <c r="K11" s="16">
        <f t="shared" si="4"/>
        <v>20.625</v>
      </c>
      <c r="L11" s="16">
        <f t="shared" si="5"/>
        <v>69.875</v>
      </c>
      <c r="M11" s="16">
        <f t="shared" si="6"/>
        <v>173</v>
      </c>
      <c r="N11" s="34"/>
      <c r="O11">
        <v>9.5639162709086803E-2</v>
      </c>
      <c r="P11">
        <v>0.18581760283662399</v>
      </c>
      <c r="Q11">
        <v>0.60536126077852104</v>
      </c>
      <c r="R11">
        <v>1.2337579982911999</v>
      </c>
      <c r="S11">
        <v>4.9350319931648103</v>
      </c>
      <c r="T11">
        <v>19.740127972659199</v>
      </c>
      <c r="V11">
        <v>9.5639162401153693E-2</v>
      </c>
      <c r="W11">
        <v>0.382556649604614</v>
      </c>
      <c r="X11">
        <v>1.53022659841845</v>
      </c>
      <c r="Y11">
        <v>6.1209063936738302</v>
      </c>
      <c r="Z11">
        <v>24.483625574695299</v>
      </c>
      <c r="AA11">
        <v>97.934502298781396</v>
      </c>
      <c r="BA11" s="1">
        <v>3</v>
      </c>
      <c r="BB11" s="1">
        <v>22</v>
      </c>
      <c r="BC11" s="1">
        <v>58</v>
      </c>
      <c r="BD11" s="1">
        <v>165</v>
      </c>
      <c r="BE11" s="1">
        <v>559</v>
      </c>
      <c r="BF11" s="1">
        <v>1384</v>
      </c>
    </row>
    <row r="12" spans="1:58" x14ac:dyDescent="0.3">
      <c r="A12" s="2">
        <v>101</v>
      </c>
      <c r="B12" s="2">
        <v>64</v>
      </c>
      <c r="C12" s="2">
        <v>432</v>
      </c>
      <c r="D12" s="2">
        <v>438</v>
      </c>
      <c r="E12" s="5">
        <v>3.00794247374499E-2</v>
      </c>
      <c r="F12" s="5">
        <v>1.50358559887077E-2</v>
      </c>
      <c r="G12" s="5">
        <v>9.2196022769056602E-3</v>
      </c>
      <c r="H12" s="16">
        <f t="shared" si="1"/>
        <v>0.33333333333333331</v>
      </c>
      <c r="I12" s="16">
        <f t="shared" si="2"/>
        <v>1.5</v>
      </c>
      <c r="J12" s="16">
        <f t="shared" si="3"/>
        <v>8.1666666666666661</v>
      </c>
      <c r="K12" s="16">
        <f t="shared" si="4"/>
        <v>22</v>
      </c>
      <c r="L12" s="16">
        <f t="shared" si="5"/>
        <v>90.666666666666671</v>
      </c>
      <c r="M12" s="16">
        <f t="shared" si="6"/>
        <v>173.5</v>
      </c>
      <c r="N12" s="34"/>
      <c r="O12">
        <v>2.85197693561322E-2</v>
      </c>
      <c r="P12">
        <v>0.101347429024516</v>
      </c>
      <c r="Q12">
        <v>0.24057369702033901</v>
      </c>
      <c r="R12">
        <v>0.96229478808135804</v>
      </c>
      <c r="S12">
        <v>3.84917915232543</v>
      </c>
      <c r="T12">
        <v>15.3967166093017</v>
      </c>
      <c r="V12">
        <v>3.00794247374499E-2</v>
      </c>
      <c r="W12">
        <v>0.120317698949799</v>
      </c>
      <c r="X12">
        <v>0.48127079579919901</v>
      </c>
      <c r="Y12">
        <v>1.9250831831967901</v>
      </c>
      <c r="Z12">
        <v>7.7003327327871904</v>
      </c>
      <c r="AA12">
        <v>30.801330931148701</v>
      </c>
      <c r="BA12" s="1">
        <v>2</v>
      </c>
      <c r="BB12" s="1">
        <v>9</v>
      </c>
      <c r="BC12" s="1">
        <v>49</v>
      </c>
      <c r="BD12" s="1">
        <v>132</v>
      </c>
      <c r="BE12" s="1">
        <v>544</v>
      </c>
      <c r="BF12" s="1">
        <v>1041</v>
      </c>
    </row>
    <row r="13" spans="1:58" x14ac:dyDescent="0.3">
      <c r="A13" s="2">
        <v>24</v>
      </c>
      <c r="B13" s="2">
        <v>64</v>
      </c>
      <c r="C13" s="2">
        <v>468</v>
      </c>
      <c r="D13" s="2">
        <v>478</v>
      </c>
      <c r="E13" s="5">
        <v>0.10538288704710901</v>
      </c>
      <c r="F13" s="5">
        <v>1.6430974908246999E-2</v>
      </c>
      <c r="G13" s="5">
        <v>6.0105568763227698E-3</v>
      </c>
      <c r="H13" s="16">
        <f t="shared" si="1"/>
        <v>0.5</v>
      </c>
      <c r="I13" s="16">
        <f t="shared" si="2"/>
        <v>1.8</v>
      </c>
      <c r="J13" s="16">
        <f t="shared" si="3"/>
        <v>4.3</v>
      </c>
      <c r="K13" s="16">
        <f t="shared" si="4"/>
        <v>13.9</v>
      </c>
      <c r="L13" s="16">
        <f t="shared" si="5"/>
        <v>58.6</v>
      </c>
      <c r="M13" s="16">
        <f t="shared" si="6"/>
        <v>173</v>
      </c>
      <c r="N13" s="34"/>
      <c r="O13">
        <v>0.10538288717717199</v>
      </c>
      <c r="P13">
        <v>0.15056990486005101</v>
      </c>
      <c r="Q13">
        <v>0.50129083006757003</v>
      </c>
      <c r="R13">
        <v>1.0515823951961401</v>
      </c>
      <c r="S13">
        <v>4.2063295807845602</v>
      </c>
      <c r="T13">
        <v>16.825318323138202</v>
      </c>
      <c r="V13">
        <v>0.10538288704710901</v>
      </c>
      <c r="W13">
        <v>0.42153154818843802</v>
      </c>
      <c r="X13">
        <v>1.6861261927537501</v>
      </c>
      <c r="Y13">
        <v>6.7445047710150003</v>
      </c>
      <c r="Z13">
        <v>26.978019084060001</v>
      </c>
      <c r="AA13">
        <v>107.91207633624001</v>
      </c>
      <c r="BA13" s="1">
        <v>5</v>
      </c>
      <c r="BB13" s="1">
        <v>18</v>
      </c>
      <c r="BC13" s="1">
        <v>43</v>
      </c>
      <c r="BD13" s="1">
        <v>139</v>
      </c>
      <c r="BE13" s="1">
        <v>586</v>
      </c>
      <c r="BF13" s="1">
        <v>1730</v>
      </c>
    </row>
    <row r="14" spans="1:58" x14ac:dyDescent="0.3">
      <c r="A14" s="2">
        <v>107</v>
      </c>
      <c r="B14" s="2">
        <v>45</v>
      </c>
      <c r="C14" s="2">
        <v>515</v>
      </c>
      <c r="D14" s="2">
        <v>520</v>
      </c>
      <c r="E14" s="5">
        <v>2.7724885205644801E-2</v>
      </c>
      <c r="F14" s="5">
        <v>1.4478880481023E-2</v>
      </c>
      <c r="G14" s="5">
        <v>1.4642800293065399E-2</v>
      </c>
      <c r="H14" s="16">
        <f t="shared" si="1"/>
        <v>0.2</v>
      </c>
      <c r="I14" s="16">
        <f t="shared" si="2"/>
        <v>2.6</v>
      </c>
      <c r="J14" s="16">
        <f t="shared" si="3"/>
        <v>7.8</v>
      </c>
      <c r="K14" s="16">
        <f t="shared" si="4"/>
        <v>15.6</v>
      </c>
      <c r="L14" s="16">
        <f t="shared" si="5"/>
        <v>69</v>
      </c>
      <c r="M14" s="16">
        <f t="shared" si="6"/>
        <v>188.6</v>
      </c>
      <c r="N14" s="34"/>
      <c r="O14">
        <v>2.77248857374158E-2</v>
      </c>
      <c r="P14">
        <v>7.8677957752448305E-2</v>
      </c>
      <c r="Q14">
        <v>0.26510584610390098</v>
      </c>
      <c r="R14">
        <v>0.92664835919294097</v>
      </c>
      <c r="S14">
        <v>3.7065934367717599</v>
      </c>
      <c r="T14">
        <v>14.826373747087001</v>
      </c>
      <c r="V14">
        <v>2.7724885205644801E-2</v>
      </c>
      <c r="W14">
        <v>0.110899540822579</v>
      </c>
      <c r="X14">
        <v>0.44359816329031698</v>
      </c>
      <c r="Y14">
        <v>1.7743926531612599</v>
      </c>
      <c r="Z14">
        <v>7.0975706126450699</v>
      </c>
      <c r="AA14">
        <v>28.390282450580202</v>
      </c>
      <c r="BA14" s="1">
        <v>1</v>
      </c>
      <c r="BB14" s="1">
        <v>13</v>
      </c>
      <c r="BC14" s="1">
        <v>39</v>
      </c>
      <c r="BD14" s="1">
        <v>78</v>
      </c>
      <c r="BE14" s="1">
        <v>345</v>
      </c>
      <c r="BF14" s="1">
        <v>943</v>
      </c>
    </row>
    <row r="15" spans="1:58" x14ac:dyDescent="0.3">
      <c r="A15" s="2">
        <v>162</v>
      </c>
      <c r="B15" s="2">
        <v>45</v>
      </c>
      <c r="C15" s="2">
        <v>550</v>
      </c>
      <c r="D15" s="2">
        <v>560</v>
      </c>
      <c r="E15" s="5">
        <v>2.2481115003792299E-2</v>
      </c>
      <c r="F15" s="5">
        <v>9.1860908476934702E-3</v>
      </c>
      <c r="G15" s="5">
        <v>5.26397191560033E-3</v>
      </c>
      <c r="H15" s="16">
        <f t="shared" si="1"/>
        <v>0</v>
      </c>
      <c r="I15" s="16">
        <f t="shared" si="2"/>
        <v>0.8</v>
      </c>
      <c r="J15" s="16">
        <f t="shared" si="3"/>
        <v>4</v>
      </c>
      <c r="K15" s="16">
        <f t="shared" si="4"/>
        <v>12.1</v>
      </c>
      <c r="L15" s="16">
        <f t="shared" si="5"/>
        <v>63.1</v>
      </c>
      <c r="M15" s="16">
        <f t="shared" si="6"/>
        <v>188.1</v>
      </c>
      <c r="N15" s="34"/>
      <c r="P15">
        <v>7.7959153032395798E-2</v>
      </c>
      <c r="Q15">
        <v>0.24135454645261201</v>
      </c>
      <c r="R15">
        <v>0.62231226944989104</v>
      </c>
      <c r="S15">
        <v>2.3516392566763402</v>
      </c>
      <c r="T15">
        <v>9.4065570267053804</v>
      </c>
      <c r="W15">
        <v>8.9924460015169197E-2</v>
      </c>
      <c r="X15">
        <v>0.35969784006067601</v>
      </c>
      <c r="Y15">
        <v>1.4387913602427</v>
      </c>
      <c r="Z15">
        <v>5.7551654409708304</v>
      </c>
      <c r="AA15">
        <v>23.0206617638833</v>
      </c>
      <c r="BA15" s="1">
        <v>0</v>
      </c>
      <c r="BB15" s="1">
        <v>8</v>
      </c>
      <c r="BC15" s="1">
        <v>40</v>
      </c>
      <c r="BD15" s="1">
        <v>121</v>
      </c>
      <c r="BE15" s="1">
        <v>631</v>
      </c>
      <c r="BF15" s="1">
        <v>1881</v>
      </c>
    </row>
    <row r="16" spans="1:58" x14ac:dyDescent="0.3">
      <c r="A16" s="2">
        <v>159</v>
      </c>
      <c r="B16" s="2">
        <v>45</v>
      </c>
      <c r="C16" s="2">
        <v>595</v>
      </c>
      <c r="D16" s="2">
        <v>610</v>
      </c>
      <c r="E16" s="5">
        <v>1.09573532088619E-2</v>
      </c>
      <c r="F16" s="5">
        <v>4.9905746416529098E-3</v>
      </c>
      <c r="G16" s="5">
        <v>4.5767283517164602E-3</v>
      </c>
      <c r="H16" s="16">
        <f t="shared" si="1"/>
        <v>0</v>
      </c>
      <c r="I16" s="16">
        <f t="shared" si="2"/>
        <v>0</v>
      </c>
      <c r="J16" s="16">
        <f t="shared" si="3"/>
        <v>0.73333333333333328</v>
      </c>
      <c r="K16" s="16">
        <f t="shared" si="4"/>
        <v>4.8</v>
      </c>
      <c r="L16" s="16">
        <f t="shared" si="5"/>
        <v>51.8</v>
      </c>
      <c r="M16" s="16">
        <f t="shared" si="6"/>
        <v>188</v>
      </c>
      <c r="N16" s="34"/>
      <c r="Q16">
        <v>0.12254395097085501</v>
      </c>
      <c r="R16">
        <v>0.35900970208783201</v>
      </c>
      <c r="S16">
        <v>1.2775871078584</v>
      </c>
      <c r="T16">
        <v>5.1103484314336303</v>
      </c>
      <c r="X16">
        <v>0.175317651341791</v>
      </c>
      <c r="Y16">
        <v>0.70127060536716501</v>
      </c>
      <c r="Z16">
        <v>2.80508242146866</v>
      </c>
      <c r="AA16">
        <v>11.220329685874599</v>
      </c>
      <c r="BA16" s="1">
        <v>0</v>
      </c>
      <c r="BB16" s="1">
        <v>0</v>
      </c>
      <c r="BC16" s="1">
        <v>11</v>
      </c>
      <c r="BD16" s="1">
        <v>72</v>
      </c>
      <c r="BE16" s="1">
        <v>777</v>
      </c>
      <c r="BF16" s="1">
        <v>2820</v>
      </c>
    </row>
    <row r="17" spans="1:58" x14ac:dyDescent="0.3">
      <c r="A17" s="2">
        <v>35</v>
      </c>
      <c r="B17" s="2">
        <v>45</v>
      </c>
      <c r="C17" s="2">
        <v>642</v>
      </c>
      <c r="D17" s="2">
        <v>648</v>
      </c>
      <c r="E17" s="5">
        <v>2.2279504588702301E-2</v>
      </c>
      <c r="F17" s="5">
        <v>9.4453501582737708E-3</v>
      </c>
      <c r="G17" s="5">
        <v>6.3512880877902899E-3</v>
      </c>
      <c r="H17" s="16">
        <f t="shared" si="1"/>
        <v>0</v>
      </c>
      <c r="I17" s="16">
        <f t="shared" si="2"/>
        <v>1</v>
      </c>
      <c r="J17" s="16">
        <f t="shared" si="3"/>
        <v>4</v>
      </c>
      <c r="K17" s="16">
        <f t="shared" si="4"/>
        <v>17.166666666666668</v>
      </c>
      <c r="L17" s="16">
        <f t="shared" si="5"/>
        <v>69.666666666666671</v>
      </c>
      <c r="M17" s="16">
        <f t="shared" si="6"/>
        <v>189.83333333333334</v>
      </c>
      <c r="N17" s="34"/>
      <c r="P17">
        <v>7.2703926665255297E-2</v>
      </c>
      <c r="Q17">
        <v>0.21382124817687001</v>
      </c>
      <c r="R17">
        <v>0.60450240905165797</v>
      </c>
      <c r="S17">
        <v>2.4180096362066301</v>
      </c>
      <c r="T17">
        <v>9.6720385448265294</v>
      </c>
      <c r="W17">
        <v>8.9118018354809397E-2</v>
      </c>
      <c r="X17">
        <v>0.35647207341923698</v>
      </c>
      <c r="Y17">
        <v>1.4258882936769499</v>
      </c>
      <c r="Z17">
        <v>5.7035531747077997</v>
      </c>
      <c r="AA17">
        <v>22.814212698831199</v>
      </c>
      <c r="BA17" s="1">
        <v>0</v>
      </c>
      <c r="BB17" s="1">
        <v>6</v>
      </c>
      <c r="BC17" s="1">
        <v>24</v>
      </c>
      <c r="BD17" s="1">
        <v>103</v>
      </c>
      <c r="BE17" s="1">
        <v>418</v>
      </c>
      <c r="BF17" s="1">
        <v>1139</v>
      </c>
    </row>
    <row r="18" spans="1:58" x14ac:dyDescent="0.3">
      <c r="A18" s="2">
        <v>69</v>
      </c>
      <c r="B18" s="2">
        <v>32</v>
      </c>
      <c r="C18" s="2">
        <v>685</v>
      </c>
      <c r="D18" s="2">
        <v>689</v>
      </c>
      <c r="E18" s="5">
        <v>1.0897008883362201E-2</v>
      </c>
      <c r="F18" s="5">
        <v>7.27047978157239E-3</v>
      </c>
      <c r="G18" s="5">
        <v>6.8585843273274603E-3</v>
      </c>
      <c r="H18" s="16">
        <f t="shared" si="1"/>
        <v>0</v>
      </c>
      <c r="I18" s="16">
        <f t="shared" si="2"/>
        <v>0.25</v>
      </c>
      <c r="J18" s="16">
        <f t="shared" si="3"/>
        <v>3</v>
      </c>
      <c r="K18" s="16">
        <f t="shared" si="4"/>
        <v>14.25</v>
      </c>
      <c r="L18" s="16">
        <f t="shared" si="5"/>
        <v>68.75</v>
      </c>
      <c r="M18" s="16">
        <f t="shared" si="6"/>
        <v>207.5</v>
      </c>
      <c r="N18" s="34"/>
      <c r="P18">
        <v>4.3588035701968897E-2</v>
      </c>
      <c r="Q18">
        <v>0.13106034882425699</v>
      </c>
      <c r="R18">
        <v>0.52424139529702896</v>
      </c>
      <c r="S18">
        <v>1.86124282879616</v>
      </c>
      <c r="T18">
        <v>7.4449713151846701</v>
      </c>
      <c r="W18">
        <v>4.3588035533449102E-2</v>
      </c>
      <c r="X18">
        <v>0.17435214213379599</v>
      </c>
      <c r="Y18">
        <v>0.69740856853518496</v>
      </c>
      <c r="Z18">
        <v>2.7896342741407398</v>
      </c>
      <c r="AA18">
        <v>11.158537096562901</v>
      </c>
      <c r="BA18" s="1">
        <v>0</v>
      </c>
      <c r="BB18" s="1">
        <v>1</v>
      </c>
      <c r="BC18" s="1">
        <v>12</v>
      </c>
      <c r="BD18" s="1">
        <v>57</v>
      </c>
      <c r="BE18" s="1">
        <v>275</v>
      </c>
      <c r="BF18" s="1">
        <v>830</v>
      </c>
    </row>
    <row r="19" spans="1:58" x14ac:dyDescent="0.3">
      <c r="A19" s="2">
        <v>85</v>
      </c>
      <c r="B19" s="2">
        <v>32</v>
      </c>
      <c r="C19" s="2">
        <v>730</v>
      </c>
      <c r="D19" s="2">
        <v>736</v>
      </c>
      <c r="E19" s="5">
        <v>1.13162316396569E-2</v>
      </c>
      <c r="F19" s="5">
        <v>6.77105129691932E-3</v>
      </c>
      <c r="G19" s="5">
        <v>5.0494700428746703E-3</v>
      </c>
      <c r="H19" s="16">
        <f t="shared" si="1"/>
        <v>0</v>
      </c>
      <c r="I19" s="16">
        <f t="shared" si="2"/>
        <v>0.16666666666666666</v>
      </c>
      <c r="J19" s="16">
        <f t="shared" si="3"/>
        <v>2.8333333333333335</v>
      </c>
      <c r="K19" s="16">
        <f t="shared" si="4"/>
        <v>12.666666666666666</v>
      </c>
      <c r="L19" s="16">
        <f t="shared" si="5"/>
        <v>54.666666666666664</v>
      </c>
      <c r="M19" s="16">
        <f t="shared" si="6"/>
        <v>204.66666666666666</v>
      </c>
      <c r="N19" s="34"/>
      <c r="P19">
        <v>4.5264926352280903E-2</v>
      </c>
      <c r="Q19">
        <v>0.12707267062271299</v>
      </c>
      <c r="R19">
        <v>0.43334728234498898</v>
      </c>
      <c r="S19">
        <v>1.7333891293799499</v>
      </c>
      <c r="T19">
        <v>6.9335565175198299</v>
      </c>
      <c r="W19">
        <v>4.5264926558627801E-2</v>
      </c>
      <c r="X19">
        <v>0.18105970623451101</v>
      </c>
      <c r="Y19">
        <v>0.72423882493804503</v>
      </c>
      <c r="Z19">
        <v>2.8969552997521801</v>
      </c>
      <c r="AA19">
        <v>11.587821199008699</v>
      </c>
      <c r="BA19" s="1">
        <v>0</v>
      </c>
      <c r="BB19" s="1">
        <v>1</v>
      </c>
      <c r="BC19" s="1">
        <v>17</v>
      </c>
      <c r="BD19" s="1">
        <v>76</v>
      </c>
      <c r="BE19" s="1">
        <v>328</v>
      </c>
      <c r="BF19" s="1">
        <v>1228</v>
      </c>
    </row>
    <row r="20" spans="1:58" x14ac:dyDescent="0.3">
      <c r="A20" s="2">
        <v>61</v>
      </c>
      <c r="B20" s="2">
        <v>32</v>
      </c>
      <c r="C20" s="2">
        <v>782</v>
      </c>
      <c r="D20" s="2">
        <v>788</v>
      </c>
      <c r="E20" s="5">
        <v>2.4554138346802101E-2</v>
      </c>
      <c r="F20" s="5">
        <v>8.2745106205033593E-3</v>
      </c>
      <c r="G20" s="5">
        <v>4.2829956428710502E-3</v>
      </c>
      <c r="H20" s="16">
        <f t="shared" si="1"/>
        <v>0</v>
      </c>
      <c r="I20" s="16">
        <f t="shared" si="2"/>
        <v>1</v>
      </c>
      <c r="J20" s="16">
        <f t="shared" si="3"/>
        <v>4.5</v>
      </c>
      <c r="K20" s="16">
        <f t="shared" si="4"/>
        <v>10.666666666666666</v>
      </c>
      <c r="L20" s="16">
        <f t="shared" si="5"/>
        <v>60.666666666666664</v>
      </c>
      <c r="M20" s="16">
        <f t="shared" si="6"/>
        <v>200.16666666666666</v>
      </c>
      <c r="N20" s="34"/>
      <c r="P20">
        <v>6.4224427234734496E-2</v>
      </c>
      <c r="Q20">
        <v>0.22893530246709601</v>
      </c>
      <c r="R20">
        <v>0.58198300914003198</v>
      </c>
      <c r="S20">
        <v>2.1182747223488398</v>
      </c>
      <c r="T20">
        <v>8.4730988893953594</v>
      </c>
      <c r="W20">
        <v>9.8216553387208499E-2</v>
      </c>
      <c r="X20">
        <v>0.392866213548834</v>
      </c>
      <c r="Y20">
        <v>1.57146485419533</v>
      </c>
      <c r="Z20">
        <v>6.2858594167813404</v>
      </c>
      <c r="AA20">
        <v>25.143437667125301</v>
      </c>
      <c r="BA20" s="1">
        <v>0</v>
      </c>
      <c r="BB20" s="1">
        <v>6</v>
      </c>
      <c r="BC20" s="1">
        <v>27</v>
      </c>
      <c r="BD20" s="1">
        <v>64</v>
      </c>
      <c r="BE20" s="1">
        <v>364</v>
      </c>
      <c r="BF20" s="1">
        <v>1201</v>
      </c>
    </row>
    <row r="21" spans="1:58" x14ac:dyDescent="0.3">
      <c r="A21" s="2">
        <v>52</v>
      </c>
      <c r="B21" s="2">
        <v>32</v>
      </c>
      <c r="C21" s="2">
        <v>820</v>
      </c>
      <c r="D21" s="2">
        <v>825</v>
      </c>
      <c r="E21" s="5">
        <v>1.6195175632876601E-2</v>
      </c>
      <c r="F21" s="5">
        <v>8.7837172608482301E-3</v>
      </c>
      <c r="G21" s="5">
        <v>7.5116788153303899E-3</v>
      </c>
      <c r="H21" s="16">
        <f t="shared" si="1"/>
        <v>0</v>
      </c>
      <c r="I21" s="16">
        <f t="shared" si="2"/>
        <v>0.6</v>
      </c>
      <c r="J21" s="16">
        <f t="shared" si="3"/>
        <v>4.2</v>
      </c>
      <c r="K21" s="16">
        <f t="shared" si="4"/>
        <v>14.8</v>
      </c>
      <c r="L21" s="16">
        <f t="shared" si="5"/>
        <v>79</v>
      </c>
      <c r="M21" s="16">
        <f t="shared" si="6"/>
        <v>198</v>
      </c>
      <c r="N21" s="34"/>
      <c r="P21">
        <v>5.66060042990124E-2</v>
      </c>
      <c r="Q21">
        <v>0.173305439270318</v>
      </c>
      <c r="R21">
        <v>0.56215790367475604</v>
      </c>
      <c r="S21">
        <v>2.2486316146990202</v>
      </c>
      <c r="T21">
        <v>8.9945264587960896</v>
      </c>
      <c r="W21">
        <v>6.4780702531506598E-2</v>
      </c>
      <c r="X21">
        <v>0.259122810126026</v>
      </c>
      <c r="Y21">
        <v>1.0364912405041</v>
      </c>
      <c r="Z21">
        <v>4.1459649620164196</v>
      </c>
      <c r="AA21">
        <v>16.5838598480656</v>
      </c>
      <c r="BA21" s="1">
        <v>0</v>
      </c>
      <c r="BB21" s="1">
        <v>3</v>
      </c>
      <c r="BC21" s="1">
        <v>21</v>
      </c>
      <c r="BD21" s="1">
        <v>74</v>
      </c>
      <c r="BE21" s="1">
        <v>395</v>
      </c>
      <c r="BF21" s="1">
        <v>990</v>
      </c>
    </row>
    <row r="22" spans="1:58" x14ac:dyDescent="0.3">
      <c r="A22" s="2">
        <v>165</v>
      </c>
      <c r="B22" s="2">
        <v>16</v>
      </c>
      <c r="C22" s="2">
        <v>865</v>
      </c>
      <c r="D22" s="2">
        <v>875</v>
      </c>
      <c r="E22" s="5">
        <v>1.06254875376059E-2</v>
      </c>
      <c r="F22" s="5">
        <v>5.3979442955963304E-3</v>
      </c>
      <c r="G22" s="5">
        <v>5.0606462291010196E-3</v>
      </c>
      <c r="H22" s="16">
        <f t="shared" si="1"/>
        <v>0</v>
      </c>
      <c r="I22" s="16">
        <f t="shared" si="2"/>
        <v>0.1</v>
      </c>
      <c r="J22" s="16">
        <f t="shared" si="3"/>
        <v>1.1000000000000001</v>
      </c>
      <c r="K22" s="16">
        <f t="shared" si="4"/>
        <v>6.2</v>
      </c>
      <c r="L22" s="16">
        <f t="shared" si="5"/>
        <v>60.7</v>
      </c>
      <c r="M22" s="16">
        <f t="shared" si="6"/>
        <v>191.1</v>
      </c>
      <c r="N22" s="34"/>
      <c r="P22">
        <v>4.2501949944915698E-2</v>
      </c>
      <c r="Q22">
        <v>0.116374533955678</v>
      </c>
      <c r="R22">
        <v>0.36853445483851999</v>
      </c>
      <c r="S22">
        <v>1.38187374013061</v>
      </c>
      <c r="T22">
        <v>5.5274949605224499</v>
      </c>
      <c r="W22">
        <v>4.2501950150423698E-2</v>
      </c>
      <c r="X22">
        <v>0.17000780060169399</v>
      </c>
      <c r="Y22">
        <v>0.68003120240677895</v>
      </c>
      <c r="Z22">
        <v>2.72012480962711</v>
      </c>
      <c r="AA22">
        <v>10.880499238508399</v>
      </c>
      <c r="BA22" s="1">
        <v>0</v>
      </c>
      <c r="BB22" s="1">
        <v>1</v>
      </c>
      <c r="BC22" s="1">
        <v>11</v>
      </c>
      <c r="BD22" s="1">
        <v>62</v>
      </c>
      <c r="BE22" s="1">
        <v>607</v>
      </c>
      <c r="BF22" s="1">
        <v>1911</v>
      </c>
    </row>
    <row r="23" spans="1:58" x14ac:dyDescent="0.3">
      <c r="A23" s="2">
        <v>166</v>
      </c>
      <c r="B23" s="2">
        <v>16</v>
      </c>
      <c r="C23" s="2">
        <v>920</v>
      </c>
      <c r="D23" s="2">
        <v>930</v>
      </c>
      <c r="E23" s="5">
        <v>5.4104257016193398E-3</v>
      </c>
      <c r="F23" s="5">
        <v>4.2237913969842902E-3</v>
      </c>
      <c r="G23" s="5">
        <v>4.0412722569313003E-3</v>
      </c>
      <c r="H23" s="16">
        <f t="shared" si="1"/>
        <v>0</v>
      </c>
      <c r="I23" s="16">
        <f t="shared" si="2"/>
        <v>0</v>
      </c>
      <c r="J23" s="16">
        <f t="shared" si="3"/>
        <v>0.2</v>
      </c>
      <c r="K23" s="16">
        <f t="shared" si="4"/>
        <v>3.2</v>
      </c>
      <c r="L23" s="16">
        <f t="shared" si="5"/>
        <v>53.6</v>
      </c>
      <c r="M23" s="16">
        <f t="shared" si="6"/>
        <v>202</v>
      </c>
      <c r="N23" s="34"/>
      <c r="Q23">
        <v>7.8663658425102104E-2</v>
      </c>
      <c r="R23">
        <v>0.286033381784213</v>
      </c>
      <c r="S23">
        <v>1.08129059920596</v>
      </c>
      <c r="T23">
        <v>4.3251623968238597</v>
      </c>
      <c r="X23">
        <v>8.56390953438151E-2</v>
      </c>
      <c r="Y23">
        <v>0.34626724490363803</v>
      </c>
      <c r="Z23">
        <v>1.3850689796145501</v>
      </c>
      <c r="AA23">
        <v>5.5402759184582102</v>
      </c>
      <c r="BA23" s="1">
        <v>0</v>
      </c>
      <c r="BB23" s="1"/>
      <c r="BC23" s="1">
        <v>2</v>
      </c>
      <c r="BD23" s="1">
        <v>32</v>
      </c>
      <c r="BE23" s="1">
        <v>536</v>
      </c>
      <c r="BF23" s="1">
        <v>2020</v>
      </c>
    </row>
    <row r="24" spans="1:58" x14ac:dyDescent="0.3">
      <c r="A24" s="2">
        <v>53</v>
      </c>
      <c r="B24" s="2">
        <v>22.6</v>
      </c>
      <c r="C24" s="2">
        <v>970</v>
      </c>
      <c r="D24" s="2">
        <v>985</v>
      </c>
      <c r="E24" s="5">
        <v>5.4074185586351197E-3</v>
      </c>
      <c r="F24" s="5">
        <v>3.7739188928974099E-3</v>
      </c>
      <c r="G24" s="5">
        <v>3.5257352179030601E-3</v>
      </c>
      <c r="H24" s="16">
        <f t="shared" si="1"/>
        <v>0</v>
      </c>
      <c r="I24" s="16">
        <f t="shared" si="2"/>
        <v>0</v>
      </c>
      <c r="J24" s="16">
        <f t="shared" si="3"/>
        <v>0.13333333333333333</v>
      </c>
      <c r="K24" s="16">
        <f t="shared" si="4"/>
        <v>2</v>
      </c>
      <c r="L24" s="16">
        <f t="shared" si="5"/>
        <v>40.06666666666667</v>
      </c>
      <c r="M24" s="16">
        <f t="shared" si="6"/>
        <v>200.2</v>
      </c>
      <c r="N24" s="34"/>
      <c r="Q24">
        <v>8.5713068849887802E-2</v>
      </c>
      <c r="R24">
        <v>0.28274257889141102</v>
      </c>
      <c r="S24">
        <v>0.96612323561066804</v>
      </c>
      <c r="T24">
        <v>3.8644929424426699</v>
      </c>
      <c r="X24">
        <v>8.5713069200916994E-2</v>
      </c>
      <c r="Y24">
        <v>0.346074787752647</v>
      </c>
      <c r="Z24">
        <v>1.38429915101059</v>
      </c>
      <c r="AA24">
        <v>5.5371966040423599</v>
      </c>
      <c r="BA24" s="1">
        <v>0</v>
      </c>
      <c r="BB24" s="1"/>
      <c r="BC24" s="1">
        <v>2</v>
      </c>
      <c r="BD24" s="1">
        <v>30</v>
      </c>
      <c r="BE24" s="1">
        <v>601</v>
      </c>
      <c r="BF24" s="1">
        <v>3003</v>
      </c>
    </row>
    <row r="25" spans="1:58" x14ac:dyDescent="0.3">
      <c r="A25" s="2">
        <v>45</v>
      </c>
      <c r="B25" s="2">
        <v>22.6</v>
      </c>
      <c r="C25" s="2">
        <v>1020</v>
      </c>
      <c r="D25" s="2">
        <v>1030</v>
      </c>
      <c r="E25" s="5">
        <v>6.9634801117522301E-3</v>
      </c>
      <c r="F25" s="5">
        <v>4.7306891897243297E-3</v>
      </c>
      <c r="G25" s="5">
        <v>4.5595536316889104E-3</v>
      </c>
      <c r="H25" s="16">
        <f t="shared" si="1"/>
        <v>0</v>
      </c>
      <c r="I25" s="16">
        <f t="shared" si="2"/>
        <v>0.1</v>
      </c>
      <c r="J25" s="16">
        <f t="shared" si="3"/>
        <v>0.4</v>
      </c>
      <c r="K25" s="16">
        <f t="shared" si="4"/>
        <v>5.0999999999999996</v>
      </c>
      <c r="L25" s="16">
        <f t="shared" si="5"/>
        <v>49.4</v>
      </c>
      <c r="M25" s="16">
        <f t="shared" si="6"/>
        <v>193.1</v>
      </c>
      <c r="N25" s="34"/>
      <c r="P25">
        <v>2.7853920384742901E-2</v>
      </c>
      <c r="Q25">
        <v>0.102227488893629</v>
      </c>
      <c r="R25">
        <v>0.312084224737535</v>
      </c>
      <c r="S25">
        <v>1.21105643309446</v>
      </c>
      <c r="T25">
        <v>4.8442257323778604</v>
      </c>
      <c r="W25">
        <v>2.7853920447008899E-2</v>
      </c>
      <c r="X25">
        <v>0.111415681788035</v>
      </c>
      <c r="Y25">
        <v>0.445662727152142</v>
      </c>
      <c r="Z25">
        <v>1.78265090860857</v>
      </c>
      <c r="AA25">
        <v>7.13060363443428</v>
      </c>
      <c r="BA25" s="1">
        <v>0</v>
      </c>
      <c r="BB25" s="1">
        <v>1</v>
      </c>
      <c r="BC25" s="1">
        <v>4</v>
      </c>
      <c r="BD25" s="1">
        <v>51</v>
      </c>
      <c r="BE25" s="1">
        <v>494</v>
      </c>
      <c r="BF25" s="1">
        <v>1931</v>
      </c>
    </row>
    <row r="26" spans="1:58" x14ac:dyDescent="0.3">
      <c r="A26" s="3">
        <v>1.1000000000000001</v>
      </c>
      <c r="B26" s="3">
        <v>32</v>
      </c>
      <c r="C26" s="4">
        <v>50</v>
      </c>
      <c r="D26" s="4">
        <v>70</v>
      </c>
      <c r="E26" s="5">
        <v>1.40031756933689E-2</v>
      </c>
      <c r="F26" s="5">
        <v>5.6784984243662398E-3</v>
      </c>
      <c r="G26" s="5">
        <v>4.6667095589632999E-3</v>
      </c>
      <c r="H26" s="16">
        <f t="shared" si="1"/>
        <v>0</v>
      </c>
      <c r="I26" s="16">
        <f t="shared" si="2"/>
        <v>0.05</v>
      </c>
      <c r="J26" s="16">
        <f t="shared" si="3"/>
        <v>0.9</v>
      </c>
      <c r="K26" s="16">
        <f t="shared" si="4"/>
        <v>7.55</v>
      </c>
      <c r="L26" s="16">
        <f t="shared" si="5"/>
        <v>59.8</v>
      </c>
      <c r="M26" s="16">
        <f t="shared" si="6"/>
        <v>180.85</v>
      </c>
      <c r="N26" s="34"/>
      <c r="P26">
        <v>5.6012702773475899E-2</v>
      </c>
      <c r="Q26">
        <v>0.17662425401843199</v>
      </c>
      <c r="R26">
        <v>0.371998081424883</v>
      </c>
      <c r="S26">
        <v>1.4536955966377501</v>
      </c>
      <c r="T26">
        <v>5.8147823865510198</v>
      </c>
      <c r="W26">
        <v>5.6012702773475899E-2</v>
      </c>
      <c r="X26">
        <v>0.22405081109390301</v>
      </c>
      <c r="Y26">
        <v>0.89620324437561405</v>
      </c>
      <c r="Z26">
        <v>3.58481297750245</v>
      </c>
      <c r="AA26">
        <v>14.3392519100098</v>
      </c>
      <c r="BA26" s="1">
        <v>0</v>
      </c>
      <c r="BB26" s="1">
        <v>1</v>
      </c>
      <c r="BC26" s="1">
        <v>18</v>
      </c>
      <c r="BD26" s="1">
        <v>151</v>
      </c>
      <c r="BE26" s="1">
        <v>1196</v>
      </c>
      <c r="BF26" s="1">
        <v>3617</v>
      </c>
    </row>
    <row r="27" spans="1:58" x14ac:dyDescent="0.3">
      <c r="A27" s="3">
        <v>1.2</v>
      </c>
      <c r="B27" s="3">
        <v>32</v>
      </c>
      <c r="C27" s="4">
        <v>70</v>
      </c>
      <c r="D27" s="4">
        <v>90</v>
      </c>
      <c r="E27" s="5">
        <v>1.0890800850407899E-2</v>
      </c>
      <c r="F27" s="5">
        <v>4.8212415579803897E-3</v>
      </c>
      <c r="G27" s="5">
        <v>4.1135640493545804E-3</v>
      </c>
      <c r="H27" s="16">
        <f t="shared" si="1"/>
        <v>0</v>
      </c>
      <c r="I27" s="16">
        <f t="shared" si="2"/>
        <v>0.05</v>
      </c>
      <c r="J27" s="16">
        <f t="shared" si="3"/>
        <v>0.55000000000000004</v>
      </c>
      <c r="K27" s="16">
        <f t="shared" si="4"/>
        <v>5.15</v>
      </c>
      <c r="L27" s="16">
        <f t="shared" si="5"/>
        <v>48.6</v>
      </c>
      <c r="M27" s="16">
        <f t="shared" si="6"/>
        <v>175.05</v>
      </c>
      <c r="N27" s="34"/>
      <c r="P27">
        <v>4.3563203401631702E-2</v>
      </c>
      <c r="Q27">
        <v>0.14678489544762599</v>
      </c>
      <c r="R27">
        <v>0.32808884276820199</v>
      </c>
      <c r="S27">
        <v>1.23423783884298</v>
      </c>
      <c r="T27">
        <v>4.93695135537192</v>
      </c>
      <c r="W27">
        <v>4.3563203401631702E-2</v>
      </c>
      <c r="X27">
        <v>0.174252813606527</v>
      </c>
      <c r="Y27">
        <v>0.69701125442610801</v>
      </c>
      <c r="Z27">
        <v>2.7880450177044298</v>
      </c>
      <c r="AA27">
        <v>11.1521800708177</v>
      </c>
      <c r="BA27" s="1">
        <v>0</v>
      </c>
      <c r="BB27" s="1">
        <v>1</v>
      </c>
      <c r="BC27" s="1">
        <v>11</v>
      </c>
      <c r="BD27" s="1">
        <v>103</v>
      </c>
      <c r="BE27" s="1">
        <v>972</v>
      </c>
      <c r="BF27" s="1">
        <v>3501</v>
      </c>
    </row>
    <row r="28" spans="1:58" x14ac:dyDescent="0.3">
      <c r="A28" s="3">
        <v>1.3</v>
      </c>
      <c r="B28" s="3">
        <v>32</v>
      </c>
      <c r="C28" s="4">
        <v>90</v>
      </c>
      <c r="D28" s="4">
        <v>100</v>
      </c>
      <c r="E28" s="5">
        <v>2.3197934886697399E-2</v>
      </c>
      <c r="F28" s="5">
        <v>9.1426900455134907E-3</v>
      </c>
      <c r="G28" s="5">
        <v>6.1375608082080103E-3</v>
      </c>
      <c r="H28" s="16">
        <f t="shared" si="1"/>
        <v>0</v>
      </c>
      <c r="I28" s="16">
        <f t="shared" si="2"/>
        <v>0.4</v>
      </c>
      <c r="J28" s="16">
        <f t="shared" si="3"/>
        <v>3.5</v>
      </c>
      <c r="K28" s="16">
        <f t="shared" si="4"/>
        <v>16.3</v>
      </c>
      <c r="L28" s="16">
        <f t="shared" si="5"/>
        <v>78.8</v>
      </c>
      <c r="M28" s="16">
        <f t="shared" si="6"/>
        <v>174.9</v>
      </c>
      <c r="N28" s="34"/>
      <c r="P28">
        <v>9.2791739546789598E-2</v>
      </c>
      <c r="Q28">
        <v>0.222368887754927</v>
      </c>
      <c r="R28">
        <v>0.58513216291286296</v>
      </c>
      <c r="S28">
        <v>2.3405286516514501</v>
      </c>
      <c r="T28">
        <v>9.3621146066058198</v>
      </c>
      <c r="W28">
        <v>9.2791739546789598E-2</v>
      </c>
      <c r="X28">
        <v>0.371166958187158</v>
      </c>
      <c r="Y28">
        <v>1.48466783274863</v>
      </c>
      <c r="Z28">
        <v>5.9386713309945298</v>
      </c>
      <c r="AA28">
        <v>23.754685323978102</v>
      </c>
      <c r="BA28" s="1">
        <v>0</v>
      </c>
      <c r="BB28" s="1">
        <v>4</v>
      </c>
      <c r="BC28" s="1">
        <v>35</v>
      </c>
      <c r="BD28" s="1">
        <v>163</v>
      </c>
      <c r="BE28" s="1">
        <v>788</v>
      </c>
      <c r="BF28" s="1">
        <v>1749</v>
      </c>
    </row>
    <row r="29" spans="1:58" x14ac:dyDescent="0.3">
      <c r="A29" s="3">
        <v>2.1</v>
      </c>
      <c r="B29" s="3">
        <v>45</v>
      </c>
      <c r="C29" s="4">
        <v>120</v>
      </c>
      <c r="D29" s="4">
        <v>140</v>
      </c>
      <c r="E29" s="5">
        <v>3.5345925929864103E-2</v>
      </c>
      <c r="F29" s="5">
        <v>7.8507383881498607E-3</v>
      </c>
      <c r="G29" s="5">
        <v>4.0069409325786598E-3</v>
      </c>
      <c r="H29" s="16">
        <f t="shared" si="1"/>
        <v>0</v>
      </c>
      <c r="I29" s="16">
        <f t="shared" si="2"/>
        <v>0.55000000000000004</v>
      </c>
      <c r="J29" s="16">
        <f t="shared" si="3"/>
        <v>2.8</v>
      </c>
      <c r="K29" s="16">
        <f t="shared" si="4"/>
        <v>10.199999999999999</v>
      </c>
      <c r="L29" s="16">
        <f t="shared" si="5"/>
        <v>60.75</v>
      </c>
      <c r="M29" s="16">
        <f t="shared" si="6"/>
        <v>171.2</v>
      </c>
      <c r="N29" s="34"/>
      <c r="P29">
        <v>8.2766257918429495E-2</v>
      </c>
      <c r="Q29">
        <v>0.28137760228112102</v>
      </c>
      <c r="R29">
        <v>0.60837215584300797</v>
      </c>
      <c r="S29">
        <v>2.0097890273663599</v>
      </c>
      <c r="T29">
        <v>8.0391561094654609</v>
      </c>
      <c r="W29">
        <v>0.14138370371945599</v>
      </c>
      <c r="X29">
        <v>0.56553481487782498</v>
      </c>
      <c r="Y29">
        <v>2.2621392595112999</v>
      </c>
      <c r="Z29">
        <v>9.0485570380452103</v>
      </c>
      <c r="AA29">
        <v>36.194228152180798</v>
      </c>
      <c r="BA29" s="1">
        <v>0</v>
      </c>
      <c r="BB29" s="1">
        <v>11</v>
      </c>
      <c r="BC29" s="1">
        <v>56</v>
      </c>
      <c r="BD29" s="1">
        <v>204</v>
      </c>
      <c r="BE29" s="1">
        <v>1215</v>
      </c>
      <c r="BF29" s="1">
        <v>3424</v>
      </c>
    </row>
    <row r="30" spans="1:58" x14ac:dyDescent="0.3">
      <c r="A30" s="3">
        <v>2.2000000000000002</v>
      </c>
      <c r="B30" s="3">
        <v>45</v>
      </c>
      <c r="C30" s="4">
        <v>140</v>
      </c>
      <c r="D30" s="4">
        <v>155</v>
      </c>
      <c r="E30" s="5">
        <v>2.4016207968108199E-2</v>
      </c>
      <c r="F30" s="5">
        <v>6.5149661727545603E-3</v>
      </c>
      <c r="G30" s="5">
        <v>4.26435563054003E-3</v>
      </c>
      <c r="H30" s="16">
        <f t="shared" si="1"/>
        <v>6.6666666666666666E-2</v>
      </c>
      <c r="I30" s="16">
        <f t="shared" si="2"/>
        <v>0.33333333333333331</v>
      </c>
      <c r="J30" s="16">
        <f t="shared" si="3"/>
        <v>1.7333333333333334</v>
      </c>
      <c r="K30" s="16">
        <f t="shared" si="4"/>
        <v>7.4666666666666668</v>
      </c>
      <c r="L30" s="16">
        <f t="shared" si="5"/>
        <v>54.06666666666667</v>
      </c>
      <c r="M30" s="16">
        <f t="shared" si="6"/>
        <v>187.2</v>
      </c>
      <c r="N30" s="34"/>
      <c r="O30">
        <v>2.4016207968108199E-2</v>
      </c>
      <c r="P30">
        <v>6.1687066952672398E-2</v>
      </c>
      <c r="Q30">
        <v>0.19687478181427201</v>
      </c>
      <c r="R30">
        <v>0.46344710039377801</v>
      </c>
      <c r="S30">
        <v>1.6678313402251601</v>
      </c>
      <c r="T30">
        <v>6.6713253609006697</v>
      </c>
      <c r="V30">
        <v>2.4016207968108199E-2</v>
      </c>
      <c r="W30">
        <v>9.6064831872432796E-2</v>
      </c>
      <c r="X30">
        <v>0.38425932748973102</v>
      </c>
      <c r="Y30">
        <v>1.5370373099589201</v>
      </c>
      <c r="Z30">
        <v>6.1481492398356998</v>
      </c>
      <c r="AA30">
        <v>24.592596959342799</v>
      </c>
      <c r="BA30" s="1">
        <v>1</v>
      </c>
      <c r="BB30" s="1">
        <v>5</v>
      </c>
      <c r="BC30" s="1">
        <v>26</v>
      </c>
      <c r="BD30" s="1">
        <v>112</v>
      </c>
      <c r="BE30" s="1">
        <v>811</v>
      </c>
      <c r="BF30" s="1">
        <v>2808</v>
      </c>
    </row>
    <row r="31" spans="1:58" x14ac:dyDescent="0.3">
      <c r="A31" s="3">
        <v>2.2999999999999998</v>
      </c>
      <c r="B31" s="3">
        <v>45</v>
      </c>
      <c r="C31" s="4">
        <v>160</v>
      </c>
      <c r="D31" s="4">
        <v>170</v>
      </c>
      <c r="E31" s="5">
        <v>1.9422121419342901E-2</v>
      </c>
      <c r="F31" s="5">
        <v>7.5773751595888898E-3</v>
      </c>
      <c r="G31" s="5">
        <v>5.3544304928017398E-3</v>
      </c>
      <c r="H31" s="16">
        <f t="shared" si="1"/>
        <v>0</v>
      </c>
      <c r="I31" s="16">
        <f t="shared" si="2"/>
        <v>0.3</v>
      </c>
      <c r="J31" s="16">
        <f t="shared" si="3"/>
        <v>2.8</v>
      </c>
      <c r="K31" s="16">
        <f t="shared" si="4"/>
        <v>14.7</v>
      </c>
      <c r="L31" s="16">
        <f t="shared" si="5"/>
        <v>70</v>
      </c>
      <c r="M31" s="16">
        <f t="shared" si="6"/>
        <v>183.8</v>
      </c>
      <c r="N31" s="34"/>
      <c r="P31">
        <v>6.6744949341475304E-2</v>
      </c>
      <c r="Q31">
        <v>0.16107374150092801</v>
      </c>
      <c r="R31">
        <v>0.484952010213689</v>
      </c>
      <c r="S31">
        <v>1.93980804085475</v>
      </c>
      <c r="T31">
        <v>7.7592321634190196</v>
      </c>
      <c r="W31">
        <v>7.7688485677371896E-2</v>
      </c>
      <c r="X31">
        <v>0.31075394270948697</v>
      </c>
      <c r="Y31">
        <v>1.2430157708379499</v>
      </c>
      <c r="Z31">
        <v>4.9720630833517996</v>
      </c>
      <c r="AA31">
        <v>19.888252333407198</v>
      </c>
      <c r="BA31" s="1">
        <v>0</v>
      </c>
      <c r="BB31" s="1">
        <v>3</v>
      </c>
      <c r="BC31" s="1">
        <v>28</v>
      </c>
      <c r="BD31" s="1">
        <v>147</v>
      </c>
      <c r="BE31" s="1">
        <v>700</v>
      </c>
      <c r="BF31" s="1">
        <v>1838</v>
      </c>
    </row>
    <row r="32" spans="1:58" x14ac:dyDescent="0.3">
      <c r="A32" s="3">
        <v>3.1</v>
      </c>
      <c r="B32" s="3">
        <v>64</v>
      </c>
      <c r="C32" s="4">
        <v>190</v>
      </c>
      <c r="D32" s="4">
        <v>210</v>
      </c>
      <c r="E32" s="5">
        <v>0.12653412852816501</v>
      </c>
      <c r="F32" s="5">
        <v>1.5222331559222001E-2</v>
      </c>
      <c r="G32" s="5">
        <v>4.5052689799184196E-3</v>
      </c>
      <c r="H32" s="16">
        <f t="shared" si="1"/>
        <v>0.5</v>
      </c>
      <c r="I32" s="16">
        <f t="shared" si="2"/>
        <v>1.9</v>
      </c>
      <c r="J32" s="16">
        <f t="shared" si="3"/>
        <v>5.65</v>
      </c>
      <c r="K32" s="16">
        <f t="shared" si="4"/>
        <v>15.6</v>
      </c>
      <c r="L32" s="16">
        <f t="shared" si="5"/>
        <v>60.6</v>
      </c>
      <c r="M32" s="16">
        <f t="shared" si="6"/>
        <v>165.3</v>
      </c>
      <c r="N32" s="34"/>
      <c r="O32">
        <v>9.5477972807156197E-2</v>
      </c>
      <c r="P32">
        <v>0.192484405703403</v>
      </c>
      <c r="Q32">
        <v>0.54260603351381897</v>
      </c>
      <c r="R32">
        <v>1.4445985101020999</v>
      </c>
      <c r="S32">
        <v>3.8969168791608402</v>
      </c>
      <c r="T32">
        <v>15.5876675166433</v>
      </c>
      <c r="V32">
        <v>0.12653412852816501</v>
      </c>
      <c r="W32">
        <v>0.50613651411266203</v>
      </c>
      <c r="X32">
        <v>2.0245460564506401</v>
      </c>
      <c r="Y32">
        <v>8.0981842258025907</v>
      </c>
      <c r="Z32">
        <v>32.392736903210299</v>
      </c>
      <c r="AA32">
        <v>129.570947612841</v>
      </c>
      <c r="BA32" s="1">
        <v>10</v>
      </c>
      <c r="BB32" s="1">
        <v>38</v>
      </c>
      <c r="BC32" s="1">
        <v>113</v>
      </c>
      <c r="BD32" s="1">
        <v>312</v>
      </c>
      <c r="BE32" s="1">
        <v>1212</v>
      </c>
      <c r="BF32" s="1">
        <v>3306</v>
      </c>
    </row>
    <row r="33" spans="1:58" x14ac:dyDescent="0.3">
      <c r="A33" s="3">
        <v>3.2</v>
      </c>
      <c r="B33" s="3">
        <v>64</v>
      </c>
      <c r="C33" s="4">
        <v>215</v>
      </c>
      <c r="D33" s="4">
        <v>230</v>
      </c>
      <c r="E33" s="5">
        <v>5.1502950973667999E-2</v>
      </c>
      <c r="F33" s="5">
        <v>1.37528556522491E-2</v>
      </c>
      <c r="G33" s="5">
        <v>4.5700514622563203E-3</v>
      </c>
      <c r="H33" s="16">
        <f t="shared" si="1"/>
        <v>0.13333333333333333</v>
      </c>
      <c r="I33" s="16">
        <f t="shared" si="2"/>
        <v>2</v>
      </c>
      <c r="J33" s="16">
        <f t="shared" si="3"/>
        <v>7.333333333333333</v>
      </c>
      <c r="K33" s="16">
        <f t="shared" si="4"/>
        <v>18.600000000000001</v>
      </c>
      <c r="L33" s="16">
        <f t="shared" si="5"/>
        <v>68.8</v>
      </c>
      <c r="M33" s="16">
        <f t="shared" si="6"/>
        <v>171.33333333333334</v>
      </c>
      <c r="N33" s="34"/>
      <c r="O33">
        <v>2.8717702047744001E-2</v>
      </c>
      <c r="P33">
        <v>0.11587567427319601</v>
      </c>
      <c r="Q33">
        <v>0.424330918118209</v>
      </c>
      <c r="R33">
        <v>1.0317760232201201</v>
      </c>
      <c r="S33">
        <v>3.52073104697577</v>
      </c>
      <c r="T33">
        <v>14.082924187903</v>
      </c>
      <c r="V33">
        <v>3.4786896818932399E-2</v>
      </c>
      <c r="W33">
        <v>0.206011803894672</v>
      </c>
      <c r="X33">
        <v>0.82404721557868799</v>
      </c>
      <c r="Y33">
        <v>3.2961888623147502</v>
      </c>
      <c r="Z33">
        <v>13.184755449259001</v>
      </c>
      <c r="AA33">
        <v>52.739021797036003</v>
      </c>
      <c r="BA33" s="1">
        <v>2</v>
      </c>
      <c r="BB33" s="1">
        <v>30</v>
      </c>
      <c r="BC33" s="1">
        <v>110</v>
      </c>
      <c r="BD33" s="1">
        <v>279</v>
      </c>
      <c r="BE33" s="1">
        <v>1032</v>
      </c>
      <c r="BF33" s="1">
        <v>2570</v>
      </c>
    </row>
    <row r="34" spans="1:58" x14ac:dyDescent="0.3">
      <c r="A34" s="3">
        <v>3.3</v>
      </c>
      <c r="B34" s="3">
        <v>64</v>
      </c>
      <c r="C34" s="4">
        <v>230</v>
      </c>
      <c r="D34" s="4">
        <v>250</v>
      </c>
      <c r="E34" s="5">
        <v>5.04335454776157E-2</v>
      </c>
      <c r="F34" s="5">
        <v>9.8602655911611495E-3</v>
      </c>
      <c r="G34" s="5">
        <v>4.3864038070395503E-3</v>
      </c>
      <c r="H34" s="16">
        <f t="shared" si="1"/>
        <v>0.2</v>
      </c>
      <c r="I34" s="16">
        <f t="shared" si="2"/>
        <v>1</v>
      </c>
      <c r="J34" s="16">
        <f t="shared" si="3"/>
        <v>3.4</v>
      </c>
      <c r="K34" s="16">
        <f t="shared" si="4"/>
        <v>12.25</v>
      </c>
      <c r="L34" s="16">
        <f t="shared" si="5"/>
        <v>57.75</v>
      </c>
      <c r="M34" s="16">
        <f t="shared" si="6"/>
        <v>167.8</v>
      </c>
      <c r="N34" s="34"/>
      <c r="O34">
        <v>4.2099641834455401E-2</v>
      </c>
      <c r="P34">
        <v>0.10745936765490099</v>
      </c>
      <c r="Q34">
        <v>0.342981303210388</v>
      </c>
      <c r="R34">
        <v>0.759859641009906</v>
      </c>
      <c r="S34">
        <v>2.5242279913372498</v>
      </c>
      <c r="T34">
        <v>10.096911965348999</v>
      </c>
      <c r="V34">
        <v>5.04335454776157E-2</v>
      </c>
      <c r="W34">
        <v>0.201734181910463</v>
      </c>
      <c r="X34">
        <v>0.80693672764185198</v>
      </c>
      <c r="Y34">
        <v>3.2277469105674101</v>
      </c>
      <c r="Z34">
        <v>12.9109876422696</v>
      </c>
      <c r="AA34">
        <v>51.643950569078498</v>
      </c>
      <c r="BA34" s="1">
        <v>4</v>
      </c>
      <c r="BB34" s="1">
        <v>20</v>
      </c>
      <c r="BC34" s="1">
        <v>68</v>
      </c>
      <c r="BD34" s="1">
        <v>245</v>
      </c>
      <c r="BE34" s="1">
        <v>1155</v>
      </c>
      <c r="BF34" s="1">
        <v>3356</v>
      </c>
    </row>
    <row r="35" spans="1:58" x14ac:dyDescent="0.3">
      <c r="A35" s="3">
        <v>4.0999999999999996</v>
      </c>
      <c r="B35" s="3">
        <v>90</v>
      </c>
      <c r="C35" s="4">
        <v>270</v>
      </c>
      <c r="D35" s="4">
        <v>285</v>
      </c>
      <c r="E35" s="5">
        <v>9.6840712231762202E-2</v>
      </c>
      <c r="F35" s="5">
        <v>2.94139388502281E-2</v>
      </c>
      <c r="G35" s="5">
        <v>9.5407724532447606E-3</v>
      </c>
      <c r="H35" s="16">
        <f t="shared" si="1"/>
        <v>0.8</v>
      </c>
      <c r="I35" s="16">
        <f t="shared" si="2"/>
        <v>4.0666666666666664</v>
      </c>
      <c r="J35" s="16">
        <f t="shared" si="3"/>
        <v>12.466666666666667</v>
      </c>
      <c r="K35" s="16">
        <f t="shared" si="4"/>
        <v>32.666666666666664</v>
      </c>
      <c r="L35" s="16">
        <f t="shared" si="5"/>
        <v>67.933333333333337</v>
      </c>
      <c r="M35" s="16">
        <f t="shared" si="6"/>
        <v>150.53333333333333</v>
      </c>
      <c r="N35" s="34"/>
      <c r="O35">
        <v>6.9669475601588704E-2</v>
      </c>
      <c r="P35">
        <v>0.21182245741774999</v>
      </c>
      <c r="Q35">
        <v>0.71876689058186105</v>
      </c>
      <c r="R35">
        <v>2.4352261038974299</v>
      </c>
      <c r="S35">
        <v>7.5299683456584097</v>
      </c>
      <c r="T35">
        <v>30.1198733826336</v>
      </c>
      <c r="V35">
        <v>9.6840712231762202E-2</v>
      </c>
      <c r="W35">
        <v>0.38736284892704798</v>
      </c>
      <c r="X35">
        <v>1.5494513957081899</v>
      </c>
      <c r="Y35">
        <v>6.19780558283278</v>
      </c>
      <c r="Z35">
        <v>24.791222331331099</v>
      </c>
      <c r="AA35">
        <v>99.164889325324495</v>
      </c>
      <c r="BA35" s="1">
        <v>12</v>
      </c>
      <c r="BB35" s="1">
        <v>61</v>
      </c>
      <c r="BC35" s="1">
        <v>187</v>
      </c>
      <c r="BD35" s="1">
        <v>490</v>
      </c>
      <c r="BE35" s="1">
        <v>1019</v>
      </c>
      <c r="BF35" s="1">
        <v>2258</v>
      </c>
    </row>
    <row r="36" spans="1:58" x14ac:dyDescent="0.3">
      <c r="A36" s="3">
        <v>4.2</v>
      </c>
      <c r="B36" s="3">
        <v>90</v>
      </c>
      <c r="C36" s="4">
        <v>290</v>
      </c>
      <c r="D36" s="4">
        <v>310</v>
      </c>
      <c r="E36" s="5">
        <v>4.1669974213015902E-2</v>
      </c>
      <c r="F36" s="5">
        <v>9.9725509064199202E-3</v>
      </c>
      <c r="G36" s="5">
        <v>6.2822795747625101E-3</v>
      </c>
      <c r="H36" s="16">
        <f t="shared" si="1"/>
        <v>0</v>
      </c>
      <c r="I36" s="16">
        <f t="shared" si="2"/>
        <v>0.75</v>
      </c>
      <c r="J36" s="16">
        <f t="shared" si="3"/>
        <v>4.0999999999999996</v>
      </c>
      <c r="K36" s="16">
        <f t="shared" si="4"/>
        <v>17.649999999999999</v>
      </c>
      <c r="L36" s="16">
        <f t="shared" si="5"/>
        <v>69.7</v>
      </c>
      <c r="M36" s="16">
        <f t="shared" si="6"/>
        <v>167.75</v>
      </c>
      <c r="N36" s="34"/>
      <c r="P36">
        <v>7.9120500982877304E-2</v>
      </c>
      <c r="Q36">
        <v>0.25286216921415</v>
      </c>
      <c r="R36">
        <v>0.66084681493743003</v>
      </c>
      <c r="S36">
        <v>2.5529730320435</v>
      </c>
      <c r="T36">
        <v>10.211892128174</v>
      </c>
      <c r="W36">
        <v>0.166679896852063</v>
      </c>
      <c r="X36">
        <v>0.66671958740825399</v>
      </c>
      <c r="Y36">
        <v>2.6668783496330102</v>
      </c>
      <c r="Z36">
        <v>10.667513398532</v>
      </c>
      <c r="AA36">
        <v>42.670053594128298</v>
      </c>
      <c r="BA36" s="1">
        <v>0</v>
      </c>
      <c r="BB36" s="1">
        <v>15</v>
      </c>
      <c r="BC36" s="1">
        <v>82</v>
      </c>
      <c r="BD36" s="1">
        <v>353</v>
      </c>
      <c r="BE36" s="1">
        <v>1394</v>
      </c>
      <c r="BF36" s="1">
        <v>3355</v>
      </c>
    </row>
    <row r="37" spans="1:58" x14ac:dyDescent="0.3">
      <c r="A37" s="3">
        <v>4.3</v>
      </c>
      <c r="B37" s="3">
        <v>90</v>
      </c>
      <c r="C37" s="4">
        <v>310</v>
      </c>
      <c r="D37" s="4">
        <v>330</v>
      </c>
      <c r="E37" s="5">
        <v>6.5041528765672305E-2</v>
      </c>
      <c r="F37" s="5">
        <v>1.5521667521925899E-2</v>
      </c>
      <c r="G37" s="5">
        <v>9.3037999635866304E-3</v>
      </c>
      <c r="H37" s="16">
        <f t="shared" si="1"/>
        <v>0.3</v>
      </c>
      <c r="I37" s="16">
        <f t="shared" si="2"/>
        <v>1.6</v>
      </c>
      <c r="J37" s="16">
        <f t="shared" si="3"/>
        <v>7.1</v>
      </c>
      <c r="K37" s="16">
        <f t="shared" si="4"/>
        <v>20.95</v>
      </c>
      <c r="L37" s="16">
        <f t="shared" si="5"/>
        <v>76.55</v>
      </c>
      <c r="M37" s="16">
        <f t="shared" si="6"/>
        <v>164.3</v>
      </c>
      <c r="N37" s="34"/>
      <c r="O37">
        <v>6.2038722824561902E-2</v>
      </c>
      <c r="P37">
        <v>0.13350547172294899</v>
      </c>
      <c r="Q37">
        <v>0.41039439745539202</v>
      </c>
      <c r="R37">
        <v>1.17781242915115</v>
      </c>
      <c r="S37">
        <v>3.97354688561304</v>
      </c>
      <c r="T37">
        <v>15.8941875424521</v>
      </c>
      <c r="V37">
        <v>6.5041528765672305E-2</v>
      </c>
      <c r="W37">
        <v>0.260166115062689</v>
      </c>
      <c r="X37">
        <v>1.04066446025075</v>
      </c>
      <c r="Y37">
        <v>4.1626578410030204</v>
      </c>
      <c r="Z37">
        <v>16.650631364012099</v>
      </c>
      <c r="AA37">
        <v>66.602525456048397</v>
      </c>
      <c r="BA37" s="1">
        <v>6</v>
      </c>
      <c r="BB37" s="1">
        <v>32</v>
      </c>
      <c r="BC37" s="1">
        <v>142</v>
      </c>
      <c r="BD37" s="1">
        <v>419</v>
      </c>
      <c r="BE37" s="1">
        <v>1531</v>
      </c>
      <c r="BF37" s="1">
        <v>3286</v>
      </c>
    </row>
    <row r="38" spans="1:58" x14ac:dyDescent="0.3">
      <c r="F38" s="1"/>
      <c r="H38" s="1"/>
      <c r="I38" s="1"/>
      <c r="J38" s="1"/>
      <c r="K38" s="1"/>
      <c r="L38" s="1"/>
      <c r="M38" s="1"/>
    </row>
    <row r="39" spans="1:58" x14ac:dyDescent="0.3">
      <c r="F39" s="1"/>
    </row>
    <row r="40" spans="1:58" x14ac:dyDescent="0.3">
      <c r="F40" s="1"/>
    </row>
    <row r="41" spans="1:58" x14ac:dyDescent="0.3">
      <c r="F41" s="1"/>
    </row>
    <row r="42" spans="1:58" x14ac:dyDescent="0.3">
      <c r="F42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7A51C-0832-4187-ACFD-287EA715E1F0}">
  <dimension ref="A1:CE111"/>
  <sheetViews>
    <sheetView tabSelected="1" zoomScale="85" zoomScaleNormal="85" workbookViewId="0">
      <selection activeCell="L8" sqref="L8"/>
    </sheetView>
  </sheetViews>
  <sheetFormatPr defaultRowHeight="14.4" x14ac:dyDescent="0.3"/>
  <cols>
    <col min="1" max="1" width="12.5546875" customWidth="1"/>
    <col min="2" max="2" width="12.6640625" customWidth="1"/>
    <col min="3" max="3" width="13.33203125" customWidth="1"/>
    <col min="4" max="4" width="14.44140625" customWidth="1"/>
    <col min="5" max="5" width="12.6640625" customWidth="1"/>
    <col min="6" max="6" width="13" customWidth="1"/>
    <col min="7" max="7" width="10.5546875" customWidth="1"/>
    <col min="8" max="8" width="10.5546875" bestFit="1" customWidth="1"/>
    <col min="9" max="9" width="13.44140625" customWidth="1"/>
    <col min="10" max="10" width="13.6640625" customWidth="1"/>
    <col min="11" max="11" width="13.44140625" customWidth="1"/>
    <col min="12" max="12" width="12.6640625" customWidth="1"/>
    <col min="13" max="13" width="12.33203125" customWidth="1"/>
    <col min="14" max="14" width="12.109375" customWidth="1"/>
    <col min="15" max="15" width="11.33203125" customWidth="1"/>
    <col min="16" max="16" width="11.6640625" customWidth="1"/>
    <col min="17" max="17" width="11.109375" customWidth="1"/>
    <col min="18" max="18" width="10.44140625" customWidth="1"/>
    <col min="20" max="20" width="12" customWidth="1"/>
    <col min="21" max="21" width="11.6640625" customWidth="1"/>
    <col min="22" max="22" width="12.44140625" customWidth="1"/>
    <col min="23" max="23" width="11.5546875" customWidth="1"/>
    <col min="24" max="24" width="11.88671875" customWidth="1"/>
    <col min="25" max="25" width="12.33203125" customWidth="1"/>
    <col min="27" max="27" width="15.6640625" customWidth="1"/>
    <col min="28" max="28" width="14.109375" customWidth="1"/>
    <col min="29" max="29" width="14.5546875" customWidth="1"/>
    <col min="30" max="30" width="13.6640625" customWidth="1"/>
    <col min="31" max="31" width="12.33203125" customWidth="1"/>
    <col min="32" max="32" width="14.88671875" customWidth="1"/>
    <col min="36" max="36" width="11.5546875" bestFit="1" customWidth="1"/>
    <col min="38" max="38" width="10.109375" customWidth="1"/>
  </cols>
  <sheetData>
    <row r="1" spans="1:51" x14ac:dyDescent="0.3">
      <c r="A1" t="s">
        <v>61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97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/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/>
      <c r="T1" t="s">
        <v>88</v>
      </c>
      <c r="U1" t="s">
        <v>89</v>
      </c>
      <c r="V1" t="s">
        <v>90</v>
      </c>
      <c r="W1" t="s">
        <v>91</v>
      </c>
      <c r="X1" t="s">
        <v>92</v>
      </c>
      <c r="Y1" t="s">
        <v>93</v>
      </c>
      <c r="AA1" s="1" t="s">
        <v>62</v>
      </c>
      <c r="AB1" s="1" t="s">
        <v>63</v>
      </c>
      <c r="AC1" s="1" t="s">
        <v>64</v>
      </c>
      <c r="AD1" s="1" t="s">
        <v>65</v>
      </c>
      <c r="AE1" s="1" t="s">
        <v>66</v>
      </c>
      <c r="AF1" s="1" t="s">
        <v>67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P1" s="1" t="s">
        <v>126</v>
      </c>
      <c r="AQ1" s="56" t="s">
        <v>127</v>
      </c>
      <c r="AR1" s="56"/>
      <c r="AS1" s="56" t="s">
        <v>47</v>
      </c>
      <c r="AT1" s="56"/>
      <c r="AU1" s="56"/>
      <c r="AV1" s="56"/>
      <c r="AW1" s="56"/>
      <c r="AX1" s="56"/>
    </row>
    <row r="2" spans="1:51" x14ac:dyDescent="0.3">
      <c r="A2" s="50" t="s">
        <v>68</v>
      </c>
      <c r="B2" s="53">
        <v>479.999977324263</v>
      </c>
      <c r="C2" s="48">
        <v>0.21698840087687299</v>
      </c>
      <c r="D2" s="48">
        <v>6.9417065E-2</v>
      </c>
      <c r="E2" s="48">
        <v>5.3667272000000002E-2</v>
      </c>
      <c r="F2" s="48">
        <f>AH2/$B2</f>
        <v>0.22083334376574756</v>
      </c>
      <c r="G2" s="48">
        <f t="shared" ref="F2:K17" si="0">AI2/$B2</f>
        <v>8.7479170799280563</v>
      </c>
      <c r="H2" s="48">
        <f t="shared" si="0"/>
        <v>80.606253807929605</v>
      </c>
      <c r="I2" s="48">
        <f t="shared" si="0"/>
        <v>167.91875793266999</v>
      </c>
      <c r="J2" s="48">
        <f t="shared" si="0"/>
        <v>148.08334032895601</v>
      </c>
      <c r="K2" s="48">
        <f t="shared" si="0"/>
        <v>47.883335595395678</v>
      </c>
      <c r="L2" s="1"/>
      <c r="M2" s="48">
        <v>0.120912157052691</v>
      </c>
      <c r="N2" s="48">
        <v>0.33180424301834099</v>
      </c>
      <c r="O2" s="48">
        <v>1.1106730436618699</v>
      </c>
      <c r="P2" s="48">
        <v>4.4426921746474797</v>
      </c>
      <c r="Q2" s="48">
        <v>17.770768698589901</v>
      </c>
      <c r="R2" s="48">
        <v>71.083074794359803</v>
      </c>
      <c r="S2" s="48"/>
      <c r="T2" s="48">
        <v>0.21698840087687299</v>
      </c>
      <c r="U2" s="48">
        <v>0.86795360350749196</v>
      </c>
      <c r="V2" s="48">
        <v>3.47181441402997</v>
      </c>
      <c r="W2" s="48">
        <v>13.8872576561198</v>
      </c>
      <c r="X2" s="48">
        <v>55.549030624479499</v>
      </c>
      <c r="Y2" s="48">
        <v>222.196122497918</v>
      </c>
      <c r="AA2" s="13">
        <v>0.118359313673794</v>
      </c>
      <c r="AB2" s="13">
        <v>0.30693782510638401</v>
      </c>
      <c r="AC2" s="13">
        <v>0.85867635779576901</v>
      </c>
      <c r="AD2" s="13">
        <v>3.4347054311830698</v>
      </c>
      <c r="AE2" s="13">
        <v>13.738821724732301</v>
      </c>
      <c r="AF2" s="13">
        <v>54.955286898929202</v>
      </c>
      <c r="AH2" s="1">
        <v>106</v>
      </c>
      <c r="AI2" s="1">
        <v>4199</v>
      </c>
      <c r="AJ2" s="1">
        <v>38691</v>
      </c>
      <c r="AK2" s="1">
        <v>80601</v>
      </c>
      <c r="AL2" s="1">
        <v>71080</v>
      </c>
      <c r="AM2" s="1">
        <v>22984</v>
      </c>
      <c r="AP2" s="60"/>
      <c r="AQ2" s="61" t="s">
        <v>128</v>
      </c>
      <c r="AR2" s="60" t="s">
        <v>129</v>
      </c>
      <c r="AS2" s="60" t="s">
        <v>120</v>
      </c>
      <c r="AT2" s="60" t="s">
        <v>121</v>
      </c>
      <c r="AU2" s="60" t="s">
        <v>122</v>
      </c>
      <c r="AV2" s="60" t="s">
        <v>123</v>
      </c>
      <c r="AW2" s="60" t="s">
        <v>124</v>
      </c>
      <c r="AX2" s="60" t="s">
        <v>125</v>
      </c>
      <c r="AY2" s="62"/>
    </row>
    <row r="3" spans="1:51" x14ac:dyDescent="0.3">
      <c r="A3" s="1" t="s">
        <v>69</v>
      </c>
      <c r="B3" s="12">
        <v>49.999977324263</v>
      </c>
      <c r="C3" s="13">
        <v>0.103785400341108</v>
      </c>
      <c r="D3" s="13">
        <v>9.3097685505032102E-3</v>
      </c>
      <c r="E3" s="13">
        <v>2.6623638531804101E-3</v>
      </c>
      <c r="F3" s="13">
        <f t="shared" si="0"/>
        <v>0.1400000634920924</v>
      </c>
      <c r="G3" s="13">
        <f t="shared" si="0"/>
        <v>0.64000029024956528</v>
      </c>
      <c r="H3" s="13">
        <f t="shared" si="0"/>
        <v>2.9600013424042393</v>
      </c>
      <c r="I3" s="13">
        <f t="shared" si="0"/>
        <v>9.5000043083919845</v>
      </c>
      <c r="J3" s="13">
        <f t="shared" si="0"/>
        <v>37.660017079372857</v>
      </c>
      <c r="K3" s="13">
        <f t="shared" si="0"/>
        <v>117.32005320637343</v>
      </c>
      <c r="L3" s="1"/>
      <c r="M3" s="13">
        <v>8.7491372398812203E-2</v>
      </c>
      <c r="N3" s="13">
        <v>0.209281252002183</v>
      </c>
      <c r="O3" s="13">
        <v>0.53107420883976697</v>
      </c>
      <c r="P3" s="13">
        <v>1.1427850401592301</v>
      </c>
      <c r="Q3" s="13">
        <v>2.42627671242104</v>
      </c>
      <c r="R3" s="13">
        <v>9.5332029957152908</v>
      </c>
      <c r="S3" s="13"/>
      <c r="T3" s="13">
        <v>0.103785400341108</v>
      </c>
      <c r="U3" s="13">
        <v>0.41514160136443401</v>
      </c>
      <c r="V3" s="13">
        <v>1.66056640545773</v>
      </c>
      <c r="W3" s="13">
        <v>6.6422656218309504</v>
      </c>
      <c r="X3" s="13">
        <v>26.569062487323801</v>
      </c>
      <c r="Y3" s="13">
        <v>106.27624994929501</v>
      </c>
      <c r="AA3" s="13">
        <v>0.103757048244818</v>
      </c>
      <c r="AB3" s="13">
        <v>0.14698858143442201</v>
      </c>
      <c r="AC3" s="13">
        <v>0.24910673933583599</v>
      </c>
      <c r="AD3" s="13">
        <v>0.37211833067852301</v>
      </c>
      <c r="AE3" s="13">
        <v>0.69718753395348498</v>
      </c>
      <c r="AF3" s="13">
        <v>2.7262605856567399</v>
      </c>
      <c r="AH3" s="1">
        <v>7</v>
      </c>
      <c r="AI3" s="1">
        <v>32</v>
      </c>
      <c r="AJ3" s="1">
        <v>148</v>
      </c>
      <c r="AK3" s="1">
        <v>475</v>
      </c>
      <c r="AL3" s="1">
        <v>1883</v>
      </c>
      <c r="AM3" s="1">
        <v>5866</v>
      </c>
      <c r="AP3" s="60" t="s">
        <v>130</v>
      </c>
      <c r="AQ3" s="63">
        <f>C51</f>
        <v>178.6287651406513</v>
      </c>
      <c r="AR3" s="64">
        <f>I51</f>
        <v>561.28577546184704</v>
      </c>
      <c r="AS3" s="64">
        <f>N51</f>
        <v>169.929174464428</v>
      </c>
      <c r="AT3" s="64">
        <f>R51</f>
        <v>55260.966447896782</v>
      </c>
      <c r="AU3" s="64">
        <f>X51</f>
        <v>21251.547951040291</v>
      </c>
      <c r="AV3" s="64">
        <f>AC51</f>
        <v>25879.520806891465</v>
      </c>
      <c r="AW3" s="64">
        <f>AJ51</f>
        <v>7959.9818326404156</v>
      </c>
      <c r="AX3" s="39">
        <f>AP51</f>
        <v>44.368440193823908</v>
      </c>
      <c r="AY3" s="62"/>
    </row>
    <row r="4" spans="1:51" x14ac:dyDescent="0.3">
      <c r="A4" s="1" t="s">
        <v>70</v>
      </c>
      <c r="B4" s="12">
        <v>99.999977324263</v>
      </c>
      <c r="C4" s="13">
        <v>1.7343593585544201E-2</v>
      </c>
      <c r="D4" s="13">
        <v>3.7541223526986601E-3</v>
      </c>
      <c r="E4" s="13">
        <v>3.5652204100954199E-3</v>
      </c>
      <c r="F4" s="13">
        <f t="shared" si="0"/>
        <v>0</v>
      </c>
      <c r="G4" s="13">
        <f t="shared" si="0"/>
        <v>3.0000006802722641E-2</v>
      </c>
      <c r="H4" s="13">
        <f t="shared" si="0"/>
        <v>0.17000003854876164</v>
      </c>
      <c r="I4" s="13">
        <f t="shared" si="0"/>
        <v>2.2100005011339015</v>
      </c>
      <c r="J4" s="13">
        <f t="shared" si="0"/>
        <v>29.650006723357546</v>
      </c>
      <c r="K4" s="13">
        <f t="shared" si="0"/>
        <v>148.97003378005306</v>
      </c>
      <c r="L4" s="1"/>
      <c r="M4" s="1">
        <v>0</v>
      </c>
      <c r="N4" s="13">
        <v>4.8899641067386798E-2</v>
      </c>
      <c r="O4" s="13">
        <v>0.137793372793407</v>
      </c>
      <c r="P4" s="13">
        <v>0.30126664954396598</v>
      </c>
      <c r="Q4" s="13">
        <v>0.96105532229085699</v>
      </c>
      <c r="R4" s="13">
        <v>3.84422128916342</v>
      </c>
      <c r="S4" s="13"/>
      <c r="T4" s="13"/>
      <c r="U4" s="13">
        <v>6.9374374342176998E-2</v>
      </c>
      <c r="V4" s="13">
        <v>0.27749749736870799</v>
      </c>
      <c r="W4" s="13">
        <v>1.10998998947483</v>
      </c>
      <c r="X4" s="13">
        <v>4.4399599578993296</v>
      </c>
      <c r="Y4" s="13">
        <v>17.759839831597301</v>
      </c>
      <c r="AA4" s="13"/>
      <c r="AB4" s="13">
        <v>4.8899641067386798E-2</v>
      </c>
      <c r="AC4" s="13">
        <v>0.11369963117038601</v>
      </c>
      <c r="AD4" s="13">
        <v>0.28479190741614602</v>
      </c>
      <c r="AE4" s="13">
        <v>0.91269642498442904</v>
      </c>
      <c r="AF4" s="13">
        <v>3.65078569993771</v>
      </c>
      <c r="AH4" s="1">
        <v>0</v>
      </c>
      <c r="AI4" s="1">
        <v>3</v>
      </c>
      <c r="AJ4" s="1">
        <v>17</v>
      </c>
      <c r="AK4" s="1">
        <v>221</v>
      </c>
      <c r="AL4" s="1">
        <v>2965</v>
      </c>
      <c r="AM4" s="1">
        <v>14897</v>
      </c>
      <c r="AP4" s="60" t="s">
        <v>44</v>
      </c>
      <c r="AQ4" s="63">
        <f>C52</f>
        <v>95.643148000160551</v>
      </c>
      <c r="AR4" s="64">
        <f>I52</f>
        <v>367.36068661320621</v>
      </c>
      <c r="AS4" s="64">
        <f>N52</f>
        <v>5607.5682238939071</v>
      </c>
      <c r="AT4" s="64">
        <f>R52</f>
        <v>2381.8835308862685</v>
      </c>
      <c r="AU4" s="64">
        <f>X52</f>
        <v>12489.113070720859</v>
      </c>
      <c r="AV4" s="64">
        <f>AC52</f>
        <v>15043.779492612006</v>
      </c>
      <c r="AW4" s="64">
        <f>AJ52</f>
        <v>2927.9011064770648</v>
      </c>
      <c r="AX4" s="39">
        <f>AP52</f>
        <v>30.874720248046778</v>
      </c>
      <c r="AY4" s="62"/>
    </row>
    <row r="5" spans="1:51" x14ac:dyDescent="0.3">
      <c r="A5" s="1" t="s">
        <v>71</v>
      </c>
      <c r="B5" s="12">
        <v>199.999977324263</v>
      </c>
      <c r="C5" s="13">
        <v>7.6130482621443903E-3</v>
      </c>
      <c r="D5" s="13">
        <v>4.6194348205836396E-3</v>
      </c>
      <c r="E5" s="13">
        <v>4.7748825034219702E-3</v>
      </c>
      <c r="F5" s="13">
        <f t="shared" si="0"/>
        <v>0</v>
      </c>
      <c r="G5" s="13">
        <f t="shared" si="0"/>
        <v>0</v>
      </c>
      <c r="H5" s="13">
        <f t="shared" si="0"/>
        <v>4.0000004535147911E-2</v>
      </c>
      <c r="I5" s="13">
        <f t="shared" si="0"/>
        <v>3.0800003492063892</v>
      </c>
      <c r="J5" s="13">
        <f t="shared" si="0"/>
        <v>51.075005790816995</v>
      </c>
      <c r="K5" s="13">
        <f t="shared" si="0"/>
        <v>148.6900168582786</v>
      </c>
      <c r="L5" s="1"/>
      <c r="M5" s="1">
        <v>0</v>
      </c>
      <c r="N5" s="1">
        <v>0</v>
      </c>
      <c r="O5" s="13">
        <v>8.7334190395029695E-2</v>
      </c>
      <c r="P5" s="13">
        <v>0.33191630848951997</v>
      </c>
      <c r="Q5" s="13">
        <v>1.1911345040895001</v>
      </c>
      <c r="R5" s="13">
        <v>4.7303012562776399</v>
      </c>
      <c r="S5" s="13"/>
      <c r="T5" s="13"/>
      <c r="U5" s="13"/>
      <c r="V5" s="13">
        <v>0.107860658537048</v>
      </c>
      <c r="W5" s="13">
        <v>0.48723508877724098</v>
      </c>
      <c r="X5" s="13">
        <v>1.9489403551089599</v>
      </c>
      <c r="Y5" s="13">
        <v>7.7957614204358503</v>
      </c>
      <c r="AA5" s="13"/>
      <c r="AB5" s="13"/>
      <c r="AC5" s="13">
        <v>8.4555204603017103E-2</v>
      </c>
      <c r="AD5" s="13">
        <v>0.332343247681325</v>
      </c>
      <c r="AE5" s="13">
        <v>1.22806705924614</v>
      </c>
      <c r="AF5" s="13">
        <v>4.8894796835041001</v>
      </c>
      <c r="AH5" s="1">
        <v>0</v>
      </c>
      <c r="AI5" s="1">
        <v>0</v>
      </c>
      <c r="AJ5" s="1">
        <v>8</v>
      </c>
      <c r="AK5" s="1">
        <v>616</v>
      </c>
      <c r="AL5" s="1">
        <v>10215</v>
      </c>
      <c r="AM5" s="1">
        <v>29738</v>
      </c>
      <c r="AP5" s="60" t="s">
        <v>45</v>
      </c>
      <c r="AQ5" s="40">
        <f>C53</f>
        <v>58.897437195185383</v>
      </c>
      <c r="AR5" s="64">
        <f>I53</f>
        <v>272.21823242843766</v>
      </c>
      <c r="AS5" s="65">
        <f>N53</f>
        <v>3550363227793548.5</v>
      </c>
      <c r="AT5" s="64">
        <f>R53</f>
        <v>2433.4032564683534</v>
      </c>
      <c r="AU5" s="64">
        <f>X53</f>
        <v>1760.5395406588045</v>
      </c>
      <c r="AV5" s="64">
        <f>AC53</f>
        <v>301.51799021431998</v>
      </c>
      <c r="AW5" s="64" t="s">
        <v>117</v>
      </c>
      <c r="AX5" s="39" t="s">
        <v>117</v>
      </c>
      <c r="AY5" s="62"/>
    </row>
    <row r="6" spans="1:51" x14ac:dyDescent="0.3">
      <c r="A6" s="1" t="s">
        <v>72</v>
      </c>
      <c r="B6" s="12">
        <v>149.999977324263</v>
      </c>
      <c r="C6" s="13">
        <v>9.5590751489404505E-2</v>
      </c>
      <c r="D6" s="13">
        <v>4.1750172724988703E-3</v>
      </c>
      <c r="E6" s="13">
        <v>3.0008966016067001E-3</v>
      </c>
      <c r="F6" s="13">
        <f t="shared" si="0"/>
        <v>2.6666670697909411E-2</v>
      </c>
      <c r="G6" s="13">
        <f t="shared" si="0"/>
        <v>4.6666673721341465E-2</v>
      </c>
      <c r="H6" s="13">
        <f t="shared" si="0"/>
        <v>0.28666671000252614</v>
      </c>
      <c r="I6" s="13">
        <f t="shared" si="0"/>
        <v>2.1666669942051393</v>
      </c>
      <c r="J6" s="13">
        <f t="shared" si="0"/>
        <v>31.580004773999217</v>
      </c>
      <c r="K6" s="13">
        <f t="shared" si="0"/>
        <v>140.93335463845122</v>
      </c>
      <c r="L6" s="1"/>
      <c r="M6" s="13">
        <v>9.5590751489404505E-2</v>
      </c>
      <c r="N6" s="13">
        <v>0.38236300595761802</v>
      </c>
      <c r="O6" s="13">
        <v>0.30150636762101002</v>
      </c>
      <c r="P6" s="13">
        <v>0.40942486346857698</v>
      </c>
      <c r="Q6" s="13">
        <v>1.08441649984316</v>
      </c>
      <c r="R6" s="13">
        <v>4.2752176870388396</v>
      </c>
      <c r="S6" s="13"/>
      <c r="T6" s="13">
        <v>9.5590751489404505E-2</v>
      </c>
      <c r="U6" s="13">
        <v>0.38236300595761802</v>
      </c>
      <c r="V6" s="13">
        <v>1.5294520238304701</v>
      </c>
      <c r="W6" s="13">
        <v>6.1178080953218803</v>
      </c>
      <c r="X6" s="13">
        <v>24.4712323812875</v>
      </c>
      <c r="Y6" s="13">
        <v>97.884929525150199</v>
      </c>
      <c r="AA6" s="13">
        <v>9.5590751489404505E-2</v>
      </c>
      <c r="AB6" s="13">
        <v>0.38236300595761802</v>
      </c>
      <c r="AC6" s="13">
        <v>0.161126362185676</v>
      </c>
      <c r="AD6" s="13">
        <v>0.28514455549158801</v>
      </c>
      <c r="AE6" s="13">
        <v>0.77490970037964602</v>
      </c>
      <c r="AF6" s="13">
        <v>3.07291812004526</v>
      </c>
      <c r="AH6" s="1">
        <v>4</v>
      </c>
      <c r="AI6" s="1">
        <v>7</v>
      </c>
      <c r="AJ6" s="1">
        <v>43</v>
      </c>
      <c r="AK6" s="1">
        <v>325</v>
      </c>
      <c r="AL6" s="1">
        <v>4737</v>
      </c>
      <c r="AM6" s="1">
        <v>21140</v>
      </c>
      <c r="AP6" s="60"/>
      <c r="AQ6" s="63"/>
      <c r="AR6" s="64"/>
      <c r="AS6" s="64"/>
      <c r="AT6" s="64"/>
      <c r="AU6" s="64"/>
      <c r="AV6" s="64"/>
      <c r="AW6" s="64"/>
      <c r="AX6" s="64"/>
      <c r="AY6" s="62"/>
    </row>
    <row r="7" spans="1:51" x14ac:dyDescent="0.3">
      <c r="B7" s="12"/>
      <c r="F7" s="13"/>
      <c r="G7" s="13"/>
      <c r="H7" s="13"/>
      <c r="I7" s="13"/>
      <c r="J7" s="13"/>
      <c r="K7" s="13"/>
      <c r="M7" s="13"/>
      <c r="N7" s="13"/>
      <c r="O7" s="13"/>
      <c r="P7" s="13"/>
      <c r="Q7" s="13"/>
      <c r="R7" s="13"/>
      <c r="S7" s="13"/>
      <c r="AA7" s="13"/>
      <c r="AB7" s="13"/>
      <c r="AC7" s="13"/>
      <c r="AD7" s="13"/>
      <c r="AE7" s="13"/>
      <c r="AF7" s="13"/>
      <c r="AP7" s="60"/>
      <c r="AQ7" s="60"/>
      <c r="AR7" s="60"/>
      <c r="AS7" s="60"/>
      <c r="AT7" s="60"/>
      <c r="AU7" s="60"/>
      <c r="AV7" s="60"/>
      <c r="AW7" s="60"/>
      <c r="AX7" s="60"/>
      <c r="AY7" s="62"/>
    </row>
    <row r="8" spans="1:51" x14ac:dyDescent="0.3">
      <c r="A8" s="1" t="s">
        <v>132</v>
      </c>
      <c r="B8" s="1" t="s">
        <v>73</v>
      </c>
      <c r="C8" s="1" t="s">
        <v>74</v>
      </c>
      <c r="D8" s="1" t="s">
        <v>75</v>
      </c>
      <c r="E8" s="1" t="s">
        <v>76</v>
      </c>
      <c r="F8" s="1" t="s">
        <v>97</v>
      </c>
      <c r="G8" s="1" t="s">
        <v>104</v>
      </c>
      <c r="H8" s="1" t="s">
        <v>105</v>
      </c>
      <c r="I8" s="1" t="s">
        <v>106</v>
      </c>
      <c r="J8" s="1" t="s">
        <v>107</v>
      </c>
      <c r="K8" s="1" t="s">
        <v>108</v>
      </c>
      <c r="M8" s="1" t="s">
        <v>31</v>
      </c>
      <c r="N8" s="1" t="s">
        <v>32</v>
      </c>
      <c r="O8" s="1" t="s">
        <v>33</v>
      </c>
      <c r="P8" s="1" t="s">
        <v>34</v>
      </c>
      <c r="Q8" s="1" t="s">
        <v>35</v>
      </c>
      <c r="R8" s="1" t="s">
        <v>36</v>
      </c>
      <c r="T8" t="s">
        <v>88</v>
      </c>
      <c r="U8" t="s">
        <v>89</v>
      </c>
      <c r="V8" t="s">
        <v>90</v>
      </c>
      <c r="W8" t="s">
        <v>91</v>
      </c>
      <c r="X8" t="s">
        <v>92</v>
      </c>
      <c r="Y8" t="s">
        <v>93</v>
      </c>
      <c r="AA8" s="1" t="s">
        <v>62</v>
      </c>
      <c r="AB8" s="1" t="s">
        <v>63</v>
      </c>
      <c r="AC8" s="1" t="s">
        <v>64</v>
      </c>
      <c r="AD8" s="1" t="s">
        <v>65</v>
      </c>
      <c r="AE8" s="1" t="s">
        <v>66</v>
      </c>
      <c r="AF8" s="1" t="s">
        <v>67</v>
      </c>
      <c r="AH8" s="1" t="s">
        <v>25</v>
      </c>
      <c r="AI8" s="1" t="s">
        <v>26</v>
      </c>
      <c r="AJ8" s="1" t="s">
        <v>27</v>
      </c>
      <c r="AK8" s="1" t="s">
        <v>28</v>
      </c>
      <c r="AL8" s="1" t="s">
        <v>29</v>
      </c>
      <c r="AM8" s="1" t="s">
        <v>30</v>
      </c>
      <c r="AP8" s="62"/>
      <c r="AQ8" s="62"/>
      <c r="AR8" s="66"/>
      <c r="AS8" s="62"/>
      <c r="AT8" s="62"/>
      <c r="AU8" s="62"/>
      <c r="AV8" s="62"/>
      <c r="AW8" s="62"/>
      <c r="AX8" s="62"/>
      <c r="AY8" s="62"/>
    </row>
    <row r="9" spans="1:51" x14ac:dyDescent="0.3">
      <c r="A9" s="50" t="s">
        <v>133</v>
      </c>
      <c r="B9" s="51">
        <v>60</v>
      </c>
      <c r="C9" s="52">
        <v>1.0016323215471E-4</v>
      </c>
      <c r="D9" s="52">
        <v>9.6719568367751498E-5</v>
      </c>
      <c r="E9" s="52">
        <v>9.6709486732715302E-5</v>
      </c>
      <c r="F9" s="48">
        <f>AH9/$B9</f>
        <v>0</v>
      </c>
      <c r="G9" s="48">
        <f t="shared" si="0"/>
        <v>0</v>
      </c>
      <c r="H9" s="48">
        <f t="shared" si="0"/>
        <v>0</v>
      </c>
      <c r="I9" s="48">
        <f t="shared" si="0"/>
        <v>0</v>
      </c>
      <c r="J9" s="48">
        <f t="shared" si="0"/>
        <v>0</v>
      </c>
      <c r="K9" s="48">
        <f t="shared" si="0"/>
        <v>0</v>
      </c>
      <c r="L9" s="1"/>
      <c r="M9" s="50">
        <v>0</v>
      </c>
      <c r="N9" s="50">
        <v>0</v>
      </c>
      <c r="O9" s="50">
        <v>0</v>
      </c>
      <c r="P9" s="50">
        <v>0</v>
      </c>
      <c r="Q9" s="50">
        <v>0</v>
      </c>
      <c r="R9" s="50">
        <v>0</v>
      </c>
      <c r="S9" s="50"/>
      <c r="T9" s="50">
        <v>0</v>
      </c>
      <c r="U9" s="50">
        <v>0</v>
      </c>
      <c r="V9" s="50">
        <v>0</v>
      </c>
      <c r="W9" s="50">
        <v>0</v>
      </c>
      <c r="X9" s="50">
        <v>0</v>
      </c>
      <c r="Y9" s="50">
        <v>0</v>
      </c>
      <c r="AA9" s="50">
        <v>0</v>
      </c>
      <c r="AB9" s="50">
        <v>0</v>
      </c>
      <c r="AC9" s="50">
        <v>0</v>
      </c>
      <c r="AD9" s="50">
        <v>0</v>
      </c>
      <c r="AE9" s="50">
        <v>0</v>
      </c>
      <c r="AF9" s="50">
        <v>0</v>
      </c>
      <c r="AH9" s="50">
        <v>0</v>
      </c>
      <c r="AI9" s="50">
        <v>0</v>
      </c>
      <c r="AJ9" s="50">
        <v>0</v>
      </c>
      <c r="AK9" s="50">
        <v>0</v>
      </c>
      <c r="AL9" s="50">
        <v>0</v>
      </c>
      <c r="AM9" s="50">
        <v>0</v>
      </c>
    </row>
    <row r="10" spans="1:51" x14ac:dyDescent="0.3">
      <c r="A10" s="38" t="s">
        <v>134</v>
      </c>
      <c r="B10" s="54">
        <v>60</v>
      </c>
      <c r="C10" s="16">
        <v>0.18826590659251799</v>
      </c>
      <c r="D10" s="16">
        <v>0.120470289988165</v>
      </c>
      <c r="E10" s="16">
        <v>0.121803201638387</v>
      </c>
      <c r="F10" s="39">
        <f>AH10/$B10</f>
        <v>0.6333333333333333</v>
      </c>
      <c r="G10" s="39">
        <f t="shared" ref="G10" si="1">AI10/$B10</f>
        <v>10.050000000000001</v>
      </c>
      <c r="H10" s="39">
        <f>AJ10/$B10</f>
        <v>124.91666666666667</v>
      </c>
      <c r="I10" s="39">
        <f t="shared" ref="I10" si="2">AK10/$B10</f>
        <v>233.08333333333334</v>
      </c>
      <c r="J10" s="39">
        <f t="shared" ref="J10" si="3">AL10/$B10</f>
        <v>246.08333333333334</v>
      </c>
      <c r="K10" s="39">
        <f>AM10/$B10</f>
        <v>186.95</v>
      </c>
      <c r="M10">
        <v>0.13637732922436099</v>
      </c>
      <c r="N10">
        <v>0.48624786057325903</v>
      </c>
      <c r="O10">
        <v>1.92752463981065</v>
      </c>
      <c r="P10">
        <v>7.7100985592426001</v>
      </c>
      <c r="Q10">
        <v>30.8403942369704</v>
      </c>
      <c r="R10">
        <v>123.36157694788101</v>
      </c>
      <c r="T10" s="5">
        <v>0.18826590659251799</v>
      </c>
      <c r="U10" s="5">
        <v>0.75306362637007396</v>
      </c>
      <c r="V10" s="5">
        <v>3.0122545054802901</v>
      </c>
      <c r="W10" s="5">
        <v>12.0490180219211</v>
      </c>
      <c r="X10" s="5">
        <v>48.196072087684698</v>
      </c>
      <c r="Y10" s="5">
        <v>192.78428835073899</v>
      </c>
      <c r="Z10" s="1"/>
      <c r="AA10">
        <v>0.13501675982083899</v>
      </c>
      <c r="AB10">
        <v>0.48751215645364698</v>
      </c>
      <c r="AC10">
        <v>1.9488512262141999</v>
      </c>
      <c r="AD10">
        <v>7.7954049048567997</v>
      </c>
      <c r="AE10">
        <v>31.181619619427199</v>
      </c>
      <c r="AF10">
        <v>124.726478477708</v>
      </c>
      <c r="AG10" s="1"/>
      <c r="AH10" s="1">
        <v>38</v>
      </c>
      <c r="AI10" s="1">
        <v>603</v>
      </c>
      <c r="AJ10" s="1">
        <v>7495</v>
      </c>
      <c r="AK10" s="1">
        <v>13985</v>
      </c>
      <c r="AL10" s="1">
        <v>14765</v>
      </c>
      <c r="AM10" s="1">
        <v>11217</v>
      </c>
    </row>
    <row r="11" spans="1:51" x14ac:dyDescent="0.3">
      <c r="A11" s="38" t="s">
        <v>135</v>
      </c>
      <c r="B11" s="54">
        <v>60</v>
      </c>
      <c r="C11" s="16">
        <v>0.14898440806176</v>
      </c>
      <c r="D11" s="16">
        <v>0.112317926034409</v>
      </c>
      <c r="E11" s="16">
        <v>0.11117301127726099</v>
      </c>
      <c r="F11" s="39">
        <f>AH11/$B11</f>
        <v>1.6666666666666666E-2</v>
      </c>
      <c r="G11" s="39">
        <f t="shared" si="0"/>
        <v>4.1833333333333336</v>
      </c>
      <c r="H11" s="39">
        <f t="shared" si="0"/>
        <v>173.75</v>
      </c>
      <c r="I11" s="39">
        <f t="shared" si="0"/>
        <v>242.45</v>
      </c>
      <c r="J11" s="39">
        <f t="shared" si="0"/>
        <v>250</v>
      </c>
      <c r="K11" s="39">
        <f>AM11/$B11</f>
        <v>225.01666666666668</v>
      </c>
      <c r="M11" s="1">
        <v>0.125763766867726</v>
      </c>
      <c r="N11" s="1">
        <v>0.45707255569017602</v>
      </c>
      <c r="O11" s="1">
        <v>1.79708681655055</v>
      </c>
      <c r="P11" s="1">
        <v>7.1883472662022196</v>
      </c>
      <c r="Q11" s="1">
        <v>28.7533890648089</v>
      </c>
      <c r="R11" s="1">
        <v>115.013556259235</v>
      </c>
      <c r="T11" s="1">
        <v>0.125763766867726</v>
      </c>
      <c r="U11" s="1">
        <v>0.59593763224704199</v>
      </c>
      <c r="V11" s="1">
        <v>2.38375052898816</v>
      </c>
      <c r="W11" s="1">
        <v>9.5350021159526701</v>
      </c>
      <c r="X11" s="1">
        <v>38.140008463810602</v>
      </c>
      <c r="Y11" s="1">
        <v>152.56003385524201</v>
      </c>
      <c r="Z11" s="1"/>
      <c r="AA11" s="1">
        <v>0.125763766867726</v>
      </c>
      <c r="AB11" s="1">
        <v>0.45011245031699898</v>
      </c>
      <c r="AC11" s="1">
        <v>1.7787681804361799</v>
      </c>
      <c r="AD11" s="1">
        <v>7.11507272174474</v>
      </c>
      <c r="AE11" s="1">
        <v>28.4602908869789</v>
      </c>
      <c r="AF11" s="1">
        <v>113.841163547915</v>
      </c>
      <c r="AG11" s="1"/>
      <c r="AH11" s="1">
        <v>1</v>
      </c>
      <c r="AI11" s="1">
        <v>251</v>
      </c>
      <c r="AJ11" s="1">
        <v>10425</v>
      </c>
      <c r="AK11" s="1">
        <v>14547</v>
      </c>
      <c r="AL11" s="1">
        <v>15000</v>
      </c>
      <c r="AM11" s="1">
        <v>13501</v>
      </c>
    </row>
    <row r="12" spans="1:51" x14ac:dyDescent="0.3">
      <c r="A12" s="38" t="s">
        <v>136</v>
      </c>
      <c r="B12" s="54">
        <v>60</v>
      </c>
      <c r="C12" s="16">
        <v>0.32824998975131697</v>
      </c>
      <c r="D12" s="16">
        <v>0.23772511367624599</v>
      </c>
      <c r="E12" s="16">
        <v>0.23738679178787001</v>
      </c>
      <c r="F12" s="39">
        <f t="shared" ref="F11:F15" si="4">AH12/$B12</f>
        <v>0.26666666666666666</v>
      </c>
      <c r="G12" s="39">
        <f t="shared" si="0"/>
        <v>27.683333333333334</v>
      </c>
      <c r="H12" s="39">
        <f t="shared" si="0"/>
        <v>150.6</v>
      </c>
      <c r="I12" s="39">
        <f t="shared" si="0"/>
        <v>153.11666666666667</v>
      </c>
      <c r="J12" s="39">
        <f t="shared" si="0"/>
        <v>176.53333333333333</v>
      </c>
      <c r="K12" s="39">
        <f>AM12/$B12</f>
        <v>172.85</v>
      </c>
      <c r="M12">
        <v>0.26723445927481299</v>
      </c>
      <c r="N12">
        <v>0.95090045470498596</v>
      </c>
      <c r="O12">
        <v>3.8036018188199399</v>
      </c>
      <c r="P12">
        <v>15.214407275279701</v>
      </c>
      <c r="Q12">
        <v>60.857629101119102</v>
      </c>
      <c r="R12">
        <v>243.43051640447601</v>
      </c>
      <c r="T12">
        <v>0.32824998975131697</v>
      </c>
      <c r="U12">
        <v>1.3129999590052699</v>
      </c>
      <c r="V12">
        <v>5.2519998360210796</v>
      </c>
      <c r="W12">
        <v>21.0079993440843</v>
      </c>
      <c r="X12">
        <v>84.031997376337301</v>
      </c>
      <c r="Y12">
        <v>336.12798950534898</v>
      </c>
      <c r="Z12" s="1"/>
      <c r="AA12">
        <v>0.26003767371066799</v>
      </c>
      <c r="AB12">
        <v>0.94954716715148302</v>
      </c>
      <c r="AC12">
        <v>3.7981886686059299</v>
      </c>
      <c r="AD12">
        <v>15.1927546744237</v>
      </c>
      <c r="AE12">
        <v>60.771018697694899</v>
      </c>
      <c r="AF12">
        <v>243.084074790779</v>
      </c>
      <c r="AG12" s="1"/>
      <c r="AH12" s="1">
        <v>16</v>
      </c>
      <c r="AI12" s="1">
        <v>1661</v>
      </c>
      <c r="AJ12" s="1">
        <v>9036</v>
      </c>
      <c r="AK12" s="1">
        <v>9187</v>
      </c>
      <c r="AL12" s="1">
        <v>10592</v>
      </c>
      <c r="AM12" s="1">
        <v>10371</v>
      </c>
    </row>
    <row r="13" spans="1:51" x14ac:dyDescent="0.3">
      <c r="A13" s="38" t="s">
        <v>137</v>
      </c>
      <c r="B13" s="54">
        <v>60</v>
      </c>
      <c r="C13" s="16">
        <v>3.12640642782245E-2</v>
      </c>
      <c r="D13" s="16">
        <v>1.8292481186593001E-2</v>
      </c>
      <c r="E13" s="16">
        <v>1.8365835285745199E-2</v>
      </c>
      <c r="F13" s="39">
        <f t="shared" si="4"/>
        <v>0</v>
      </c>
      <c r="G13" s="39">
        <f t="shared" si="0"/>
        <v>3.3333333333333333E-2</v>
      </c>
      <c r="H13" s="39">
        <f t="shared" si="0"/>
        <v>1.5666666666666667</v>
      </c>
      <c r="I13" s="39">
        <f t="shared" si="0"/>
        <v>47.35</v>
      </c>
      <c r="J13" s="39">
        <f t="shared" si="0"/>
        <v>161.80000000000001</v>
      </c>
      <c r="K13" s="39">
        <f t="shared" ref="K11:K15" si="5">AM13/$B13</f>
        <v>166.15</v>
      </c>
      <c r="M13">
        <v>0</v>
      </c>
      <c r="N13">
        <v>0.101212824453817</v>
      </c>
      <c r="O13">
        <v>0.30295299263096198</v>
      </c>
      <c r="P13">
        <v>1.1707187959419501</v>
      </c>
      <c r="Q13">
        <v>4.6828751837678197</v>
      </c>
      <c r="R13">
        <v>18.731500735071201</v>
      </c>
      <c r="T13">
        <v>0</v>
      </c>
      <c r="U13">
        <v>0.125056257112898</v>
      </c>
      <c r="V13">
        <v>0.500225028451593</v>
      </c>
      <c r="W13">
        <v>2.0009001138063698</v>
      </c>
      <c r="X13">
        <v>8.0036004552254898</v>
      </c>
      <c r="Y13">
        <v>32.014401820901902</v>
      </c>
      <c r="Z13" s="1"/>
      <c r="AA13">
        <v>0</v>
      </c>
      <c r="AB13">
        <v>0.101212824453817</v>
      </c>
      <c r="AC13">
        <v>0.302305517041839</v>
      </c>
      <c r="AD13">
        <v>1.1754134582876901</v>
      </c>
      <c r="AE13">
        <v>4.7016538331507798</v>
      </c>
      <c r="AF13">
        <v>18.806615332603101</v>
      </c>
      <c r="AG13" s="1"/>
      <c r="AH13" s="1">
        <v>0</v>
      </c>
      <c r="AI13" s="1">
        <v>2</v>
      </c>
      <c r="AJ13" s="1">
        <v>94</v>
      </c>
      <c r="AK13" s="1">
        <v>2841</v>
      </c>
      <c r="AL13" s="1">
        <v>9708</v>
      </c>
      <c r="AM13" s="1">
        <v>9969</v>
      </c>
    </row>
    <row r="14" spans="1:51" x14ac:dyDescent="0.3">
      <c r="A14" s="38" t="s">
        <v>138</v>
      </c>
      <c r="B14" s="54">
        <v>60</v>
      </c>
      <c r="C14" s="16">
        <v>0.112910005968857</v>
      </c>
      <c r="D14" s="16">
        <v>7.0185633739627107E-2</v>
      </c>
      <c r="E14" s="16">
        <v>6.8532488348446205E-2</v>
      </c>
      <c r="F14" s="39">
        <f t="shared" si="4"/>
        <v>0.05</v>
      </c>
      <c r="G14" s="39">
        <f t="shared" si="0"/>
        <v>2.2166666666666668</v>
      </c>
      <c r="H14" s="39">
        <f t="shared" si="0"/>
        <v>45.033333333333331</v>
      </c>
      <c r="I14" s="39">
        <f t="shared" si="0"/>
        <v>160.48333333333332</v>
      </c>
      <c r="J14" s="39">
        <f t="shared" si="0"/>
        <v>166.68333333333334</v>
      </c>
      <c r="K14" s="39">
        <f t="shared" si="5"/>
        <v>139.9</v>
      </c>
      <c r="M14">
        <v>7.6211610890059595E-2</v>
      </c>
      <c r="N14">
        <v>0.29557653549398</v>
      </c>
      <c r="O14">
        <v>1.1229701398340299</v>
      </c>
      <c r="P14">
        <v>4.4918805593361304</v>
      </c>
      <c r="Q14">
        <v>17.9675222373445</v>
      </c>
      <c r="R14">
        <v>71.8700889493782</v>
      </c>
      <c r="T14">
        <v>8.8153241486950501E-2</v>
      </c>
      <c r="U14">
        <v>0.45164002387543001</v>
      </c>
      <c r="V14">
        <v>1.80656009550172</v>
      </c>
      <c r="W14">
        <v>7.2262403820068801</v>
      </c>
      <c r="X14">
        <v>28.904961528027499</v>
      </c>
      <c r="Y14">
        <v>115.61984611211</v>
      </c>
      <c r="Z14" s="1"/>
      <c r="AA14">
        <v>7.4253050299893805E-2</v>
      </c>
      <c r="AB14">
        <v>0.27931688939334998</v>
      </c>
      <c r="AC14">
        <v>1.09651981357513</v>
      </c>
      <c r="AD14">
        <v>4.38607925430055</v>
      </c>
      <c r="AE14">
        <v>17.5443170172022</v>
      </c>
      <c r="AF14">
        <v>70.1772680688089</v>
      </c>
      <c r="AG14" s="1"/>
      <c r="AH14" s="1">
        <v>3</v>
      </c>
      <c r="AI14" s="1">
        <v>133</v>
      </c>
      <c r="AJ14" s="1">
        <v>2702</v>
      </c>
      <c r="AK14" s="1">
        <v>9629</v>
      </c>
      <c r="AL14" s="1">
        <v>10001</v>
      </c>
      <c r="AM14" s="1">
        <v>8394</v>
      </c>
    </row>
    <row r="15" spans="1:51" x14ac:dyDescent="0.3">
      <c r="A15" s="38" t="s">
        <v>139</v>
      </c>
      <c r="B15" s="54">
        <v>60</v>
      </c>
      <c r="C15" s="16">
        <v>0.50996100240963405</v>
      </c>
      <c r="D15" s="16">
        <v>0.26572684049964401</v>
      </c>
      <c r="E15" s="16">
        <v>0.24654742040365599</v>
      </c>
      <c r="F15" s="39">
        <f t="shared" si="4"/>
        <v>2.2833333333333332</v>
      </c>
      <c r="G15" s="39">
        <f t="shared" si="0"/>
        <v>37.75</v>
      </c>
      <c r="H15" s="39">
        <f t="shared" si="0"/>
        <v>161.61666666666667</v>
      </c>
      <c r="I15" s="39">
        <f t="shared" si="0"/>
        <v>165.4</v>
      </c>
      <c r="J15" s="39">
        <f t="shared" si="0"/>
        <v>143.41666666666666</v>
      </c>
      <c r="K15" s="39">
        <f t="shared" si="5"/>
        <v>155.19999999999999</v>
      </c>
      <c r="M15">
        <v>0.27893820162744098</v>
      </c>
      <c r="N15">
        <v>1.0629073619985701</v>
      </c>
      <c r="O15">
        <v>4.2516294479943104</v>
      </c>
      <c r="P15">
        <v>17.006517791977199</v>
      </c>
      <c r="Q15">
        <v>68.026071167908995</v>
      </c>
      <c r="R15">
        <v>272.10428467163598</v>
      </c>
      <c r="T15">
        <v>0.50996100240963405</v>
      </c>
      <c r="U15">
        <v>2.03984400963853</v>
      </c>
      <c r="V15">
        <v>8.1593760385541501</v>
      </c>
      <c r="W15">
        <v>32.6375041542166</v>
      </c>
      <c r="X15">
        <v>130.550016616866</v>
      </c>
      <c r="Y15">
        <v>522.20006646746594</v>
      </c>
      <c r="Z15" s="1"/>
      <c r="AA15">
        <v>0.26486663711663699</v>
      </c>
      <c r="AB15">
        <v>0.98618968161462595</v>
      </c>
      <c r="AC15">
        <v>3.9447587264584998</v>
      </c>
      <c r="AD15">
        <v>15.779034905833999</v>
      </c>
      <c r="AE15">
        <v>63.116139623335997</v>
      </c>
      <c r="AF15">
        <v>252.46455849334399</v>
      </c>
      <c r="AG15" s="1"/>
      <c r="AH15" s="1">
        <v>137</v>
      </c>
      <c r="AI15" s="1">
        <v>2265</v>
      </c>
      <c r="AJ15" s="1">
        <v>9697</v>
      </c>
      <c r="AK15" s="1">
        <v>9924</v>
      </c>
      <c r="AL15" s="1">
        <v>8605</v>
      </c>
      <c r="AM15" s="1">
        <v>9312</v>
      </c>
    </row>
    <row r="16" spans="1:51" x14ac:dyDescent="0.3">
      <c r="A16" s="1" t="s">
        <v>140</v>
      </c>
      <c r="B16" s="45">
        <v>60</v>
      </c>
      <c r="C16" s="46">
        <v>3.4809429886628E-3</v>
      </c>
      <c r="D16" s="46">
        <v>2.5348843493833199E-3</v>
      </c>
      <c r="E16" s="46">
        <v>2.51419995762145E-3</v>
      </c>
      <c r="F16" s="13">
        <f>AH16/$B16</f>
        <v>0</v>
      </c>
      <c r="G16" s="13">
        <f t="shared" si="0"/>
        <v>0</v>
      </c>
      <c r="H16" s="13">
        <f t="shared" si="0"/>
        <v>0</v>
      </c>
      <c r="I16" s="13">
        <f t="shared" si="0"/>
        <v>8.3333333333333329E-2</v>
      </c>
      <c r="J16" s="13">
        <f t="shared" si="0"/>
        <v>7.3833333333333337</v>
      </c>
      <c r="K16" s="13">
        <f t="shared" si="0"/>
        <v>233.9</v>
      </c>
      <c r="M16" s="1"/>
      <c r="N16" s="1"/>
      <c r="O16" s="1"/>
      <c r="P16" s="16"/>
      <c r="Q16" s="16"/>
      <c r="R16" s="16"/>
      <c r="T16" s="1"/>
      <c r="U16" s="1"/>
      <c r="V16" s="1"/>
      <c r="W16" s="13"/>
      <c r="X16" s="13"/>
      <c r="Y16" s="13"/>
      <c r="AA16" s="1"/>
      <c r="AB16" s="1"/>
      <c r="AC16" s="1"/>
      <c r="AE16" s="45"/>
      <c r="AF16" s="45"/>
      <c r="AG16" s="1"/>
      <c r="AH16" s="45">
        <v>0</v>
      </c>
      <c r="AI16" s="45">
        <v>0</v>
      </c>
      <c r="AJ16" s="45">
        <v>0</v>
      </c>
      <c r="AK16" s="45">
        <v>5</v>
      </c>
      <c r="AL16" s="45">
        <v>443</v>
      </c>
      <c r="AM16" s="45">
        <v>14034</v>
      </c>
    </row>
    <row r="17" spans="1:83" x14ac:dyDescent="0.3">
      <c r="A17" s="1" t="s">
        <v>141</v>
      </c>
      <c r="B17" s="45">
        <v>60</v>
      </c>
      <c r="C17" s="46">
        <v>4.1522864630391797E-3</v>
      </c>
      <c r="D17" s="5">
        <v>3.27815477715818E-3</v>
      </c>
      <c r="E17" s="5">
        <v>3.2409334377459199E-3</v>
      </c>
      <c r="F17" s="13">
        <f t="shared" si="0"/>
        <v>0</v>
      </c>
      <c r="G17" s="13">
        <f t="shared" si="0"/>
        <v>0</v>
      </c>
      <c r="H17" s="13">
        <f t="shared" si="0"/>
        <v>0</v>
      </c>
      <c r="I17" s="13">
        <f t="shared" si="0"/>
        <v>6.6666666666666666E-2</v>
      </c>
      <c r="J17" s="13">
        <f t="shared" si="0"/>
        <v>24.5</v>
      </c>
      <c r="K17" s="13">
        <f t="shared" si="0"/>
        <v>239.1</v>
      </c>
      <c r="M17" s="1"/>
      <c r="N17" s="1"/>
      <c r="O17" s="1"/>
      <c r="P17" s="16"/>
      <c r="Q17" s="16"/>
      <c r="R17" s="16"/>
      <c r="T17" s="1"/>
      <c r="U17" s="1"/>
      <c r="V17" s="1"/>
      <c r="W17" s="13"/>
      <c r="X17" s="13"/>
      <c r="Y17" s="13"/>
      <c r="AA17" s="1"/>
      <c r="AC17" s="1"/>
      <c r="AH17" s="1">
        <v>0</v>
      </c>
      <c r="AI17" s="1">
        <v>0</v>
      </c>
      <c r="AJ17" s="1">
        <v>0</v>
      </c>
      <c r="AK17" s="1">
        <v>4</v>
      </c>
      <c r="AL17" s="1">
        <v>1470</v>
      </c>
      <c r="AM17" s="1">
        <v>14346</v>
      </c>
    </row>
    <row r="18" spans="1:83" x14ac:dyDescent="0.3">
      <c r="A18" s="1" t="s">
        <v>142</v>
      </c>
      <c r="B18" s="45">
        <v>60</v>
      </c>
      <c r="C18" s="46">
        <v>8.1501124632268208E-3</v>
      </c>
      <c r="D18" s="5">
        <v>5.1433422305270397E-3</v>
      </c>
      <c r="E18" s="46">
        <v>4.9482416068898196E-3</v>
      </c>
      <c r="F18" s="13">
        <f t="shared" ref="F18:K19" si="6">AH18/$B18</f>
        <v>0</v>
      </c>
      <c r="G18" s="13">
        <f t="shared" si="6"/>
        <v>0</v>
      </c>
      <c r="H18" s="13">
        <f t="shared" si="6"/>
        <v>0.15</v>
      </c>
      <c r="I18" s="13">
        <f t="shared" si="6"/>
        <v>1.5</v>
      </c>
      <c r="J18" s="13">
        <f t="shared" si="6"/>
        <v>90.75</v>
      </c>
      <c r="K18" s="13">
        <f t="shared" si="6"/>
        <v>238.56666666666666</v>
      </c>
      <c r="M18" s="1"/>
      <c r="N18" s="1"/>
      <c r="O18" s="16"/>
      <c r="P18" s="16"/>
      <c r="Q18" s="16"/>
      <c r="R18" s="16"/>
      <c r="T18" s="1"/>
      <c r="U18" s="1"/>
      <c r="V18" s="13"/>
      <c r="W18" s="13"/>
      <c r="X18" s="13"/>
      <c r="Y18" s="13"/>
      <c r="AA18" s="1"/>
      <c r="AC18" s="1"/>
      <c r="AH18" s="1">
        <v>0</v>
      </c>
      <c r="AI18" s="1">
        <v>0</v>
      </c>
      <c r="AJ18" s="1">
        <v>9</v>
      </c>
      <c r="AK18" s="1">
        <v>90</v>
      </c>
      <c r="AL18" s="1">
        <v>5445</v>
      </c>
      <c r="AM18" s="1">
        <v>14314</v>
      </c>
    </row>
    <row r="19" spans="1:83" x14ac:dyDescent="0.3">
      <c r="A19" s="1" t="s">
        <v>143</v>
      </c>
      <c r="B19" s="45">
        <v>60</v>
      </c>
      <c r="C19" s="5">
        <v>1.8290475754508401E-2</v>
      </c>
      <c r="D19" s="5">
        <v>5.7655917494690003E-3</v>
      </c>
      <c r="E19" s="5">
        <v>5.3058324795391097E-3</v>
      </c>
      <c r="F19" s="13">
        <f t="shared" si="6"/>
        <v>0</v>
      </c>
      <c r="G19" s="13">
        <f t="shared" si="6"/>
        <v>6.6666666666666666E-2</v>
      </c>
      <c r="H19" s="13">
        <f t="shared" si="6"/>
        <v>0.51666666666666672</v>
      </c>
      <c r="I19" s="13">
        <f t="shared" si="6"/>
        <v>3.5333333333333332</v>
      </c>
      <c r="J19" s="13">
        <f t="shared" si="6"/>
        <v>104.58333333333333</v>
      </c>
      <c r="K19" s="13">
        <f t="shared" si="6"/>
        <v>223.33333333333334</v>
      </c>
      <c r="M19" s="1"/>
      <c r="N19" s="16"/>
      <c r="O19" s="16"/>
      <c r="P19" s="16"/>
      <c r="Q19" s="16"/>
      <c r="R19" s="16"/>
      <c r="T19" s="1"/>
      <c r="U19" s="13"/>
      <c r="V19" s="13"/>
      <c r="W19" s="13"/>
      <c r="X19" s="13"/>
      <c r="Y19" s="13"/>
      <c r="AA19" s="1"/>
      <c r="AH19" s="1">
        <v>0</v>
      </c>
      <c r="AI19" s="1">
        <v>4</v>
      </c>
      <c r="AJ19" s="45">
        <v>31</v>
      </c>
      <c r="AK19" s="45">
        <v>212</v>
      </c>
      <c r="AL19" s="45">
        <v>6275</v>
      </c>
      <c r="AM19" s="45">
        <v>13400</v>
      </c>
    </row>
    <row r="20" spans="1:83" x14ac:dyDescent="0.3">
      <c r="G20" s="13"/>
      <c r="S20" s="1"/>
      <c r="AA20" s="1"/>
    </row>
    <row r="21" spans="1:83" x14ac:dyDescent="0.3">
      <c r="B21" s="56" t="s">
        <v>87</v>
      </c>
      <c r="C21" s="56"/>
      <c r="D21" s="56"/>
      <c r="E21" s="56"/>
      <c r="G21" s="56" t="s">
        <v>87</v>
      </c>
      <c r="H21" s="56"/>
      <c r="I21" s="56"/>
      <c r="J21" s="56"/>
      <c r="L21" s="56" t="s">
        <v>114</v>
      </c>
      <c r="M21" s="56"/>
      <c r="N21" s="56"/>
      <c r="O21" s="56"/>
      <c r="Q21" s="56" t="s">
        <v>114</v>
      </c>
      <c r="R21" s="56"/>
      <c r="S21" s="56"/>
      <c r="T21" s="56"/>
      <c r="V21" s="57" t="s">
        <v>114</v>
      </c>
      <c r="W21" s="57"/>
      <c r="X21" s="57"/>
      <c r="AA21" s="1"/>
      <c r="AB21" t="s">
        <v>114</v>
      </c>
      <c r="AH21" s="56" t="s">
        <v>114</v>
      </c>
      <c r="AI21" s="56"/>
      <c r="AJ21" s="56"/>
      <c r="AK21" s="56"/>
      <c r="AN21" s="56" t="s">
        <v>114</v>
      </c>
      <c r="AO21" s="56"/>
      <c r="AP21" s="56"/>
      <c r="AQ21" s="56"/>
      <c r="AU21" t="s">
        <v>144</v>
      </c>
      <c r="AY21" t="s">
        <v>148</v>
      </c>
      <c r="BD21" t="s">
        <v>145</v>
      </c>
      <c r="BH21" t="s">
        <v>148</v>
      </c>
      <c r="BN21" t="s">
        <v>147</v>
      </c>
      <c r="BR21" t="s">
        <v>148</v>
      </c>
      <c r="BW21" t="s">
        <v>146</v>
      </c>
      <c r="CA21" t="s">
        <v>148</v>
      </c>
    </row>
    <row r="22" spans="1:83" ht="35.25" customHeight="1" x14ac:dyDescent="0.3">
      <c r="A22" s="14" t="s">
        <v>77</v>
      </c>
      <c r="B22" s="15" t="s">
        <v>78</v>
      </c>
      <c r="C22" s="24" t="s">
        <v>82</v>
      </c>
      <c r="D22" s="24" t="s">
        <v>79</v>
      </c>
      <c r="E22" s="24" t="s">
        <v>81</v>
      </c>
      <c r="G22" s="31"/>
      <c r="H22" s="24" t="s">
        <v>95</v>
      </c>
      <c r="I22" s="24" t="s">
        <v>80</v>
      </c>
      <c r="J22" s="24" t="s">
        <v>94</v>
      </c>
      <c r="K22" s="15"/>
      <c r="L22" s="37" t="s">
        <v>112</v>
      </c>
      <c r="M22" s="24" t="s">
        <v>109</v>
      </c>
      <c r="N22" s="24" t="s">
        <v>110</v>
      </c>
      <c r="O22" s="24" t="s">
        <v>111</v>
      </c>
      <c r="P22" s="15"/>
      <c r="Q22" s="37" t="s">
        <v>113</v>
      </c>
      <c r="R22" s="24" t="s">
        <v>109</v>
      </c>
      <c r="S22" s="24" t="s">
        <v>110</v>
      </c>
      <c r="T22" s="24" t="s">
        <v>111</v>
      </c>
      <c r="U22" s="15"/>
      <c r="V22" s="37" t="s">
        <v>115</v>
      </c>
      <c r="W22" s="24" t="s">
        <v>109</v>
      </c>
      <c r="X22" s="24" t="s">
        <v>110</v>
      </c>
      <c r="Y22" s="24" t="s">
        <v>111</v>
      </c>
      <c r="Z22" s="15"/>
      <c r="AA22" s="1"/>
      <c r="AB22" s="37" t="s">
        <v>116</v>
      </c>
      <c r="AC22" s="24" t="s">
        <v>109</v>
      </c>
      <c r="AD22" s="24" t="s">
        <v>110</v>
      </c>
      <c r="AE22" s="24" t="s">
        <v>111</v>
      </c>
      <c r="AF22" s="15"/>
      <c r="AH22" s="37" t="s">
        <v>118</v>
      </c>
      <c r="AI22" s="24" t="s">
        <v>109</v>
      </c>
      <c r="AJ22" s="24" t="s">
        <v>110</v>
      </c>
      <c r="AK22" s="24" t="s">
        <v>111</v>
      </c>
      <c r="AM22" s="41"/>
      <c r="AN22" s="37" t="s">
        <v>119</v>
      </c>
      <c r="AO22" s="24" t="s">
        <v>109</v>
      </c>
      <c r="AP22" s="24" t="s">
        <v>110</v>
      </c>
      <c r="AQ22" s="24" t="s">
        <v>111</v>
      </c>
      <c r="AR22" s="15"/>
      <c r="AU22" s="41" t="s">
        <v>78</v>
      </c>
      <c r="AV22" s="43" t="s">
        <v>84</v>
      </c>
      <c r="AW22" s="44" t="s">
        <v>120</v>
      </c>
      <c r="AX22" s="44" t="s">
        <v>121</v>
      </c>
      <c r="AY22" s="44" t="s">
        <v>122</v>
      </c>
      <c r="AZ22" s="44" t="s">
        <v>123</v>
      </c>
      <c r="BA22" s="44" t="s">
        <v>124</v>
      </c>
      <c r="BB22" s="44" t="s">
        <v>125</v>
      </c>
      <c r="BD22" s="41" t="s">
        <v>78</v>
      </c>
      <c r="BE22" s="43" t="s">
        <v>84</v>
      </c>
      <c r="BF22" s="44" t="s">
        <v>120</v>
      </c>
      <c r="BG22" s="44" t="s">
        <v>121</v>
      </c>
      <c r="BH22" s="44" t="s">
        <v>122</v>
      </c>
      <c r="BI22" s="44" t="s">
        <v>123</v>
      </c>
      <c r="BJ22" s="44" t="s">
        <v>124</v>
      </c>
      <c r="BK22" s="44" t="s">
        <v>125</v>
      </c>
      <c r="BN22" s="41" t="s">
        <v>78</v>
      </c>
      <c r="BO22" s="43" t="s">
        <v>84</v>
      </c>
      <c r="BP22" s="44" t="s">
        <v>120</v>
      </c>
      <c r="BQ22" s="44" t="s">
        <v>121</v>
      </c>
      <c r="BR22" s="44" t="s">
        <v>122</v>
      </c>
      <c r="BS22" s="44" t="s">
        <v>123</v>
      </c>
      <c r="BT22" s="44" t="s">
        <v>124</v>
      </c>
      <c r="BU22" s="44" t="s">
        <v>125</v>
      </c>
      <c r="BW22" s="41" t="s">
        <v>78</v>
      </c>
      <c r="BX22" s="43" t="s">
        <v>84</v>
      </c>
      <c r="BY22" s="44" t="s">
        <v>120</v>
      </c>
      <c r="BZ22" s="44" t="s">
        <v>121</v>
      </c>
      <c r="CA22" s="44" t="s">
        <v>122</v>
      </c>
      <c r="CB22" s="44" t="s">
        <v>123</v>
      </c>
      <c r="CC22" s="44" t="s">
        <v>124</v>
      </c>
      <c r="CD22" s="44" t="s">
        <v>125</v>
      </c>
    </row>
    <row r="23" spans="1:83" x14ac:dyDescent="0.3">
      <c r="A23" s="1" t="s">
        <v>69</v>
      </c>
      <c r="B23" s="1">
        <v>90</v>
      </c>
      <c r="C23" s="25">
        <f>(C3+0.0087)/0.0009</f>
        <v>124.98377815678667</v>
      </c>
      <c r="D23" s="25">
        <f t="shared" ref="D23:D25" si="7">C3*637.85+31.496</f>
        <v>97.695517607575738</v>
      </c>
      <c r="E23" s="25">
        <f t="shared" ref="E23:E25" si="8">339.46*C3^0.5407</f>
        <v>99.727167764153535</v>
      </c>
      <c r="G23" s="32" t="s">
        <v>69</v>
      </c>
      <c r="H23" s="25">
        <f>($D3-0.0009)/0.0002</f>
        <v>42.048842752516052</v>
      </c>
      <c r="I23" s="33">
        <f>3353.9*D3+16.246</f>
        <v>47.470032741532719</v>
      </c>
      <c r="J23" s="33">
        <f>1994.7*(D3^0.8093)</f>
        <v>45.304341949768059</v>
      </c>
      <c r="K23" s="13"/>
      <c r="L23" s="32" t="s">
        <v>69</v>
      </c>
      <c r="M23" s="16">
        <f t="shared" ref="M23:M25" si="9">EXP(-1*(4*(-6959+25*K3))/2555)</f>
        <v>546.17166893812691</v>
      </c>
      <c r="N23" s="16">
        <f t="shared" ref="N23:N25" si="10">-1.6001*K3 + 344.62</f>
        <v>156.89618286448186</v>
      </c>
      <c r="O23" s="35">
        <f t="shared" ref="O23:O25" si="11">1000000000000*K3-4.601</f>
        <v>117320053206368.84</v>
      </c>
      <c r="P23" s="16"/>
      <c r="Q23" s="32" t="s">
        <v>69</v>
      </c>
      <c r="R23" s="47">
        <f>(J3-60.122)/0.0841</f>
        <v>-267.08659834277222</v>
      </c>
      <c r="S23" s="16">
        <f>0.5169*J3+27.545</f>
        <v>47.011462828327836</v>
      </c>
      <c r="T23" s="16">
        <f t="shared" ref="T23:T25" si="12">1.1518*J3^0.9191</f>
        <v>32.342147494732167</v>
      </c>
      <c r="U23" s="16"/>
      <c r="V23" s="32" t="s">
        <v>69</v>
      </c>
      <c r="W23" s="16">
        <f>(I3-3.8633)/0.2077</f>
        <v>27.138682274395688</v>
      </c>
      <c r="X23" s="13">
        <f>2.8315*I3 + 14.308</f>
        <v>41.207262199211904</v>
      </c>
      <c r="Y23" s="16">
        <f t="shared" ref="Y23:Y25" si="13">8.9277*I3^0.6763</f>
        <v>40.923634346381888</v>
      </c>
      <c r="Z23" s="13"/>
      <c r="AA23" s="1"/>
      <c r="AB23" s="32" t="s">
        <v>69</v>
      </c>
      <c r="AC23" s="16">
        <f>(H3+0.1561)/0.0915</f>
        <v>34.055752376002616</v>
      </c>
      <c r="AD23" s="16">
        <f t="shared" ref="AD23:AD25" si="14">6.3569*H3+ 26.624</f>
        <v>45.44043253352951</v>
      </c>
      <c r="AE23" s="16">
        <f t="shared" ref="AE23:AE25" si="15" xml:space="preserve"> 32.273*H3^0.3897</f>
        <v>49.260837883196288</v>
      </c>
      <c r="AF23" s="16"/>
      <c r="AH23" s="32" t="s">
        <v>69</v>
      </c>
      <c r="AI23" s="16">
        <f>(G3+0.0678)/0.0239</f>
        <v>29.615074905839549</v>
      </c>
      <c r="AJ23" s="16">
        <f xml:space="preserve"> 15.463*G3 + 39.702</f>
        <v>49.598324488129023</v>
      </c>
      <c r="AK23" s="16">
        <f>34.915*EXP(0.2946*G3)</f>
        <v>42.159524335536283</v>
      </c>
      <c r="AM23" s="1"/>
      <c r="AN23" s="32" t="s">
        <v>69</v>
      </c>
      <c r="AO23" s="16">
        <f>(F3+0.168)/0.0069</f>
        <v>44.637690361172815</v>
      </c>
      <c r="AP23" s="16">
        <f>70.576*F3 + 43.217</f>
        <v>53.097644481017909</v>
      </c>
      <c r="AQ23" s="16">
        <f>38.631*EXP(1.2111*F3)</f>
        <v>45.769097662017188</v>
      </c>
      <c r="AR23" s="16"/>
      <c r="AT23" s="1" t="s">
        <v>69</v>
      </c>
      <c r="AU23" s="1">
        <f>B23</f>
        <v>90</v>
      </c>
      <c r="AV23" s="44" t="s">
        <v>69</v>
      </c>
      <c r="AW23" s="16">
        <f>0.6229*Y3 + 31.496</f>
        <v>97.695476093415863</v>
      </c>
      <c r="AX23" s="16">
        <f t="shared" ref="AX23:AX25" si="16">2.4916*X3 + 31.496</f>
        <v>97.695476093415976</v>
      </c>
      <c r="AY23" s="16">
        <f t="shared" ref="AY23:AY25" si="17">9.9664*W3 + 31.496</f>
        <v>97.695476093415976</v>
      </c>
      <c r="AZ23" s="16">
        <f t="shared" ref="AZ23:AZ25" si="18" xml:space="preserve"> 39.864*V3 + 31.499</f>
        <v>97.695819187166947</v>
      </c>
      <c r="BA23" s="16">
        <f t="shared" ref="BA23:BA25" si="19" xml:space="preserve"> 153.68*U3 + 33.411</f>
        <v>97.20996129768622</v>
      </c>
      <c r="BB23" s="13">
        <f xml:space="preserve"> 341.18*T3 + 59.342</f>
        <v>94.751502888379235</v>
      </c>
      <c r="BD23" s="1">
        <f>AU23</f>
        <v>90</v>
      </c>
      <c r="BE23" s="44" t="s">
        <v>69</v>
      </c>
      <c r="BF23" s="16">
        <f>7.9979*Y3^0.5407</f>
        <v>99.694232599765229</v>
      </c>
      <c r="BG23" s="16">
        <f t="shared" ref="BG23:BG25" si="20" xml:space="preserve"> 16.925*X3^0.5407</f>
        <v>99.698564460136211</v>
      </c>
      <c r="BH23" s="16">
        <f t="shared" ref="BH23:BH25" si="21" xml:space="preserve"> 35.818*W3^0.5407</f>
        <v>99.707475964800153</v>
      </c>
      <c r="BI23" s="16">
        <f t="shared" ref="BI23:BI25" si="22" xml:space="preserve"> 75.792*V3^0.5402</f>
        <v>99.679486561846588</v>
      </c>
      <c r="BJ23" s="16">
        <f t="shared" ref="BJ23:BJ25" si="23">162.76*U3^0.5531</f>
        <v>100.08569989084388</v>
      </c>
      <c r="BK23" s="16">
        <f t="shared" ref="BK23:BK25" si="24">200.69*T3^0.333</f>
        <v>94.384158724984758</v>
      </c>
      <c r="BN23" s="1">
        <f>B23</f>
        <v>90</v>
      </c>
      <c r="BO23" s="44" t="s">
        <v>69</v>
      </c>
      <c r="BP23" s="16">
        <f xml:space="preserve"> 3.2753*Y3 + 16.246</f>
        <v>364.33260145892592</v>
      </c>
      <c r="BQ23" s="16">
        <f t="shared" ref="BQ23:BQ25" si="25" xml:space="preserve"> 13.101*X3 + 16.246</f>
        <v>364.32728764642911</v>
      </c>
      <c r="BR23" s="16">
        <f t="shared" ref="BR23:BR25" si="26" xml:space="preserve"> 45.439*W3 + 18.146</f>
        <v>319.96390759037655</v>
      </c>
      <c r="BS23" s="16">
        <f t="shared" ref="BS23:BS25" si="27" xml:space="preserve"> 129.75*V3 + 19.261</f>
        <v>234.71949110814046</v>
      </c>
      <c r="BT23" s="16">
        <f t="shared" ref="BT23:BT25" si="28">408.35*U3 + 18.101</f>
        <v>187.62407291716664</v>
      </c>
      <c r="BU23" s="16">
        <f t="shared" ref="BU23:BU25" si="29">268.12*T3 + 67.995</f>
        <v>95.821941539457882</v>
      </c>
      <c r="BW23" s="1">
        <f>BD23</f>
        <v>90</v>
      </c>
      <c r="BX23" s="44" t="s">
        <v>69</v>
      </c>
      <c r="BY23" s="16">
        <f xml:space="preserve"> 7.3072*Y3^0.8093</f>
        <v>318.9670548214167</v>
      </c>
      <c r="BZ23" s="1">
        <f t="shared" ref="BZ23:BZ25" si="30">22.438*X3^0.8093</f>
        <v>318.95677155946009</v>
      </c>
      <c r="CA23" s="1">
        <f t="shared" ref="CA23:CA25" si="31" xml:space="preserve"> 63.923*W3^0.7897</f>
        <v>285.12827241806099</v>
      </c>
      <c r="CB23" s="1">
        <f t="shared" ref="CB23:CB25" si="32">144.46*V3^0.7684</f>
        <v>213.30081318545697</v>
      </c>
      <c r="CC23" s="1">
        <f t="shared" ref="CC23:CC25" si="33">377.35*U3^0.8162</f>
        <v>184.12643250004979</v>
      </c>
      <c r="CD23" s="1">
        <f t="shared" ref="CD23:CD25" si="34" xml:space="preserve"> 193.76*T3^0.3028</f>
        <v>97.577612296617161</v>
      </c>
      <c r="CE23" s="1"/>
    </row>
    <row r="24" spans="1:83" x14ac:dyDescent="0.3">
      <c r="A24" s="1" t="s">
        <v>70</v>
      </c>
      <c r="B24" s="1">
        <v>45</v>
      </c>
      <c r="C24" s="25">
        <f>(C4+0.0087)/0.0009</f>
        <v>28.937326206160222</v>
      </c>
      <c r="D24" s="25">
        <f t="shared" si="7"/>
        <v>42.558611168539372</v>
      </c>
      <c r="E24" s="25">
        <f t="shared" si="8"/>
        <v>37.904529640463622</v>
      </c>
      <c r="G24" s="32" t="s">
        <v>70</v>
      </c>
      <c r="H24" s="25">
        <f t="shared" ref="H24:H26" si="35">($D4-0.0009)/0.0002</f>
        <v>14.270611763493299</v>
      </c>
      <c r="I24" s="33">
        <f>3353.9*D4+16.246</f>
        <v>28.836950958716034</v>
      </c>
      <c r="J24" s="33">
        <f>1994.7*(D4^0.8093)</f>
        <v>21.723372749373084</v>
      </c>
      <c r="K24" s="13"/>
      <c r="L24" s="32" t="s">
        <v>70</v>
      </c>
      <c r="M24" s="16">
        <f t="shared" si="9"/>
        <v>158.2516590681046</v>
      </c>
      <c r="N24" s="16">
        <f t="shared" si="10"/>
        <v>106.2530489485371</v>
      </c>
      <c r="O24" s="35">
        <f t="shared" si="11"/>
        <v>148970033780048.47</v>
      </c>
      <c r="P24" s="16"/>
      <c r="Q24" s="32" t="s">
        <v>70</v>
      </c>
      <c r="R24" s="47">
        <f t="shared" ref="R24:R26" si="36">(J4-60.122)/0.0841</f>
        <v>-362.33047891370342</v>
      </c>
      <c r="S24" s="16">
        <f t="shared" ref="S24:S25" si="37">0.5169*J4+27.545</f>
        <v>42.871088475303516</v>
      </c>
      <c r="T24" s="16">
        <f t="shared" si="12"/>
        <v>25.960620247950711</v>
      </c>
      <c r="U24" s="16"/>
      <c r="V24" s="32" t="s">
        <v>70</v>
      </c>
      <c r="W24" s="47">
        <f>(I4-3.8633)/0.2077</f>
        <v>-7.9600361043143897</v>
      </c>
      <c r="X24" s="13">
        <f>2.8315*I4 + 14.308</f>
        <v>20.565616418960641</v>
      </c>
      <c r="Y24" s="16">
        <f t="shared" si="13"/>
        <v>15.263430355503798</v>
      </c>
      <c r="Z24" s="48"/>
      <c r="AA24" s="1"/>
      <c r="AB24" s="32" t="s">
        <v>70</v>
      </c>
      <c r="AC24" s="16">
        <f t="shared" ref="AC24:AC26" si="38">(H4+0.1561)/0.0915</f>
        <v>3.5639348475274497</v>
      </c>
      <c r="AD24" s="16">
        <f t="shared" si="14"/>
        <v>27.704673245050621</v>
      </c>
      <c r="AE24" s="16">
        <f t="shared" si="15"/>
        <v>16.178763293074105</v>
      </c>
      <c r="AF24" s="16"/>
      <c r="AH24" s="32" t="s">
        <v>70</v>
      </c>
      <c r="AI24" s="16">
        <f t="shared" ref="AI24:AI26" si="39">(G4+0.0678)/0.0239</f>
        <v>4.0920504938377666</v>
      </c>
      <c r="AJ24" s="16">
        <f xml:space="preserve"> 15.463*G4 + 39.702</f>
        <v>40.165890105190499</v>
      </c>
      <c r="AK24" s="16">
        <f t="shared" ref="AK24:AK26" si="40">34.915*EXP(0.2946*G4)</f>
        <v>35.224946476263852</v>
      </c>
      <c r="AM24" s="1"/>
      <c r="AN24" s="32" t="s">
        <v>70</v>
      </c>
      <c r="AO24" s="16">
        <f t="shared" ref="AO24:AO26" si="41">(F4+0.168)/0.0069</f>
        <v>24.347826086956523</v>
      </c>
      <c r="AP24" s="16">
        <f t="shared" ref="AP24:AP25" si="42">70.576*F4 + 43.217</f>
        <v>43.216999999999999</v>
      </c>
      <c r="AQ24" s="16">
        <f t="shared" ref="AQ24:AQ26" si="43">38.631*EXP(1.2111*F4)</f>
        <v>38.631</v>
      </c>
      <c r="AR24" s="16"/>
      <c r="AT24" s="1" t="s">
        <v>70</v>
      </c>
      <c r="AU24" s="1">
        <f t="shared" ref="AU24:AU32" si="44">B24</f>
        <v>45</v>
      </c>
      <c r="AV24" s="44" t="s">
        <v>70</v>
      </c>
      <c r="AW24" s="16">
        <f t="shared" ref="AW24:AW25" si="45">0.6229*Y4 + 31.496</f>
        <v>42.55860423110196</v>
      </c>
      <c r="AX24" s="16">
        <f t="shared" si="16"/>
        <v>42.558604231101967</v>
      </c>
      <c r="AY24" s="16">
        <f t="shared" si="17"/>
        <v>42.558604231101945</v>
      </c>
      <c r="AZ24" s="16">
        <f t="shared" si="18"/>
        <v>42.561160235106172</v>
      </c>
      <c r="BA24" s="16">
        <f t="shared" si="19"/>
        <v>44.072453848905766</v>
      </c>
      <c r="BB24" s="13">
        <f t="shared" ref="BB24:BB25" si="46" xml:space="preserve"> 341.18*T4 + 59.342</f>
        <v>59.341999999999999</v>
      </c>
      <c r="BD24" s="1">
        <f t="shared" ref="BD24:BD32" si="47">AU24</f>
        <v>45</v>
      </c>
      <c r="BE24" s="44" t="s">
        <v>70</v>
      </c>
      <c r="BF24" s="16">
        <f t="shared" ref="BF24:BF25" si="48">7.9979*Y4^0.5407</f>
        <v>37.892011567978848</v>
      </c>
      <c r="BG24" s="16">
        <f t="shared" si="20"/>
        <v>37.89365803135999</v>
      </c>
      <c r="BH24" s="16">
        <f t="shared" si="21"/>
        <v>37.897045136401111</v>
      </c>
      <c r="BI24" s="16">
        <f t="shared" si="22"/>
        <v>37.920313348849398</v>
      </c>
      <c r="BJ24" s="16">
        <f t="shared" si="23"/>
        <v>37.206163654402346</v>
      </c>
      <c r="BK24" s="16">
        <f>200.69*T4^0.333</f>
        <v>0</v>
      </c>
      <c r="BN24" s="1">
        <f t="shared" ref="BN24:BN32" si="49">B24</f>
        <v>45</v>
      </c>
      <c r="BO24" s="44" t="s">
        <v>70</v>
      </c>
      <c r="BP24" s="16">
        <f t="shared" ref="BP24:BP25" si="50" xml:space="preserve"> 3.2753*Y4 + 16.246</f>
        <v>74.414803400430642</v>
      </c>
      <c r="BQ24" s="16">
        <f t="shared" si="25"/>
        <v>74.413915408439124</v>
      </c>
      <c r="BR24" s="16">
        <f t="shared" si="26"/>
        <v>68.582835131746805</v>
      </c>
      <c r="BS24" s="16">
        <f t="shared" si="27"/>
        <v>55.266300283589857</v>
      </c>
      <c r="BT24" s="16">
        <f t="shared" si="28"/>
        <v>46.430025762627977</v>
      </c>
      <c r="BU24" s="16">
        <f t="shared" si="29"/>
        <v>67.995000000000005</v>
      </c>
      <c r="BW24" s="1">
        <f t="shared" ref="BW24:BW32" si="51">BD24</f>
        <v>45</v>
      </c>
      <c r="BX24" s="44" t="s">
        <v>70</v>
      </c>
      <c r="BY24" s="16">
        <f t="shared" ref="BY24:BY25" si="52" xml:space="preserve"> 7.3072*Y4^0.8093</f>
        <v>74.975956194233888</v>
      </c>
      <c r="BZ24" s="1">
        <f t="shared" si="30"/>
        <v>74.973539024854261</v>
      </c>
      <c r="CA24" s="1">
        <f t="shared" si="31"/>
        <v>69.413766763516179</v>
      </c>
      <c r="CB24" s="1">
        <f t="shared" si="32"/>
        <v>53.94458799502717</v>
      </c>
      <c r="CC24" s="1">
        <f t="shared" si="33"/>
        <v>42.749500333993886</v>
      </c>
      <c r="CD24" s="1">
        <f t="shared" si="34"/>
        <v>0</v>
      </c>
      <c r="CE24" s="1"/>
    </row>
    <row r="25" spans="1:83" x14ac:dyDescent="0.3">
      <c r="A25" s="1" t="s">
        <v>71</v>
      </c>
      <c r="B25" s="1">
        <v>64</v>
      </c>
      <c r="C25" s="25">
        <f>(C5+0.0087)/0.0009</f>
        <v>18.125609180160435</v>
      </c>
      <c r="D25" s="25">
        <f t="shared" si="7"/>
        <v>36.351982834008801</v>
      </c>
      <c r="E25" s="25">
        <f t="shared" si="8"/>
        <v>24.285515845279502</v>
      </c>
      <c r="G25" s="32" t="s">
        <v>71</v>
      </c>
      <c r="H25" s="25">
        <f t="shared" si="35"/>
        <v>18.597174102918199</v>
      </c>
      <c r="I25" s="33">
        <f>3353.9*D5+16.246</f>
        <v>31.739122444755466</v>
      </c>
      <c r="J25" s="33">
        <f>1994.7*(D5^0.8093)</f>
        <v>25.693859138130588</v>
      </c>
      <c r="K25" s="13"/>
      <c r="L25" s="32" t="s">
        <v>71</v>
      </c>
      <c r="M25" s="16">
        <f t="shared" si="9"/>
        <v>159.9955674195038</v>
      </c>
      <c r="N25" s="16">
        <f t="shared" si="10"/>
        <v>106.70110402506842</v>
      </c>
      <c r="O25" s="35">
        <f t="shared" si="11"/>
        <v>148690016858274</v>
      </c>
      <c r="P25" s="16"/>
      <c r="Q25" s="32" t="s">
        <v>71</v>
      </c>
      <c r="R25" s="47">
        <f t="shared" si="36"/>
        <v>-107.57424743380506</v>
      </c>
      <c r="S25" s="16">
        <f t="shared" si="37"/>
        <v>53.945670493273312</v>
      </c>
      <c r="T25" s="16">
        <f t="shared" si="12"/>
        <v>42.794842976188278</v>
      </c>
      <c r="U25" s="16"/>
      <c r="V25" s="32" t="s">
        <v>71</v>
      </c>
      <c r="W25" s="47">
        <f t="shared" ref="W25:W26" si="53">(I5-3.8633)/0.2077</f>
        <v>-3.7713030851883054</v>
      </c>
      <c r="X25" s="13">
        <f t="shared" ref="X25" si="54">2.8315*I5 + 14.308</f>
        <v>23.029020988777891</v>
      </c>
      <c r="Y25" s="16">
        <f t="shared" si="13"/>
        <v>19.104974879697991</v>
      </c>
      <c r="Z25" s="13"/>
      <c r="AA25" s="1"/>
      <c r="AB25" s="32" t="s">
        <v>71</v>
      </c>
      <c r="AC25" s="16">
        <f t="shared" si="38"/>
        <v>2.1431694484715615</v>
      </c>
      <c r="AD25" s="16">
        <f t="shared" si="14"/>
        <v>26.878276028829479</v>
      </c>
      <c r="AE25" s="16">
        <f t="shared" si="15"/>
        <v>9.2058127259320273</v>
      </c>
      <c r="AF25" s="47"/>
      <c r="AH25" s="32" t="s">
        <v>71</v>
      </c>
      <c r="AI25" s="16">
        <f t="shared" si="39"/>
        <v>2.8368200836820083</v>
      </c>
      <c r="AJ25" s="16">
        <f xml:space="preserve"> 15.463*G5 + 39.702</f>
        <v>39.701999999999998</v>
      </c>
      <c r="AK25" s="16">
        <f t="shared" si="40"/>
        <v>34.914999999999999</v>
      </c>
      <c r="AM25" s="1"/>
      <c r="AN25" s="32" t="s">
        <v>71</v>
      </c>
      <c r="AO25" s="16">
        <f t="shared" si="41"/>
        <v>24.347826086956523</v>
      </c>
      <c r="AP25" s="16">
        <f t="shared" si="42"/>
        <v>43.216999999999999</v>
      </c>
      <c r="AQ25" s="16">
        <f t="shared" si="43"/>
        <v>38.631</v>
      </c>
      <c r="AR25" s="16"/>
      <c r="AT25" s="1" t="s">
        <v>71</v>
      </c>
      <c r="AU25" s="1">
        <f t="shared" si="44"/>
        <v>64</v>
      </c>
      <c r="AV25" s="44" t="s">
        <v>71</v>
      </c>
      <c r="AW25" s="16">
        <f t="shared" si="45"/>
        <v>36.351979788789492</v>
      </c>
      <c r="AX25" s="16">
        <f t="shared" si="16"/>
        <v>36.351979788789485</v>
      </c>
      <c r="AY25" s="16">
        <f t="shared" si="17"/>
        <v>36.351979788789492</v>
      </c>
      <c r="AZ25" s="16">
        <f t="shared" si="18"/>
        <v>35.798757291920879</v>
      </c>
      <c r="BA25" s="16">
        <f t="shared" si="19"/>
        <v>33.411000000000001</v>
      </c>
      <c r="BB25" s="13">
        <f t="shared" si="46"/>
        <v>59.341999999999999</v>
      </c>
      <c r="BD25" s="1">
        <f t="shared" si="47"/>
        <v>64</v>
      </c>
      <c r="BE25" s="44" t="s">
        <v>71</v>
      </c>
      <c r="BF25" s="16">
        <f t="shared" si="48"/>
        <v>24.277495488594788</v>
      </c>
      <c r="BG25" s="16">
        <f t="shared" si="20"/>
        <v>24.278550381318947</v>
      </c>
      <c r="BH25" s="16">
        <f t="shared" si="21"/>
        <v>24.280720506998595</v>
      </c>
      <c r="BI25" s="16">
        <f t="shared" si="22"/>
        <v>22.760195936132316</v>
      </c>
      <c r="BJ25" s="16">
        <f t="shared" si="23"/>
        <v>0</v>
      </c>
      <c r="BK25" s="16">
        <f t="shared" si="24"/>
        <v>0</v>
      </c>
      <c r="BN25" s="1">
        <f t="shared" si="49"/>
        <v>64</v>
      </c>
      <c r="BO25" s="44" t="s">
        <v>71</v>
      </c>
      <c r="BP25" s="16">
        <f t="shared" si="50"/>
        <v>41.779457380353541</v>
      </c>
      <c r="BQ25" s="16">
        <f t="shared" si="25"/>
        <v>41.779067592282487</v>
      </c>
      <c r="BR25" s="16">
        <f t="shared" si="26"/>
        <v>40.285475198949058</v>
      </c>
      <c r="BS25" s="16">
        <f t="shared" si="27"/>
        <v>33.255920445181978</v>
      </c>
      <c r="BT25" s="16">
        <f t="shared" si="28"/>
        <v>18.100999999999999</v>
      </c>
      <c r="BU25" s="16">
        <f t="shared" si="29"/>
        <v>67.995000000000005</v>
      </c>
      <c r="BW25" s="1">
        <f t="shared" si="51"/>
        <v>64</v>
      </c>
      <c r="BX25" s="44" t="s">
        <v>71</v>
      </c>
      <c r="BY25" s="16">
        <f t="shared" si="52"/>
        <v>38.506328399357002</v>
      </c>
      <c r="BZ25" s="1">
        <f t="shared" si="30"/>
        <v>38.5050869838065</v>
      </c>
      <c r="CA25" s="1">
        <f t="shared" si="31"/>
        <v>36.229662410963577</v>
      </c>
      <c r="CB25" s="1">
        <f t="shared" si="32"/>
        <v>26.097541183844328</v>
      </c>
      <c r="CC25" s="1">
        <f t="shared" si="33"/>
        <v>0</v>
      </c>
      <c r="CD25" s="1">
        <f t="shared" si="34"/>
        <v>0</v>
      </c>
      <c r="CE25" s="1"/>
    </row>
    <row r="26" spans="1:83" x14ac:dyDescent="0.3">
      <c r="A26" s="1" t="s">
        <v>72</v>
      </c>
      <c r="B26" s="1">
        <v>90</v>
      </c>
      <c r="C26" s="25">
        <f>(C6+0.0087)/0.0009</f>
        <v>115.87861276600501</v>
      </c>
      <c r="D26" s="25">
        <f>C6*637.85+31.496</f>
        <v>92.468560837516662</v>
      </c>
      <c r="E26" s="25">
        <f>339.46*C6^0.5407</f>
        <v>95.389258082839561</v>
      </c>
      <c r="G26" s="32" t="s">
        <v>72</v>
      </c>
      <c r="H26" s="25">
        <f t="shared" si="35"/>
        <v>16.375086362494351</v>
      </c>
      <c r="I26" s="33">
        <f>3353.9*D6+16.246</f>
        <v>30.248590430233961</v>
      </c>
      <c r="J26" s="33">
        <f>1994.7*(D6^0.8093)</f>
        <v>23.674255529249351</v>
      </c>
      <c r="K26" s="13"/>
      <c r="L26" s="32" t="s">
        <v>72</v>
      </c>
      <c r="M26" s="16">
        <f>EXP(-1*(4*(-6959+25*K6))/2555)</f>
        <v>216.74762833039611</v>
      </c>
      <c r="N26" s="16">
        <f>-1.6001*K6 + 344.62</f>
        <v>119.1125392430142</v>
      </c>
      <c r="O26" s="35">
        <f>1000000000000*K6-4.601</f>
        <v>140933354638446.63</v>
      </c>
      <c r="P26" s="16"/>
      <c r="Q26" s="32" t="s">
        <v>72</v>
      </c>
      <c r="R26" s="47">
        <f t="shared" si="36"/>
        <v>-339.38163170036603</v>
      </c>
      <c r="S26" s="16">
        <f>0.5169*J6+27.545</f>
        <v>43.868704467680203</v>
      </c>
      <c r="T26" s="16">
        <f>1.1518*J6^0.9191</f>
        <v>27.509761120953833</v>
      </c>
      <c r="U26" s="16"/>
      <c r="V26" s="32" t="s">
        <v>72</v>
      </c>
      <c r="W26" s="47">
        <f t="shared" si="53"/>
        <v>-8.1686711882275436</v>
      </c>
      <c r="X26" s="13">
        <f>2.8315*I6 + 14.308</f>
        <v>20.442917594091853</v>
      </c>
      <c r="Y26" s="16">
        <f>8.9277*I6^0.6763</f>
        <v>15.060376567986314</v>
      </c>
      <c r="Z26" s="48"/>
      <c r="AA26" s="1"/>
      <c r="AB26" s="32" t="s">
        <v>72</v>
      </c>
      <c r="AC26" s="16">
        <f t="shared" si="38"/>
        <v>4.8389804371860778</v>
      </c>
      <c r="AD26" s="16">
        <f>6.3569*H6+ 26.624</f>
        <v>28.446311608815058</v>
      </c>
      <c r="AE26" s="16">
        <f xml:space="preserve"> 32.273*H6^0.3897</f>
        <v>19.832581929011742</v>
      </c>
      <c r="AF26" s="16"/>
      <c r="AH26" s="32" t="s">
        <v>72</v>
      </c>
      <c r="AI26" s="16">
        <f t="shared" si="39"/>
        <v>4.7894005741147057</v>
      </c>
      <c r="AJ26" s="16">
        <f xml:space="preserve"> 15.463*G6 + 39.702</f>
        <v>40.4236067757531</v>
      </c>
      <c r="AK26" s="16">
        <f t="shared" si="40"/>
        <v>35.398326265143709</v>
      </c>
      <c r="AM26" s="1"/>
      <c r="AN26" s="32" t="s">
        <v>72</v>
      </c>
      <c r="AO26" s="16">
        <f t="shared" si="41"/>
        <v>28.212560970711511</v>
      </c>
      <c r="AP26" s="16">
        <f>70.576*F6 + 43.217</f>
        <v>45.099026951175652</v>
      </c>
      <c r="AQ26" s="16">
        <f t="shared" si="43"/>
        <v>39.898992296177823</v>
      </c>
      <c r="AR26" s="16"/>
      <c r="AT26" s="1" t="s">
        <v>72</v>
      </c>
      <c r="AU26" s="1">
        <f t="shared" si="44"/>
        <v>90</v>
      </c>
      <c r="AV26" s="44" t="s">
        <v>72</v>
      </c>
      <c r="AW26" s="16">
        <f>0.6229*Y6 + 31.496</f>
        <v>92.468522601216051</v>
      </c>
      <c r="AX26" s="16">
        <f>2.4916*X6 + 31.496</f>
        <v>92.468522601215938</v>
      </c>
      <c r="AY26" s="16">
        <f>9.9664*W6 + 31.496</f>
        <v>92.468522601215994</v>
      </c>
      <c r="AZ26" s="16">
        <f xml:space="preserve"> 39.864*V6 + 31.499</f>
        <v>92.469075477977853</v>
      </c>
      <c r="BA26" s="16">
        <f xml:space="preserve"> 153.68*U6 + 33.411</f>
        <v>92.172546755566742</v>
      </c>
      <c r="BB26" s="13">
        <f xml:space="preserve"> 341.18*T6 + 59.342</f>
        <v>91.955652593155037</v>
      </c>
      <c r="BD26" s="1">
        <f t="shared" si="47"/>
        <v>90</v>
      </c>
      <c r="BE26" s="44" t="s">
        <v>72</v>
      </c>
      <c r="BF26" s="16">
        <f>7.9979*Y6^0.5407</f>
        <v>95.357755524747361</v>
      </c>
      <c r="BG26" s="16">
        <f xml:space="preserve"> 16.925*X6^0.5407</f>
        <v>95.361898958840129</v>
      </c>
      <c r="BH26" s="16">
        <f xml:space="preserve"> 35.818*W6^0.5407</f>
        <v>95.37042283289928</v>
      </c>
      <c r="BI26" s="16">
        <f xml:space="preserve"> 75.792*V6^0.5402</f>
        <v>95.347571958453543</v>
      </c>
      <c r="BJ26" s="16">
        <f>162.76*U6^0.5531</f>
        <v>95.634608274952342</v>
      </c>
      <c r="BK26" s="16">
        <f>200.69*T6^0.333</f>
        <v>91.834151906724713</v>
      </c>
      <c r="BN26" s="1">
        <f t="shared" si="49"/>
        <v>90</v>
      </c>
      <c r="BO26" s="44" t="s">
        <v>72</v>
      </c>
      <c r="BP26" s="16">
        <f xml:space="preserve"> 3.2753*Y6 + 16.246</f>
        <v>336.84850967372444</v>
      </c>
      <c r="BQ26" s="16">
        <f xml:space="preserve"> 13.101*X6 + 16.246</f>
        <v>336.84361542724753</v>
      </c>
      <c r="BR26" s="16">
        <f xml:space="preserve"> 45.439*W6 + 18.146</f>
        <v>296.13308204333094</v>
      </c>
      <c r="BS26" s="16">
        <f xml:space="preserve"> 129.75*V6 + 19.261</f>
        <v>217.7074000920035</v>
      </c>
      <c r="BT26" s="16">
        <f>408.35*U6 + 18.101</f>
        <v>174.23893348279333</v>
      </c>
      <c r="BU26" s="16">
        <f>268.12*T6 + 67.995</f>
        <v>93.62479228933914</v>
      </c>
      <c r="BW26" s="1">
        <f t="shared" si="51"/>
        <v>90</v>
      </c>
      <c r="BX26" s="44" t="s">
        <v>72</v>
      </c>
      <c r="BY26" s="16">
        <f xml:space="preserve"> 7.3072*Y6^0.8093</f>
        <v>298.42645328901642</v>
      </c>
      <c r="BZ26" s="1">
        <f>22.438*X6^0.8093</f>
        <v>298.41683224086142</v>
      </c>
      <c r="CA26" s="1">
        <f xml:space="preserve"> 63.923*W6^0.7897</f>
        <v>267.19719303270881</v>
      </c>
      <c r="CB26" s="1">
        <f>144.46*V6^0.7684</f>
        <v>200.23729242898125</v>
      </c>
      <c r="CC26" s="1">
        <f>377.35*U6^0.8162</f>
        <v>172.17145795622451</v>
      </c>
      <c r="CD26" s="1">
        <f xml:space="preserve"> 193.76*T6^0.3028</f>
        <v>95.177447376366999</v>
      </c>
      <c r="CE26" s="1"/>
    </row>
    <row r="27" spans="1:83" x14ac:dyDescent="0.3">
      <c r="A27" s="1" t="s">
        <v>134</v>
      </c>
      <c r="B27" s="1">
        <v>128</v>
      </c>
      <c r="C27" s="25">
        <f t="shared" ref="C27:C32" si="55">(C10+0.0087)/0.0009</f>
        <v>218.85100732502002</v>
      </c>
      <c r="D27" s="25">
        <f t="shared" ref="D27:D32" si="56">C10*637.85+31.496</f>
        <v>151.5814085200376</v>
      </c>
      <c r="E27" s="25">
        <f t="shared" ref="E27:E32" si="57">339.46*C10^0.5407</f>
        <v>137.61242696845366</v>
      </c>
      <c r="G27" s="32" t="s">
        <v>134</v>
      </c>
      <c r="H27" s="25">
        <f>($D10-0.0009)/0.0002</f>
        <v>597.85144994082498</v>
      </c>
      <c r="I27" s="33">
        <f t="shared" ref="I27:I32" si="58">3353.9*D10+16.246</f>
        <v>420.29130559130658</v>
      </c>
      <c r="J27" s="33">
        <f t="shared" ref="J27:J32" si="59">1994.7*(D10^0.8093)</f>
        <v>359.77728145580176</v>
      </c>
      <c r="K27" s="48"/>
      <c r="L27" s="32" t="s">
        <v>134</v>
      </c>
      <c r="M27" s="16">
        <f>EXP(-1*(4*(-6959+25*AM10))/2555)</f>
        <v>1.1665108581684073E-186</v>
      </c>
      <c r="N27" s="47">
        <f>-1.6001*AM10 + 344.62</f>
        <v>-17603.701700000001</v>
      </c>
      <c r="O27" s="35">
        <f>1000000000000*AM10-4.601</f>
        <v>1.1216999999999996E+16</v>
      </c>
      <c r="P27" s="16"/>
      <c r="Q27" s="32" t="s">
        <v>134</v>
      </c>
      <c r="R27" s="47">
        <f>(AL10-60.122)/0.0841</f>
        <v>174849.91676575507</v>
      </c>
      <c r="S27" s="16">
        <f>0.5169*AL10+27.545</f>
        <v>7659.5735000000004</v>
      </c>
      <c r="T27" s="16">
        <f>1.1518*AL10^0.9191</f>
        <v>7822.0311167913469</v>
      </c>
      <c r="U27" s="47"/>
      <c r="V27" s="32" t="s">
        <v>134</v>
      </c>
      <c r="W27" s="47">
        <f>(AK10-3.8633)/0.2077</f>
        <v>67314.090996629748</v>
      </c>
      <c r="X27" s="13">
        <f>2.8315*AK10 + 14.308</f>
        <v>39612.835500000001</v>
      </c>
      <c r="Y27" s="16">
        <f>8.9277*AK10^0.6763</f>
        <v>5681.3444037847457</v>
      </c>
      <c r="Z27" s="48"/>
      <c r="AB27" s="32" t="s">
        <v>134</v>
      </c>
      <c r="AC27" s="16">
        <f>(AJ10+0.1561)/0.0915</f>
        <v>81914.274316939889</v>
      </c>
      <c r="AD27" s="16">
        <f>6.3569*AJ10+ 26.624</f>
        <v>47671.589500000009</v>
      </c>
      <c r="AE27" s="16">
        <f xml:space="preserve"> 32.273*AJ10^0.3897</f>
        <v>1044.3302188724219</v>
      </c>
      <c r="AF27" s="47"/>
      <c r="AH27" s="32" t="s">
        <v>134</v>
      </c>
      <c r="AI27" s="16">
        <f>(AI10+0.0678)/0.0239</f>
        <v>25232.962343096235</v>
      </c>
      <c r="AJ27" s="16">
        <f xml:space="preserve"> 15.463*AI10 + 39.702</f>
        <v>9363.8909999999996</v>
      </c>
      <c r="AK27" s="16">
        <f>34.915*EXP(0.2946*AI10)</f>
        <v>4.9287198191515546E+78</v>
      </c>
      <c r="AM27" s="1"/>
      <c r="AN27" s="32" t="s">
        <v>134</v>
      </c>
      <c r="AO27" s="16">
        <f>(AH10+0.168)/0.0069</f>
        <v>5531.594202898551</v>
      </c>
      <c r="AP27" s="16">
        <f>70.576*AH10 + 43.217</f>
        <v>2725.105</v>
      </c>
      <c r="AQ27" s="16">
        <f>38.631*EXP(1.2111*AH10)</f>
        <v>3.7492960789598668E+21</v>
      </c>
      <c r="AR27" s="16"/>
      <c r="AT27" s="1" t="s">
        <v>134</v>
      </c>
      <c r="AU27" s="1">
        <f t="shared" si="44"/>
        <v>128</v>
      </c>
      <c r="AV27" s="49" t="s">
        <v>134</v>
      </c>
      <c r="AW27" s="16">
        <f>0.6229*Y10 + 31.496</f>
        <v>151.58133321367532</v>
      </c>
      <c r="AX27" s="16">
        <f t="shared" ref="AX27:AX32" si="60">2.4916*X10 + 31.496</f>
        <v>151.58133321367521</v>
      </c>
      <c r="AY27" s="16">
        <f t="shared" ref="AY27:AY32" si="61">9.9664*W10 + 31.496</f>
        <v>151.58133321367444</v>
      </c>
      <c r="AZ27" s="16">
        <f t="shared" ref="AZ27:AZ32" si="62" xml:space="preserve"> 39.864*V10 + 31.499</f>
        <v>151.57951360646626</v>
      </c>
      <c r="BA27" s="16">
        <f t="shared" ref="BA27:BA32" si="63" xml:space="preserve"> 153.68*U10 + 33.411</f>
        <v>149.14181810055297</v>
      </c>
      <c r="BB27" s="13">
        <f t="shared" ref="BB27:BB31" si="64" xml:space="preserve"> 341.18*T10 + 59.342</f>
        <v>123.57456201123529</v>
      </c>
      <c r="BD27" s="1">
        <f t="shared" si="47"/>
        <v>128</v>
      </c>
      <c r="BE27" s="49" t="s">
        <v>134</v>
      </c>
      <c r="BF27" s="16">
        <f>7.9979*Y10^0.5407</f>
        <v>137.56698009569374</v>
      </c>
      <c r="BG27" s="16">
        <f t="shared" ref="BG27:BG32" si="65" xml:space="preserve"> 16.925*X10^0.5407</f>
        <v>137.57295758239351</v>
      </c>
      <c r="BH27" s="16">
        <f t="shared" ref="BH27:BH32" si="66" xml:space="preserve"> 35.818*W10^0.5407</f>
        <v>137.58525447011417</v>
      </c>
      <c r="BI27" s="16">
        <f t="shared" ref="BI27:BI32" si="67" xml:space="preserve"> 75.792*V10^0.5402</f>
        <v>137.50568172006234</v>
      </c>
      <c r="BJ27" s="16">
        <f t="shared" ref="BJ27:BJ32" si="68">162.76*U10^0.5531</f>
        <v>139.13079880075975</v>
      </c>
      <c r="BK27" s="16">
        <f t="shared" ref="BK27:BK32" si="69">200.69*T10^0.333</f>
        <v>115.08658475986761</v>
      </c>
      <c r="BN27" s="1">
        <f t="shared" si="49"/>
        <v>128</v>
      </c>
      <c r="BO27" s="49" t="s">
        <v>134</v>
      </c>
      <c r="BP27" s="16">
        <f t="shared" ref="BP27:BP32" si="70" xml:space="preserve"> 3.2753*Y10 + 16.246</f>
        <v>647.67237963517539</v>
      </c>
      <c r="BQ27" s="16">
        <f t="shared" ref="BQ27:BQ32" si="71" xml:space="preserve"> 13.101*X10 + 16.246</f>
        <v>647.66274042075725</v>
      </c>
      <c r="BR27" s="16">
        <f t="shared" ref="BR27:BR32" si="72" xml:space="preserve"> 45.439*W10 + 18.146</f>
        <v>565.64132989807285</v>
      </c>
      <c r="BS27" s="16">
        <f t="shared" ref="BS27:BS32" si="73" xml:space="preserve"> 129.75*V10 + 19.261</f>
        <v>410.10102208606764</v>
      </c>
      <c r="BT27" s="16">
        <f t="shared" ref="BT27:BT32" si="74">408.35*U10 + 18.101</f>
        <v>325.6145318282197</v>
      </c>
      <c r="BU27" s="16">
        <f t="shared" ref="BU27:BU32" si="75">268.12*T10 + 67.995</f>
        <v>118.47285487558594</v>
      </c>
      <c r="BW27" s="1">
        <f t="shared" si="51"/>
        <v>128</v>
      </c>
      <c r="BX27" s="49" t="s">
        <v>134</v>
      </c>
      <c r="BY27" s="16">
        <f t="shared" ref="BY27:BY32" si="76" xml:space="preserve"> 7.3072*Y10^0.8093</f>
        <v>516.48708918829755</v>
      </c>
      <c r="BZ27" s="1">
        <f t="shared" ref="BZ27:BZ32" si="77">22.438*X10^0.8093</f>
        <v>516.47043802650649</v>
      </c>
      <c r="CA27" s="1">
        <f t="shared" ref="CA27:CA32" si="78" xml:space="preserve"> 63.923*W10^0.7897</f>
        <v>456.33593559748067</v>
      </c>
      <c r="CB27" s="1">
        <f t="shared" ref="CB27:CB32" si="79">144.46*V10^0.7684</f>
        <v>337.07610282431187</v>
      </c>
      <c r="CC27" s="1">
        <f t="shared" ref="CC27:CC32" si="80">377.35*U10^0.8162</f>
        <v>299.37419602008111</v>
      </c>
      <c r="CD27" s="1">
        <f t="shared" ref="CD27:CD32" si="81" xml:space="preserve"> 193.76*T10^0.3028</f>
        <v>116.85976012125762</v>
      </c>
      <c r="CE27" s="1"/>
    </row>
    <row r="28" spans="1:83" x14ac:dyDescent="0.3">
      <c r="A28" s="1" t="s">
        <v>135</v>
      </c>
      <c r="B28" s="1">
        <v>128</v>
      </c>
      <c r="C28" s="25">
        <f t="shared" si="55"/>
        <v>175.20489784639997</v>
      </c>
      <c r="D28" s="25">
        <f t="shared" si="56"/>
        <v>126.52570468219362</v>
      </c>
      <c r="E28" s="25">
        <f t="shared" si="57"/>
        <v>121.2567288691104</v>
      </c>
      <c r="G28" s="32" t="s">
        <v>135</v>
      </c>
      <c r="H28" s="25">
        <f t="shared" ref="H28:H32" si="82">($D11-0.0009)/0.0002</f>
        <v>557.08963017204496</v>
      </c>
      <c r="I28" s="33">
        <f t="shared" si="58"/>
        <v>392.94909212680432</v>
      </c>
      <c r="J28" s="33">
        <f t="shared" si="59"/>
        <v>339.94293876626807</v>
      </c>
      <c r="K28" s="48"/>
      <c r="L28" s="32" t="s">
        <v>135</v>
      </c>
      <c r="M28" s="16">
        <f t="shared" ref="M28:M31" si="83">EXP(-1*(4*(-6959+25*K11))/2555)</f>
        <v>8.0671615841609796</v>
      </c>
      <c r="N28" s="47">
        <f t="shared" ref="N27:N32" si="84">-1.6001*K11 + 344.62</f>
        <v>-15.429168333333394</v>
      </c>
      <c r="O28" s="35">
        <f t="shared" ref="O27:O32" si="85">1000000000000*K11-4.601</f>
        <v>225016666666662.09</v>
      </c>
      <c r="P28" s="16"/>
      <c r="Q28" s="32" t="s">
        <v>135</v>
      </c>
      <c r="R28" s="47">
        <f t="shared" ref="R28:R32" si="86">(J11-60.122)/0.0841</f>
        <v>2257.7645659928658</v>
      </c>
      <c r="S28" s="16">
        <f t="shared" ref="S28:S32" si="87">0.5169*J11+27.545</f>
        <v>156.76999999999998</v>
      </c>
      <c r="T28" s="16">
        <f t="shared" ref="T28:T32" si="88">1.1518*J11^0.9191</f>
        <v>184.21446798180011</v>
      </c>
      <c r="U28" s="47"/>
      <c r="V28" s="32" t="s">
        <v>135</v>
      </c>
      <c r="W28" s="47">
        <f t="shared" ref="W28:W32" si="89">(I11-3.8633)/0.2077</f>
        <v>1148.7082330284063</v>
      </c>
      <c r="X28" s="13">
        <f t="shared" ref="X28:X32" si="90">2.8315*I11 + 14.308</f>
        <v>700.80517499999996</v>
      </c>
      <c r="Y28" s="16">
        <f>8.9277*I11^0.6763</f>
        <v>365.98187194714137</v>
      </c>
      <c r="Z28" s="48"/>
      <c r="AB28" s="32" t="s">
        <v>135</v>
      </c>
      <c r="AC28" s="16">
        <f t="shared" ref="AC28:AC32" si="91">(H11+0.1561)/0.0915</f>
        <v>1900.6131147540984</v>
      </c>
      <c r="AD28" s="16">
        <f t="shared" ref="AD27:AD32" si="92">6.3569*H11+ 26.624</f>
        <v>1131.1353750000001</v>
      </c>
      <c r="AE28" s="16">
        <f t="shared" ref="AE27:AE32" si="93" xml:space="preserve"> 32.273*H11^0.3897</f>
        <v>240.84522349993074</v>
      </c>
      <c r="AF28" s="47"/>
      <c r="AH28" s="32" t="s">
        <v>135</v>
      </c>
      <c r="AI28" s="16">
        <f t="shared" ref="AI28:AI32" si="94">(G11+0.0678)/0.0239</f>
        <v>177.87168758716876</v>
      </c>
      <c r="AJ28" s="16">
        <f t="shared" ref="AJ27:AJ32" si="95" xml:space="preserve"> 15.463*G11 + 39.702</f>
        <v>104.38888333333333</v>
      </c>
      <c r="AK28" s="16">
        <f t="shared" ref="AK28:AK32" si="96">34.915*EXP(0.2946*G11)</f>
        <v>119.74045630615636</v>
      </c>
      <c r="AM28" s="1"/>
      <c r="AN28" s="32" t="s">
        <v>135</v>
      </c>
      <c r="AO28" s="16">
        <f t="shared" ref="AO28:AO32" si="97">(F11+0.168)/0.0069</f>
        <v>26.763285024154591</v>
      </c>
      <c r="AP28" s="16">
        <f t="shared" ref="AP27:AP32" si="98">70.576*F11 + 43.217</f>
        <v>44.393266666666662</v>
      </c>
      <c r="AQ28" s="16">
        <f t="shared" ref="AQ28:AQ32" si="99">38.631*EXP(1.2111*F11)</f>
        <v>39.418689749666562</v>
      </c>
      <c r="AR28" s="16"/>
      <c r="AT28" s="1" t="s">
        <v>135</v>
      </c>
      <c r="AU28" s="1">
        <f t="shared" si="44"/>
        <v>128</v>
      </c>
      <c r="AV28" s="49" t="s">
        <v>135</v>
      </c>
      <c r="AW28" s="16">
        <f t="shared" ref="AW28:AW31" si="100">0.6229*Y11 + 31.496</f>
        <v>126.52564508843025</v>
      </c>
      <c r="AX28" s="16">
        <f t="shared" si="60"/>
        <v>126.52564508843049</v>
      </c>
      <c r="AY28" s="16">
        <f t="shared" si="61"/>
        <v>126.52564508843069</v>
      </c>
      <c r="AZ28" s="16">
        <f t="shared" si="62"/>
        <v>126.524831087584</v>
      </c>
      <c r="BA28" s="16">
        <f t="shared" si="63"/>
        <v>124.99469532372542</v>
      </c>
      <c r="BB28" s="13">
        <f t="shared" si="64"/>
        <v>102.25008197993075</v>
      </c>
      <c r="BD28" s="1">
        <f t="shared" si="47"/>
        <v>128</v>
      </c>
      <c r="BE28" s="49" t="s">
        <v>135</v>
      </c>
      <c r="BF28" s="16">
        <f t="shared" ref="BF28:BF31" si="101">7.9979*Y11^0.5407</f>
        <v>121.21668350947506</v>
      </c>
      <c r="BG28" s="16">
        <f t="shared" si="65"/>
        <v>121.2219505518496</v>
      </c>
      <c r="BH28" s="16">
        <f t="shared" si="66"/>
        <v>121.23278591325702</v>
      </c>
      <c r="BI28" s="16">
        <f t="shared" si="67"/>
        <v>121.17684834328681</v>
      </c>
      <c r="BJ28" s="16">
        <f t="shared" si="68"/>
        <v>122.23941133087332</v>
      </c>
      <c r="BK28" s="16">
        <f t="shared" si="69"/>
        <v>100.61847406697582</v>
      </c>
      <c r="BN28" s="1">
        <f t="shared" si="49"/>
        <v>128</v>
      </c>
      <c r="BO28" s="49" t="s">
        <v>135</v>
      </c>
      <c r="BP28" s="16">
        <f t="shared" si="70"/>
        <v>515.9258788860742</v>
      </c>
      <c r="BQ28" s="16">
        <f t="shared" si="71"/>
        <v>515.9182508843827</v>
      </c>
      <c r="BR28" s="16">
        <f t="shared" si="72"/>
        <v>451.40696114677337</v>
      </c>
      <c r="BS28" s="16">
        <f t="shared" si="73"/>
        <v>328.55263113621379</v>
      </c>
      <c r="BT28" s="16">
        <f t="shared" si="74"/>
        <v>261.4521321280796</v>
      </c>
      <c r="BU28" s="16">
        <f t="shared" si="75"/>
        <v>101.7147811725747</v>
      </c>
      <c r="BW28" s="1">
        <f t="shared" si="51"/>
        <v>128</v>
      </c>
      <c r="BX28" s="49" t="s">
        <v>135</v>
      </c>
      <c r="BY28" s="16">
        <f t="shared" si="76"/>
        <v>427.3754928312203</v>
      </c>
      <c r="BZ28" s="1">
        <f t="shared" si="77"/>
        <v>427.36171456139527</v>
      </c>
      <c r="CA28" s="1">
        <f t="shared" si="78"/>
        <v>379.33837521171017</v>
      </c>
      <c r="CB28" s="1">
        <f t="shared" si="79"/>
        <v>281.60140098067734</v>
      </c>
      <c r="CC28" s="1">
        <f t="shared" si="80"/>
        <v>247.32228845991875</v>
      </c>
      <c r="CD28" s="1">
        <f t="shared" si="81"/>
        <v>103.42119279794932</v>
      </c>
      <c r="CE28" s="1"/>
    </row>
    <row r="29" spans="1:83" x14ac:dyDescent="0.3">
      <c r="A29" s="1" t="s">
        <v>136</v>
      </c>
      <c r="B29" s="1">
        <v>64</v>
      </c>
      <c r="C29" s="25">
        <f t="shared" si="55"/>
        <v>374.3888775014633</v>
      </c>
      <c r="D29" s="25">
        <f t="shared" si="56"/>
        <v>240.87025596287754</v>
      </c>
      <c r="E29" s="25">
        <f t="shared" si="57"/>
        <v>185.86623410073602</v>
      </c>
      <c r="G29" s="32" t="s">
        <v>136</v>
      </c>
      <c r="H29" s="25">
        <f t="shared" si="82"/>
        <v>1184.1255683812299</v>
      </c>
      <c r="I29" s="33">
        <f t="shared" si="58"/>
        <v>813.55225875876147</v>
      </c>
      <c r="J29" s="33">
        <f>1994.7*(D12^0.8093)</f>
        <v>623.6416856863882</v>
      </c>
      <c r="K29" s="48"/>
      <c r="L29" s="32" t="s">
        <v>136</v>
      </c>
      <c r="M29" s="16">
        <f t="shared" si="83"/>
        <v>62.149943082802622</v>
      </c>
      <c r="N29" s="47">
        <f t="shared" si="84"/>
        <v>68.042714999999987</v>
      </c>
      <c r="O29" s="35">
        <f t="shared" si="85"/>
        <v>172849999999995.41</v>
      </c>
      <c r="P29" s="16"/>
      <c r="Q29" s="32" t="s">
        <v>136</v>
      </c>
      <c r="R29" s="47">
        <f t="shared" si="86"/>
        <v>1384.2013476020611</v>
      </c>
      <c r="S29" s="16">
        <f t="shared" si="87"/>
        <v>118.79508</v>
      </c>
      <c r="T29" s="16">
        <f t="shared" si="88"/>
        <v>133.79365379309573</v>
      </c>
      <c r="U29" s="47"/>
      <c r="V29" s="32" t="s">
        <v>136</v>
      </c>
      <c r="W29" s="47">
        <f t="shared" si="89"/>
        <v>718.60070614668598</v>
      </c>
      <c r="X29" s="13">
        <f t="shared" si="90"/>
        <v>447.85784166666667</v>
      </c>
      <c r="Y29" s="16">
        <f t="shared" ref="Y29:Y32" si="102">8.9277*I12^0.6763</f>
        <v>268.20710711659439</v>
      </c>
      <c r="Z29" s="48"/>
      <c r="AB29" s="32" t="s">
        <v>136</v>
      </c>
      <c r="AC29" s="16">
        <f t="shared" si="91"/>
        <v>1647.6076502732242</v>
      </c>
      <c r="AD29" s="16">
        <f t="shared" si="92"/>
        <v>983.97314000000006</v>
      </c>
      <c r="AE29" s="16">
        <f t="shared" si="93"/>
        <v>227.79161281593932</v>
      </c>
      <c r="AF29" s="47"/>
      <c r="AH29" s="32" t="s">
        <v>136</v>
      </c>
      <c r="AI29" s="16">
        <f t="shared" si="94"/>
        <v>1161.1352859135284</v>
      </c>
      <c r="AJ29" s="16">
        <f t="shared" si="95"/>
        <v>467.76938333333334</v>
      </c>
      <c r="AK29" s="16">
        <f t="shared" si="96"/>
        <v>121592.00965704386</v>
      </c>
      <c r="AM29" s="1"/>
      <c r="AN29" s="32" t="s">
        <v>136</v>
      </c>
      <c r="AO29" s="16">
        <f t="shared" si="97"/>
        <v>62.995169082125599</v>
      </c>
      <c r="AP29" s="16">
        <f t="shared" si="98"/>
        <v>62.037266666666667</v>
      </c>
      <c r="AQ29" s="16">
        <f t="shared" si="99"/>
        <v>53.357527427051721</v>
      </c>
      <c r="AR29" s="16"/>
      <c r="AT29" s="1" t="s">
        <v>136</v>
      </c>
      <c r="AU29" s="1">
        <f t="shared" si="44"/>
        <v>64</v>
      </c>
      <c r="AV29" s="49" t="s">
        <v>136</v>
      </c>
      <c r="AW29" s="16">
        <f t="shared" si="100"/>
        <v>240.87012466288189</v>
      </c>
      <c r="AX29" s="16">
        <f t="shared" si="60"/>
        <v>240.87012466288203</v>
      </c>
      <c r="AY29" s="16">
        <f t="shared" si="61"/>
        <v>240.87012466288178</v>
      </c>
      <c r="AZ29" s="16">
        <f t="shared" si="62"/>
        <v>240.86472146314429</v>
      </c>
      <c r="BA29" s="16">
        <f t="shared" si="63"/>
        <v>235.19283369992988</v>
      </c>
      <c r="BB29" s="13">
        <f t="shared" si="64"/>
        <v>171.33433150335432</v>
      </c>
      <c r="BD29" s="1">
        <f t="shared" si="47"/>
        <v>64</v>
      </c>
      <c r="BE29" s="49" t="s">
        <v>136</v>
      </c>
      <c r="BF29" s="16">
        <f t="shared" si="101"/>
        <v>185.80485127886695</v>
      </c>
      <c r="BG29" s="16">
        <f t="shared" si="65"/>
        <v>185.81292477169589</v>
      </c>
      <c r="BH29" s="16">
        <f t="shared" si="66"/>
        <v>185.82953356395561</v>
      </c>
      <c r="BI29" s="16">
        <f t="shared" si="67"/>
        <v>185.67044248276838</v>
      </c>
      <c r="BJ29" s="16">
        <f t="shared" si="68"/>
        <v>189.21688721659172</v>
      </c>
      <c r="BK29" s="16">
        <f t="shared" si="69"/>
        <v>138.49111286687926</v>
      </c>
      <c r="BN29" s="1">
        <f t="shared" si="49"/>
        <v>64</v>
      </c>
      <c r="BO29" s="49" t="s">
        <v>136</v>
      </c>
      <c r="BP29" s="16">
        <f t="shared" si="70"/>
        <v>1117.1660040268696</v>
      </c>
      <c r="BQ29" s="16">
        <f t="shared" si="71"/>
        <v>1117.1491976273951</v>
      </c>
      <c r="BR29" s="16">
        <f t="shared" si="72"/>
        <v>972.72848219584648</v>
      </c>
      <c r="BS29" s="16">
        <f t="shared" si="73"/>
        <v>700.7079787237351</v>
      </c>
      <c r="BT29" s="16">
        <f t="shared" si="74"/>
        <v>554.26453325980196</v>
      </c>
      <c r="BU29" s="16">
        <f t="shared" si="75"/>
        <v>156.00538725212311</v>
      </c>
      <c r="BW29" s="1">
        <f t="shared" si="51"/>
        <v>64</v>
      </c>
      <c r="BX29" s="49" t="s">
        <v>136</v>
      </c>
      <c r="BY29" s="16">
        <f t="shared" si="76"/>
        <v>809.93698309413901</v>
      </c>
      <c r="BZ29" s="1">
        <f t="shared" si="77"/>
        <v>809.91087132478845</v>
      </c>
      <c r="CA29" s="1">
        <f t="shared" si="78"/>
        <v>707.85506284767735</v>
      </c>
      <c r="CB29" s="1">
        <f t="shared" si="79"/>
        <v>516.70791356258064</v>
      </c>
      <c r="CC29" s="1">
        <f t="shared" si="80"/>
        <v>471.27240714401665</v>
      </c>
      <c r="CD29" s="1">
        <f t="shared" si="81"/>
        <v>138.28367583730704</v>
      </c>
      <c r="CE29" s="1"/>
    </row>
    <row r="30" spans="1:83" x14ac:dyDescent="0.3">
      <c r="A30" s="1" t="s">
        <v>137</v>
      </c>
      <c r="B30" s="1">
        <v>128</v>
      </c>
      <c r="C30" s="25">
        <f>(C13+0.0087)/0.0009</f>
        <v>44.404515864693892</v>
      </c>
      <c r="D30" s="25">
        <f t="shared" si="56"/>
        <v>51.437783399865495</v>
      </c>
      <c r="E30" s="25">
        <f t="shared" si="57"/>
        <v>52.126632997311333</v>
      </c>
      <c r="G30" s="32" t="s">
        <v>137</v>
      </c>
      <c r="H30" s="25">
        <f t="shared" si="82"/>
        <v>86.962405932964998</v>
      </c>
      <c r="I30" s="33">
        <f t="shared" si="58"/>
        <v>77.597152651714268</v>
      </c>
      <c r="J30" s="33">
        <f t="shared" si="59"/>
        <v>78.259094152651187</v>
      </c>
      <c r="K30" s="48"/>
      <c r="L30" s="32" t="s">
        <v>137</v>
      </c>
      <c r="M30" s="16">
        <f t="shared" si="83"/>
        <v>80.784153150553223</v>
      </c>
      <c r="N30" s="47">
        <f t="shared" si="84"/>
        <v>78.763384999999971</v>
      </c>
      <c r="O30" s="35">
        <f t="shared" si="85"/>
        <v>166149999999995.41</v>
      </c>
      <c r="P30" s="16"/>
      <c r="Q30" s="32" t="s">
        <v>137</v>
      </c>
      <c r="R30" s="47">
        <f t="shared" si="86"/>
        <v>1209.0130796670633</v>
      </c>
      <c r="S30" s="16">
        <f t="shared" si="87"/>
        <v>111.17942000000001</v>
      </c>
      <c r="T30" s="16">
        <f t="shared" si="88"/>
        <v>123.49495875542021</v>
      </c>
      <c r="U30" s="16"/>
      <c r="V30" s="32" t="s">
        <v>137</v>
      </c>
      <c r="W30" s="47">
        <f t="shared" si="89"/>
        <v>209.37265286470873</v>
      </c>
      <c r="X30" s="13">
        <f t="shared" si="90"/>
        <v>148.379525</v>
      </c>
      <c r="Y30" s="16">
        <f t="shared" si="102"/>
        <v>121.27142837162474</v>
      </c>
      <c r="Z30" s="48"/>
      <c r="AB30" s="32" t="s">
        <v>137</v>
      </c>
      <c r="AC30" s="16">
        <f t="shared" si="91"/>
        <v>18.828051001821493</v>
      </c>
      <c r="AD30" s="16">
        <f t="shared" si="92"/>
        <v>36.583143333333332</v>
      </c>
      <c r="AE30" s="16">
        <f t="shared" si="93"/>
        <v>38.443393786617939</v>
      </c>
      <c r="AF30" s="47"/>
      <c r="AH30" s="32" t="s">
        <v>137</v>
      </c>
      <c r="AI30" s="16">
        <f t="shared" si="94"/>
        <v>4.2315202231520219</v>
      </c>
      <c r="AJ30" s="16">
        <f t="shared" si="95"/>
        <v>40.217433333333332</v>
      </c>
      <c r="AK30" s="16">
        <f t="shared" si="96"/>
        <v>35.259554292731977</v>
      </c>
      <c r="AM30" s="1"/>
      <c r="AN30" s="32" t="s">
        <v>137</v>
      </c>
      <c r="AO30" s="16">
        <f t="shared" si="97"/>
        <v>24.347826086956523</v>
      </c>
      <c r="AP30" s="16">
        <f t="shared" si="98"/>
        <v>43.216999999999999</v>
      </c>
      <c r="AQ30" s="16">
        <f t="shared" si="99"/>
        <v>38.631</v>
      </c>
      <c r="AR30" s="16"/>
      <c r="AT30" s="1" t="s">
        <v>137</v>
      </c>
      <c r="AU30" s="1">
        <f t="shared" si="44"/>
        <v>128</v>
      </c>
      <c r="AV30" s="49" t="s">
        <v>137</v>
      </c>
      <c r="AW30" s="16">
        <f t="shared" si="100"/>
        <v>51.43777089423979</v>
      </c>
      <c r="AX30" s="16">
        <f t="shared" si="60"/>
        <v>51.437770894239833</v>
      </c>
      <c r="AY30" s="16">
        <f t="shared" si="61"/>
        <v>51.437770894239804</v>
      </c>
      <c r="AZ30" s="16">
        <f t="shared" si="62"/>
        <v>51.439970534194302</v>
      </c>
      <c r="BA30" s="16">
        <f t="shared" si="63"/>
        <v>52.629645593110169</v>
      </c>
      <c r="BB30" s="13">
        <f t="shared" si="64"/>
        <v>59.341999999999999</v>
      </c>
      <c r="BD30" s="1">
        <f t="shared" si="47"/>
        <v>128</v>
      </c>
      <c r="BE30" s="49" t="s">
        <v>137</v>
      </c>
      <c r="BF30" s="16">
        <f t="shared" si="101"/>
        <v>52.109418037082591</v>
      </c>
      <c r="BG30" s="16">
        <f t="shared" si="65"/>
        <v>52.111682267590851</v>
      </c>
      <c r="BH30" s="16">
        <f t="shared" si="66"/>
        <v>52.116340243381011</v>
      </c>
      <c r="BI30" s="16">
        <f t="shared" si="67"/>
        <v>52.132977047334741</v>
      </c>
      <c r="BJ30" s="16">
        <f t="shared" si="68"/>
        <v>51.541457143014227</v>
      </c>
      <c r="BK30" s="16">
        <f t="shared" si="69"/>
        <v>0</v>
      </c>
      <c r="BN30" s="1">
        <f t="shared" si="49"/>
        <v>128</v>
      </c>
      <c r="BO30" s="49" t="s">
        <v>137</v>
      </c>
      <c r="BP30" s="16">
        <f t="shared" si="70"/>
        <v>121.102770284</v>
      </c>
      <c r="BQ30" s="16">
        <f t="shared" si="71"/>
        <v>121.10116956390914</v>
      </c>
      <c r="BR30" s="16">
        <f t="shared" si="72"/>
        <v>109.06490027124764</v>
      </c>
      <c r="BS30" s="16">
        <f t="shared" si="73"/>
        <v>84.165197441594188</v>
      </c>
      <c r="BT30" s="16">
        <f t="shared" si="74"/>
        <v>69.167722592051902</v>
      </c>
      <c r="BU30" s="16">
        <f t="shared" si="75"/>
        <v>67.995000000000005</v>
      </c>
      <c r="BW30" s="1">
        <f t="shared" si="51"/>
        <v>128</v>
      </c>
      <c r="BX30" s="49" t="s">
        <v>137</v>
      </c>
      <c r="BY30" s="16">
        <f t="shared" si="76"/>
        <v>120.78889816845482</v>
      </c>
      <c r="BZ30" s="1">
        <f t="shared" si="77"/>
        <v>120.78500402370675</v>
      </c>
      <c r="CA30" s="1">
        <f t="shared" si="78"/>
        <v>110.54391828022214</v>
      </c>
      <c r="CB30" s="1">
        <f t="shared" si="79"/>
        <v>84.83719823169416</v>
      </c>
      <c r="CC30" s="1">
        <f t="shared" si="80"/>
        <v>69.151531558701208</v>
      </c>
      <c r="CD30" s="1">
        <f t="shared" si="81"/>
        <v>0</v>
      </c>
      <c r="CE30" s="1"/>
    </row>
    <row r="31" spans="1:83" x14ac:dyDescent="0.3">
      <c r="A31" s="1" t="s">
        <v>138</v>
      </c>
      <c r="B31" s="1">
        <v>128</v>
      </c>
      <c r="C31" s="25">
        <f t="shared" si="55"/>
        <v>135.12222885428557</v>
      </c>
      <c r="D31" s="25">
        <f t="shared" si="56"/>
        <v>103.51564730723544</v>
      </c>
      <c r="E31" s="25">
        <f t="shared" si="57"/>
        <v>104.37609195326385</v>
      </c>
      <c r="G31" s="32" t="s">
        <v>138</v>
      </c>
      <c r="H31" s="25">
        <f t="shared" si="82"/>
        <v>346.42816869813555</v>
      </c>
      <c r="I31" s="33">
        <f t="shared" si="58"/>
        <v>251.64159699933538</v>
      </c>
      <c r="J31" s="33">
        <f t="shared" si="59"/>
        <v>232.35192599071382</v>
      </c>
      <c r="K31" s="13"/>
      <c r="L31" s="32" t="s">
        <v>138</v>
      </c>
      <c r="M31" s="16">
        <f t="shared" si="83"/>
        <v>225.69354470403971</v>
      </c>
      <c r="N31" s="47">
        <f t="shared" si="84"/>
        <v>120.76600999999999</v>
      </c>
      <c r="O31" s="35">
        <f t="shared" si="85"/>
        <v>139899999999995.41</v>
      </c>
      <c r="P31" s="16"/>
      <c r="Q31" s="32" t="s">
        <v>138</v>
      </c>
      <c r="R31" s="47">
        <f t="shared" si="86"/>
        <v>1267.0788743559256</v>
      </c>
      <c r="S31" s="16">
        <f t="shared" si="87"/>
        <v>113.70361500000001</v>
      </c>
      <c r="T31" s="16">
        <f t="shared" si="88"/>
        <v>126.91652542538235</v>
      </c>
      <c r="U31" s="16"/>
      <c r="V31" s="32" t="s">
        <v>138</v>
      </c>
      <c r="W31" s="16">
        <f t="shared" si="89"/>
        <v>754.06852832611128</v>
      </c>
      <c r="X31" s="13">
        <f t="shared" si="90"/>
        <v>468.7165583333333</v>
      </c>
      <c r="Y31" s="16">
        <f t="shared" si="102"/>
        <v>276.86742020354603</v>
      </c>
      <c r="Z31" s="13"/>
      <c r="AB31" s="32" t="s">
        <v>138</v>
      </c>
      <c r="AC31" s="16">
        <f t="shared" si="91"/>
        <v>493.87358834244083</v>
      </c>
      <c r="AD31" s="16">
        <f t="shared" si="92"/>
        <v>312.8963966666667</v>
      </c>
      <c r="AE31" s="16">
        <f t="shared" si="93"/>
        <v>142.30546361649385</v>
      </c>
      <c r="AF31" s="16"/>
      <c r="AH31" s="32" t="s">
        <v>138</v>
      </c>
      <c r="AI31" s="16">
        <f t="shared" si="94"/>
        <v>95.584379358437943</v>
      </c>
      <c r="AJ31" s="16">
        <f t="shared" si="95"/>
        <v>73.978316666666672</v>
      </c>
      <c r="AK31" s="16">
        <f t="shared" si="96"/>
        <v>67.084065127098569</v>
      </c>
      <c r="AM31" s="1"/>
      <c r="AN31" s="32" t="s">
        <v>138</v>
      </c>
      <c r="AO31" s="16">
        <f t="shared" si="97"/>
        <v>31.59420289855073</v>
      </c>
      <c r="AP31" s="16">
        <f t="shared" si="98"/>
        <v>46.745799999999996</v>
      </c>
      <c r="AQ31" s="16">
        <f t="shared" si="99"/>
        <v>41.042579941560248</v>
      </c>
      <c r="AR31" s="16"/>
      <c r="AT31" s="1" t="s">
        <v>138</v>
      </c>
      <c r="AU31" s="1">
        <f t="shared" si="44"/>
        <v>128</v>
      </c>
      <c r="AV31" s="49" t="s">
        <v>138</v>
      </c>
      <c r="AW31" s="16">
        <f t="shared" si="100"/>
        <v>103.51560214323331</v>
      </c>
      <c r="AX31" s="16">
        <f t="shared" si="60"/>
        <v>103.51560214323331</v>
      </c>
      <c r="AY31" s="16">
        <f t="shared" si="61"/>
        <v>103.51560214323337</v>
      </c>
      <c r="AZ31" s="16">
        <f t="shared" si="62"/>
        <v>103.51571164708055</v>
      </c>
      <c r="BA31" s="16">
        <f t="shared" si="63"/>
        <v>102.81903886917608</v>
      </c>
      <c r="BB31" s="13">
        <f t="shared" si="64"/>
        <v>89.418122930517768</v>
      </c>
      <c r="BD31" s="1">
        <f t="shared" si="47"/>
        <v>128</v>
      </c>
      <c r="BE31" s="49" t="s">
        <v>138</v>
      </c>
      <c r="BF31" s="16">
        <f t="shared" si="101"/>
        <v>104.34162146920458</v>
      </c>
      <c r="BG31" s="16">
        <f t="shared" si="65"/>
        <v>104.34615526542616</v>
      </c>
      <c r="BH31" s="16">
        <f t="shared" si="66"/>
        <v>104.35548219259258</v>
      </c>
      <c r="BI31" s="16">
        <f t="shared" si="67"/>
        <v>104.32179255222364</v>
      </c>
      <c r="BJ31" s="16">
        <f t="shared" si="68"/>
        <v>104.86084899634746</v>
      </c>
      <c r="BK31" s="16">
        <f t="shared" si="69"/>
        <v>89.390235684057401</v>
      </c>
      <c r="BN31" s="1">
        <f t="shared" si="49"/>
        <v>128</v>
      </c>
      <c r="BO31" s="49" t="s">
        <v>138</v>
      </c>
      <c r="BP31" s="16">
        <f t="shared" si="70"/>
        <v>394.93568197099387</v>
      </c>
      <c r="BQ31" s="16">
        <f t="shared" si="71"/>
        <v>394.92990097868829</v>
      </c>
      <c r="BR31" s="16">
        <f t="shared" si="72"/>
        <v>346.49913671801062</v>
      </c>
      <c r="BS31" s="16">
        <f t="shared" si="73"/>
        <v>253.66217239134818</v>
      </c>
      <c r="BT31" s="16">
        <f t="shared" si="74"/>
        <v>202.52820374953185</v>
      </c>
      <c r="BU31" s="16">
        <f t="shared" si="75"/>
        <v>91.630647107481167</v>
      </c>
      <c r="BW31" s="1">
        <f t="shared" si="51"/>
        <v>128</v>
      </c>
      <c r="BX31" s="49" t="s">
        <v>138</v>
      </c>
      <c r="BY31" s="16">
        <f t="shared" si="76"/>
        <v>341.47829558115103</v>
      </c>
      <c r="BZ31" s="1">
        <f t="shared" si="77"/>
        <v>341.46728657343982</v>
      </c>
      <c r="CA31" s="1">
        <f t="shared" si="78"/>
        <v>304.74758631506432</v>
      </c>
      <c r="CB31" s="1">
        <f t="shared" si="79"/>
        <v>227.56894947640296</v>
      </c>
      <c r="CC31" s="1">
        <f t="shared" si="80"/>
        <v>197.23588308884129</v>
      </c>
      <c r="CD31" s="1">
        <f t="shared" si="81"/>
        <v>92.871461266768023</v>
      </c>
      <c r="CE31" s="1"/>
    </row>
    <row r="32" spans="1:83" x14ac:dyDescent="0.3">
      <c r="A32" s="1" t="s">
        <v>139</v>
      </c>
      <c r="B32" s="1">
        <v>128</v>
      </c>
      <c r="C32" s="25">
        <f t="shared" si="55"/>
        <v>576.29000267737126</v>
      </c>
      <c r="D32" s="25">
        <f t="shared" si="56"/>
        <v>356.77462538698506</v>
      </c>
      <c r="E32" s="25">
        <f t="shared" si="57"/>
        <v>235.85975575498372</v>
      </c>
      <c r="G32" s="32" t="s">
        <v>139</v>
      </c>
      <c r="H32" s="25">
        <f t="shared" si="82"/>
        <v>1324.13420249822</v>
      </c>
      <c r="I32" s="33">
        <f t="shared" si="58"/>
        <v>907.46725035175609</v>
      </c>
      <c r="J32" s="33">
        <f t="shared" si="59"/>
        <v>682.45367399836039</v>
      </c>
      <c r="K32" s="13"/>
      <c r="L32" s="32" t="s">
        <v>139</v>
      </c>
      <c r="M32" s="16">
        <f>EXP(-1*(4*(-6959+25*K15))/2555)</f>
        <v>124.008765235422</v>
      </c>
      <c r="N32" s="47">
        <f t="shared" si="84"/>
        <v>96.284480000000002</v>
      </c>
      <c r="O32" s="35">
        <f t="shared" si="85"/>
        <v>155199999999995.41</v>
      </c>
      <c r="P32" s="16"/>
      <c r="Q32" s="32" t="s">
        <v>139</v>
      </c>
      <c r="R32" s="47">
        <f t="shared" si="86"/>
        <v>990.42409829567976</v>
      </c>
      <c r="S32" s="16">
        <f t="shared" si="87"/>
        <v>101.677075</v>
      </c>
      <c r="T32" s="16">
        <f t="shared" si="88"/>
        <v>110.5370293507266</v>
      </c>
      <c r="U32" s="16"/>
      <c r="V32" s="32" t="s">
        <v>139</v>
      </c>
      <c r="W32" s="16">
        <f t="shared" si="89"/>
        <v>777.74049109292253</v>
      </c>
      <c r="X32" s="13">
        <f t="shared" si="90"/>
        <v>482.63810000000001</v>
      </c>
      <c r="Y32" s="16">
        <f t="shared" si="102"/>
        <v>282.57592004094369</v>
      </c>
      <c r="Z32" s="13"/>
      <c r="AB32" s="32" t="s">
        <v>139</v>
      </c>
      <c r="AC32" s="16">
        <f t="shared" si="91"/>
        <v>1768.0083788706743</v>
      </c>
      <c r="AD32" s="16">
        <f t="shared" si="92"/>
        <v>1054.0049883333336</v>
      </c>
      <c r="AE32" s="16">
        <f t="shared" si="93"/>
        <v>234.14580903473757</v>
      </c>
      <c r="AF32" s="16"/>
      <c r="AH32" s="32" t="s">
        <v>139</v>
      </c>
      <c r="AI32" s="16">
        <f t="shared" si="94"/>
        <v>1582.3347280334726</v>
      </c>
      <c r="AJ32" s="16">
        <f t="shared" si="95"/>
        <v>623.43025</v>
      </c>
      <c r="AK32" s="16">
        <f t="shared" si="96"/>
        <v>2359750.7011073288</v>
      </c>
      <c r="AM32" s="1"/>
      <c r="AN32" s="32" t="s">
        <v>139</v>
      </c>
      <c r="AO32" s="16">
        <f t="shared" si="97"/>
        <v>355.26570048309179</v>
      </c>
      <c r="AP32" s="16">
        <f t="shared" si="98"/>
        <v>204.3655333333333</v>
      </c>
      <c r="AQ32" s="16">
        <f t="shared" si="99"/>
        <v>613.63486138983626</v>
      </c>
      <c r="AR32" s="16"/>
      <c r="AT32" s="1" t="s">
        <v>139</v>
      </c>
      <c r="AU32" s="1">
        <f t="shared" si="44"/>
        <v>128</v>
      </c>
      <c r="AV32" s="49" t="s">
        <v>139</v>
      </c>
      <c r="AW32" s="16">
        <f>0.6229*Y15 + 31.496</f>
        <v>356.77442140258455</v>
      </c>
      <c r="AX32" s="16">
        <f t="shared" si="60"/>
        <v>356.7744214025833</v>
      </c>
      <c r="AY32" s="16">
        <f t="shared" si="61"/>
        <v>356.77442140258432</v>
      </c>
      <c r="AZ32" s="16">
        <f t="shared" si="62"/>
        <v>356.76436640092265</v>
      </c>
      <c r="BA32" s="16">
        <f t="shared" si="63"/>
        <v>346.89422740124928</v>
      </c>
      <c r="BB32" s="13">
        <f xml:space="preserve"> 341.18*T15 + 59.342</f>
        <v>233.33049480211895</v>
      </c>
      <c r="BD32" s="1">
        <f t="shared" si="47"/>
        <v>128</v>
      </c>
      <c r="BE32" s="49" t="s">
        <v>139</v>
      </c>
      <c r="BF32" s="16">
        <f>7.9979*Y15^0.5407</f>
        <v>235.78186243862299</v>
      </c>
      <c r="BG32" s="16">
        <f t="shared" si="65"/>
        <v>235.79210750575859</v>
      </c>
      <c r="BH32" s="16">
        <f t="shared" si="66"/>
        <v>235.81318366144026</v>
      </c>
      <c r="BI32" s="16">
        <f t="shared" si="67"/>
        <v>235.55940632996663</v>
      </c>
      <c r="BJ32" s="16">
        <f t="shared" si="68"/>
        <v>241.4269558207142</v>
      </c>
      <c r="BK32" s="16">
        <f t="shared" si="69"/>
        <v>160.37458393516175</v>
      </c>
      <c r="BN32" s="1">
        <f t="shared" si="49"/>
        <v>128</v>
      </c>
      <c r="BO32" s="49" t="s">
        <v>139</v>
      </c>
      <c r="BP32" s="16">
        <f t="shared" si="70"/>
        <v>1726.6078777008913</v>
      </c>
      <c r="BQ32" s="16">
        <f t="shared" si="71"/>
        <v>1726.5817676975616</v>
      </c>
      <c r="BR32" s="16">
        <f t="shared" si="72"/>
        <v>1501.161551263448</v>
      </c>
      <c r="BS32" s="16">
        <f t="shared" si="73"/>
        <v>1077.9400410024009</v>
      </c>
      <c r="BT32" s="16">
        <f t="shared" si="74"/>
        <v>851.07130133589374</v>
      </c>
      <c r="BU32" s="16">
        <f t="shared" si="75"/>
        <v>204.72574396607109</v>
      </c>
      <c r="BW32" s="1">
        <f t="shared" si="51"/>
        <v>128</v>
      </c>
      <c r="BX32" s="49" t="s">
        <v>139</v>
      </c>
      <c r="BY32" s="16">
        <f t="shared" si="76"/>
        <v>1156.901584421455</v>
      </c>
      <c r="BZ32" s="1">
        <f t="shared" si="77"/>
        <v>1156.86428676995</v>
      </c>
      <c r="CA32" s="1">
        <f t="shared" si="78"/>
        <v>1002.396211193217</v>
      </c>
      <c r="CB32" s="1">
        <f t="shared" si="79"/>
        <v>724.87781777671887</v>
      </c>
      <c r="CC32" s="1">
        <f t="shared" si="80"/>
        <v>675.20770731508833</v>
      </c>
      <c r="CD32" s="1">
        <f t="shared" si="81"/>
        <v>158.01791210077758</v>
      </c>
      <c r="CE32" s="1"/>
    </row>
    <row r="36" spans="2:75" x14ac:dyDescent="0.3">
      <c r="BB36" t="s">
        <v>131</v>
      </c>
    </row>
    <row r="37" spans="2:75" x14ac:dyDescent="0.3">
      <c r="BB37" s="26" t="s">
        <v>83</v>
      </c>
      <c r="BC37" s="1" t="s">
        <v>44</v>
      </c>
      <c r="BD37" s="1" t="s">
        <v>45</v>
      </c>
      <c r="BU37" s="26" t="s">
        <v>83</v>
      </c>
      <c r="BV37" s="1" t="s">
        <v>44</v>
      </c>
      <c r="BW37" s="1" t="s">
        <v>45</v>
      </c>
    </row>
    <row r="38" spans="2:75" x14ac:dyDescent="0.3">
      <c r="BB38" s="27" t="s">
        <v>120</v>
      </c>
      <c r="BC38" s="19" cm="1">
        <f t="array" ref="BC38">SQRT(SUMSQ($AU23:$AU32-AW23:AW32)/COUNTA($AU23:$AU32-AW23:AW32))</f>
        <v>95.643074992379184</v>
      </c>
      <c r="BD38" s="19" cm="1">
        <f t="array" ref="BD38">SQRT(SUMSQ($BD23:$BD32-BF23:BF32)/COUNTA($BD23:$BD32-BF23:BF32))</f>
        <v>58.873657960172245</v>
      </c>
      <c r="BU38" s="27" t="s">
        <v>120</v>
      </c>
      <c r="BV38" s="19" cm="1">
        <f t="array" ref="BV38">SQRT(SUMSQ($BN23:$BN32-BP23:BP32)/COUNTA($BN23:$BN32-BP23:BP32))</f>
        <v>655.29424112854247</v>
      </c>
      <c r="BW38" s="19" cm="1">
        <f t="array" ref="BW38">SQRT(SUMSQ($BW23:$BW26-BY23:BY26)/COUNTA($BW23:$BW26-BY23:BY26))</f>
        <v>156.05766872031012</v>
      </c>
    </row>
    <row r="39" spans="2:75" x14ac:dyDescent="0.3">
      <c r="BB39" s="28" t="s">
        <v>121</v>
      </c>
      <c r="BC39" s="19" cm="1">
        <f t="array" ref="BC39">SQRT(SUMSQ($AU23:$AU32-AX23:AX32)/COUNTA($AU23:$AU32-AX23:AX32))</f>
        <v>95.643074992378899</v>
      </c>
      <c r="BD39" s="19" cm="1">
        <f t="array" ref="BD39">SQRT(SUMSQ($BD23:$BD32-BG23:BG32)/COUNTA($BD23:$BD32-BG23:BG32))</f>
        <v>58.876784441036733</v>
      </c>
      <c r="BU39" s="28" t="s">
        <v>121</v>
      </c>
      <c r="BV39" s="19" cm="1">
        <f t="array" ref="BV39">SQRT(SUMSQ($BN23:$BN32-BQ23:BQ32)/COUNTA($BN23:$BN32-BQ23:BQ32))</f>
        <v>655.28331117222422</v>
      </c>
      <c r="BW39" s="19" cm="1">
        <f t="array" ref="BW39">SQRT(SUMSQ($BD23:$BD26-BZ23:BZ26)/COUNTA($BD23:$BD26-BZ23:BZ26))</f>
        <v>156.05061905966915</v>
      </c>
    </row>
    <row r="40" spans="2:75" x14ac:dyDescent="0.3">
      <c r="BB40" s="29" t="s">
        <v>122</v>
      </c>
      <c r="BC40" s="19" cm="1">
        <f t="array" ref="BC40">SQRT(SUMSQ($AU23:$AU32-AY23:AY32)/COUNTA($AU23:$AU32-AY23:AY32))</f>
        <v>95.643074992379098</v>
      </c>
      <c r="BD40" s="19" cm="1">
        <f t="array" ref="BD40">SQRT(SUMSQ($BD23:$BD32-BH23:BH32)/COUNTA($BD23:$BD32-BH23:BH32))</f>
        <v>58.883217313620868</v>
      </c>
      <c r="BU40" s="29" t="s">
        <v>122</v>
      </c>
      <c r="BV40" s="19" cm="1">
        <f t="array" ref="BV40">SQRT(SUMSQ($BN23:$BN32-BR23:BR32)/COUNTA($BN23:$BN32-BR23:BR32))</f>
        <v>561.43345841069288</v>
      </c>
      <c r="BW40" s="19" cm="1">
        <f t="array" ref="BW40">SQRT(SUMSQ($BD23:$BD26-CA23:CA26)/COUNTA($BD23:$BD26-CA23:CA26))</f>
        <v>133.07996803888301</v>
      </c>
    </row>
    <row r="41" spans="2:75" x14ac:dyDescent="0.3">
      <c r="BB41" s="30" t="s">
        <v>123</v>
      </c>
      <c r="BC41" s="19" cm="1">
        <f t="array" ref="BC41">SQRT(SUMSQ($AU23:$AU32-AZ23:AZ32)/COUNTA($AU23:$AU32-AZ23:AZ32))</f>
        <v>95.655597380706979</v>
      </c>
      <c r="BD41" s="19" cm="1">
        <f t="array" ref="BD41">SQRT(SUMSQ($BD23:$BD32-BI23:BI32)/COUNTA($BD23:$BD32-BI23:BI32))</f>
        <v>58.906053097621303</v>
      </c>
      <c r="BU41" s="30" t="s">
        <v>123</v>
      </c>
      <c r="BV41" s="19" cm="1">
        <f t="array" ref="BV41">SQRT(SUMSQ($BN23:$BN32-BS23:BS32)/COUNTA($BN23:$BN32-BS23:BS32))</f>
        <v>385.17547353995178</v>
      </c>
      <c r="BW41" s="19" cm="1">
        <f t="array" ref="BW41">SQRT(SUMSQ($BD23:$BD26-CB23:CB26)/COUNTA($BD23:$BD26-CB23:CB26))</f>
        <v>84.958744713211914</v>
      </c>
    </row>
    <row r="42" spans="2:75" x14ac:dyDescent="0.3">
      <c r="BB42" s="26" t="s">
        <v>124</v>
      </c>
      <c r="BC42" s="19" cm="1">
        <f t="array" ref="BC42">SQRT(SUMSQ($AU23:$AU32-BA23:BA32)/COUNTA($AU23:$AU32-BA23:BA32))</f>
        <v>92.187688613865191</v>
      </c>
      <c r="BD42" s="19" cm="1">
        <f t="array" ref="BD42">SQRT(SUMSQ($BD23:$BD32-BJ23:BJ32)/COUNTA($BD23:$BD32-BJ23:BJ32))</f>
        <v>62.748358813111935</v>
      </c>
      <c r="BU42" s="26" t="s">
        <v>124</v>
      </c>
      <c r="BV42" s="19" cm="1">
        <f t="array" ref="BV42">SQRT(SUMSQ($BN23:$BN32-BT23:BT32)/COUNTA($BN23:$BN32-BT23:BT32))</f>
        <v>291.17065526394055</v>
      </c>
      <c r="BW42" s="19" cm="1">
        <f t="array" ref="BW42">SQRT(SUMSQ($BD23:$BD26-CC23:CC26)/COUNTA($BD23:$BD26-CC23:CC26))</f>
        <v>70.201493122626488</v>
      </c>
    </row>
    <row r="43" spans="2:75" x14ac:dyDescent="0.3">
      <c r="BB43" s="26" t="s">
        <v>125</v>
      </c>
      <c r="BC43" s="42" cm="1">
        <f t="array" ref="BC43">SQRT(SUMSQ($AU23:$AU32-BB23:BB32)/COUNTA($AU23:$AU32-BB23:BB32))</f>
        <v>54.547308018757334</v>
      </c>
      <c r="BD43" s="19" cm="1">
        <f t="array" ref="BD43">SQRT(SUMSQ($BD23:$BD32-BK23:BK32)/COUNTA($BD23:$BD32-BK23:BK32))</f>
        <v>56.153221366348497</v>
      </c>
      <c r="BU43" s="26" t="s">
        <v>125</v>
      </c>
      <c r="BV43" s="42" cm="1">
        <f t="array" ref="BV43">SQRT(SUMSQ($BN23:$BN32-BU23:BU32)/COUNTA($BN23:$BN32-BU23:BU32))</f>
        <v>45.440735382295252</v>
      </c>
      <c r="BW43" s="19" cm="1">
        <f t="array" ref="BW43">SQRT(SUMSQ($BD23:$BD26-CD23:CD26)/COUNTA($BD23:$BD26-CD23:CD26))</f>
        <v>39.386628979429346</v>
      </c>
    </row>
    <row r="44" spans="2:75" x14ac:dyDescent="0.3">
      <c r="B44">
        <v>0</v>
      </c>
      <c r="C44">
        <v>0</v>
      </c>
    </row>
    <row r="45" spans="2:75" x14ac:dyDescent="0.3">
      <c r="B45">
        <v>100</v>
      </c>
      <c r="C45">
        <v>100</v>
      </c>
    </row>
    <row r="50" spans="2:81" x14ac:dyDescent="0.3">
      <c r="B50" s="1" t="s">
        <v>83</v>
      </c>
      <c r="C50" s="1" t="s">
        <v>84</v>
      </c>
      <c r="H50" s="26" t="s">
        <v>83</v>
      </c>
      <c r="I50" s="1" t="s">
        <v>96</v>
      </c>
      <c r="M50" s="26" t="s">
        <v>83</v>
      </c>
      <c r="N50" s="1" t="s">
        <v>120</v>
      </c>
      <c r="Q50" s="26" t="s">
        <v>83</v>
      </c>
      <c r="R50" s="1" t="s">
        <v>121</v>
      </c>
      <c r="W50" s="26" t="s">
        <v>83</v>
      </c>
      <c r="X50" s="1" t="s">
        <v>122</v>
      </c>
      <c r="AB50" s="26" t="s">
        <v>83</v>
      </c>
      <c r="AC50" s="1" t="s">
        <v>123</v>
      </c>
      <c r="AI50" s="26" t="s">
        <v>83</v>
      </c>
      <c r="AJ50" s="1" t="s">
        <v>124</v>
      </c>
      <c r="AO50" s="26" t="s">
        <v>83</v>
      </c>
      <c r="AP50" s="1" t="s">
        <v>125</v>
      </c>
    </row>
    <row r="51" spans="2:81" x14ac:dyDescent="0.3">
      <c r="B51" s="18">
        <v>1</v>
      </c>
      <c r="C51" s="19" cm="1">
        <f t="array" ref="C51">SQRT(SUMSQ(B23:B32-C23:C32)/COUNTA(B23:B32-C23:C32))</f>
        <v>178.6287651406513</v>
      </c>
      <c r="H51" s="27">
        <v>1</v>
      </c>
      <c r="I51" s="19" cm="1">
        <f t="array" ref="I51">SQRT(SUMSQ($B23:$B32-H23:H32)/COUNTA($B23:$B32-H23:H32))</f>
        <v>561.28577546184704</v>
      </c>
      <c r="M51" s="27">
        <v>1</v>
      </c>
      <c r="N51" s="19" cm="1">
        <f t="array" ref="N51">SQRT(SUMSQ($B23:$B32-M23:M32)/COUNTA($B23:$B32-M23:M32))</f>
        <v>169.929174464428</v>
      </c>
      <c r="Q51" s="27">
        <v>1</v>
      </c>
      <c r="R51" s="19" cm="1">
        <f t="array" ref="R51">SQRT(SUMSQ($B23:$B32-R23:R32)/COUNTA($B23:$B32-R23:R32))</f>
        <v>55260.966447896782</v>
      </c>
      <c r="W51" s="27">
        <v>1</v>
      </c>
      <c r="X51" s="19" cm="1">
        <f t="array" ref="X51">SQRT(SUMSQ($B23:$B32-W23:W32)/COUNTA($B23:$B32-W23:W32))</f>
        <v>21251.547951040291</v>
      </c>
      <c r="AB51" s="27">
        <v>1</v>
      </c>
      <c r="AC51" s="19" cm="1">
        <f t="array" ref="AC51">SQRT(SUMSQ($B23:$B32-AC23:AC32)/COUNTA($B23:$B32-AC23:AC32))</f>
        <v>25879.520806891465</v>
      </c>
      <c r="AI51" s="27">
        <v>1</v>
      </c>
      <c r="AJ51" s="19" cm="1">
        <f t="array" ref="AJ51">SQRT(SUMSQ($B23:$B32-AI23:AI32)/COUNTA($B23:$B32-AI23:AI32))</f>
        <v>7959.9818326404156</v>
      </c>
      <c r="AO51" s="27">
        <v>1</v>
      </c>
      <c r="AP51" s="19" cm="1">
        <f t="array" ref="AP51">SQRT(SUMSQ($B23:$B26-AO23:AO26)/COUNTA($B23:$B26-AO23:AO26))</f>
        <v>44.368440193823908</v>
      </c>
      <c r="BQ51" s="1"/>
      <c r="BR51" s="1"/>
      <c r="BS51" s="1"/>
      <c r="BT51" s="1"/>
      <c r="BU51" s="1"/>
      <c r="BV51" s="1"/>
      <c r="BW51" s="1"/>
      <c r="CC51" s="1"/>
    </row>
    <row r="52" spans="2:81" x14ac:dyDescent="0.3">
      <c r="B52" s="20">
        <v>2</v>
      </c>
      <c r="C52" s="21" cm="1">
        <f t="array" ref="C52">SQRT(SUMSQ(B23:B32-D23:D32)/COUNTA(B23:B32-D23:D32))</f>
        <v>95.643148000160551</v>
      </c>
      <c r="D52" t="s">
        <v>85</v>
      </c>
      <c r="H52" s="28">
        <v>2</v>
      </c>
      <c r="I52" s="21" cm="1">
        <f t="array" ref="I52">SQRT(SUMSQ($B23:$B32-I23:I32)/COUNTA($B23:$B32-I23:I32))</f>
        <v>367.36068661320621</v>
      </c>
      <c r="J52" t="s">
        <v>85</v>
      </c>
      <c r="M52" s="28">
        <v>2</v>
      </c>
      <c r="N52" s="21" cm="1">
        <f t="array" ref="N52">SQRT(SUMSQ($B23:$B32-N23:N32)/COUNTA($B23:$B32-N23:N32))</f>
        <v>5607.5682238939071</v>
      </c>
      <c r="O52" t="s">
        <v>85</v>
      </c>
      <c r="Q52" s="28">
        <v>2</v>
      </c>
      <c r="R52" s="21" cm="1">
        <f t="array" ref="R52">SQRT(SUMSQ($B23:$B32-S23:S32)/COUNTA($B23:$B32-S23:S32))</f>
        <v>2381.8835308862685</v>
      </c>
      <c r="S52" t="s">
        <v>85</v>
      </c>
      <c r="W52" s="28">
        <v>2</v>
      </c>
      <c r="X52" s="21" cm="1">
        <f t="array" ref="X52">SQRT(SUMSQ($B23:$B32-X23:X32)/COUNTA($B23:$B32-X23:X32))</f>
        <v>12489.113070720859</v>
      </c>
      <c r="Y52" t="s">
        <v>85</v>
      </c>
      <c r="AB52" s="28">
        <v>2</v>
      </c>
      <c r="AC52" s="21" cm="1">
        <f t="array" ref="AC52">SQRT(SUMSQ($B23:$B32-AD23:AD32)/COUNTA($B23:$B32-AD23:AD32))</f>
        <v>15043.779492612006</v>
      </c>
      <c r="AD52" t="s">
        <v>85</v>
      </c>
      <c r="AI52" s="28">
        <v>2</v>
      </c>
      <c r="AJ52" s="21" cm="1">
        <f t="array" ref="AJ52">SQRT(SUMSQ($B23:$B32-AJ23:AJ32)/COUNTA($B23:$B32-AJ23:AJ32))</f>
        <v>2927.9011064770648</v>
      </c>
      <c r="AK52" t="s">
        <v>85</v>
      </c>
      <c r="AO52" s="28">
        <v>2</v>
      </c>
      <c r="AP52" s="21" cm="1">
        <f t="array" ref="AP52">SQRT(SUMSQ($B23:$B26-AP23:AP26)/COUNTA($B23:$B26-AP23:AP26))</f>
        <v>30.874720248046778</v>
      </c>
      <c r="AQ52" t="s">
        <v>85</v>
      </c>
      <c r="BQ52" s="1"/>
      <c r="BR52" s="55"/>
      <c r="BS52" s="55"/>
      <c r="BT52" s="55"/>
      <c r="BU52" s="55"/>
      <c r="BV52" s="55"/>
      <c r="BW52" s="55"/>
      <c r="CC52" s="16"/>
    </row>
    <row r="53" spans="2:81" x14ac:dyDescent="0.3">
      <c r="B53" s="22">
        <v>3</v>
      </c>
      <c r="C53" s="17" cm="1">
        <f t="array" ref="C53">SQRT(SUMSQ(B23:B32-E23:E32)/COUNTA(B23:B32-E23:E32))</f>
        <v>58.897437195185383</v>
      </c>
      <c r="D53" t="s">
        <v>86</v>
      </c>
      <c r="H53" s="29">
        <v>3</v>
      </c>
      <c r="I53" s="17" cm="1">
        <f t="array" ref="I53">SQRT(SUMSQ($B23:$B32-J23:J32)/COUNTA($B23:$B32-J23:J32))</f>
        <v>272.21823242843766</v>
      </c>
      <c r="J53" t="s">
        <v>86</v>
      </c>
      <c r="M53" s="29">
        <v>3</v>
      </c>
      <c r="N53" s="36" cm="1">
        <f t="array" ref="N53">SQRT(SUMSQ($B23:$B32-O23:O32)/COUNTA($B23:$B32-O23:O32))</f>
        <v>3550363227793548.5</v>
      </c>
      <c r="O53" t="s">
        <v>86</v>
      </c>
      <c r="Q53" s="29">
        <v>3</v>
      </c>
      <c r="R53" s="17" cm="1">
        <f t="array" ref="R53">SQRT(SUMSQ($B23:$B32-T23:T32)/COUNTA($B23:$B32-T23:T32))</f>
        <v>2433.4032564683534</v>
      </c>
      <c r="S53" t="s">
        <v>86</v>
      </c>
      <c r="W53" s="29">
        <v>3</v>
      </c>
      <c r="X53" s="17" cm="1">
        <f t="array" ref="X53">SQRT(SUMSQ($B23:$B32-Y23:Y32)/COUNTA($B23:$B32-Y23:Y32))</f>
        <v>1760.5395406588045</v>
      </c>
      <c r="Y53" t="s">
        <v>86</v>
      </c>
      <c r="AB53" s="29">
        <v>3</v>
      </c>
      <c r="AC53" s="17" cm="1">
        <f t="array" ref="AC53">SQRT(SUMSQ($B23:$B32-AE23:AE32)/COUNTA($B23:$B32-AE23:AE32))</f>
        <v>301.51799021431998</v>
      </c>
      <c r="AD53" t="s">
        <v>86</v>
      </c>
      <c r="AI53" s="29">
        <v>3</v>
      </c>
      <c r="AJ53" s="17" cm="1">
        <f t="array" ref="AJ53">SQRT(SUMSQ($B23:$B32-AK23:AK32)/COUNTA($B23:$B32-AK23:AK32))</f>
        <v>1.5585980577332096E+78</v>
      </c>
      <c r="AK53" t="s">
        <v>86</v>
      </c>
      <c r="AO53" s="29">
        <v>3</v>
      </c>
      <c r="AP53" s="17" cm="1">
        <f t="array" ref="AP53">SQRT(SUMSQ($B23:$B26-AQ23:AQ26)/COUNTA($B23:$B26-AQ23:AQ26))</f>
        <v>35.883958869425982</v>
      </c>
      <c r="AQ53" t="s">
        <v>86</v>
      </c>
      <c r="BQ53" s="1"/>
      <c r="BR53" s="55"/>
      <c r="BS53" s="55"/>
      <c r="BT53" s="55"/>
      <c r="BU53" s="55"/>
      <c r="BV53" s="55"/>
      <c r="BW53" s="55"/>
      <c r="CC53" s="16"/>
    </row>
    <row r="54" spans="2:81" x14ac:dyDescent="0.3">
      <c r="D54" s="1"/>
      <c r="E54" s="16"/>
      <c r="H54" s="26"/>
      <c r="I54" s="16"/>
      <c r="M54" s="30"/>
      <c r="N54" s="23"/>
      <c r="V54" s="16"/>
      <c r="W54" s="26"/>
      <c r="X54" s="16"/>
      <c r="AG54" s="26"/>
      <c r="AH54" s="16"/>
      <c r="AI54" s="26"/>
      <c r="AJ54" s="16"/>
      <c r="AO54" s="26"/>
      <c r="AP54" s="16"/>
      <c r="BQ54" s="1"/>
      <c r="BR54" s="55"/>
      <c r="BS54" s="55"/>
      <c r="BT54" s="55"/>
      <c r="BU54" s="55"/>
      <c r="BV54" s="55"/>
      <c r="BW54" s="55"/>
      <c r="CC54" s="16"/>
    </row>
    <row r="55" spans="2:81" x14ac:dyDescent="0.3">
      <c r="BQ55" s="1"/>
      <c r="BR55" s="55"/>
      <c r="BS55" s="55"/>
      <c r="BT55" s="55"/>
      <c r="BU55" s="55"/>
      <c r="BV55" s="55"/>
      <c r="BW55" s="55"/>
      <c r="CC55" s="16"/>
    </row>
    <row r="56" spans="2:81" x14ac:dyDescent="0.3">
      <c r="BQ56" s="1"/>
      <c r="BR56" s="55"/>
      <c r="BS56" s="55"/>
      <c r="BT56" s="55"/>
      <c r="BU56" s="55"/>
      <c r="BV56" s="55"/>
      <c r="BW56" s="55"/>
      <c r="CC56" s="16"/>
    </row>
    <row r="57" spans="2:81" x14ac:dyDescent="0.3">
      <c r="CC57" s="16"/>
    </row>
    <row r="105" spans="49:55" x14ac:dyDescent="0.3">
      <c r="AX105" s="56"/>
      <c r="AY105" s="56"/>
      <c r="AZ105" s="56"/>
      <c r="BA105" s="56"/>
      <c r="BB105" s="56"/>
      <c r="BC105" s="56"/>
    </row>
    <row r="106" spans="49:55" x14ac:dyDescent="0.3">
      <c r="AW106" s="1"/>
      <c r="AX106" s="1"/>
      <c r="AY106" s="1"/>
      <c r="AZ106" s="1"/>
      <c r="BA106" s="1"/>
      <c r="BB106" s="1"/>
      <c r="BC106" s="1"/>
    </row>
    <row r="107" spans="49:55" x14ac:dyDescent="0.3">
      <c r="AW107" s="1"/>
      <c r="AX107" s="55"/>
      <c r="AY107" s="55"/>
      <c r="AZ107" s="55"/>
      <c r="BA107" s="55"/>
      <c r="BB107" s="55"/>
      <c r="BC107" s="55"/>
    </row>
    <row r="108" spans="49:55" x14ac:dyDescent="0.3">
      <c r="AW108" s="1"/>
      <c r="AX108" s="55"/>
      <c r="AY108" s="55"/>
      <c r="AZ108" s="55"/>
      <c r="BA108" s="55"/>
      <c r="BB108" s="55"/>
      <c r="BC108" s="55"/>
    </row>
    <row r="109" spans="49:55" x14ac:dyDescent="0.3">
      <c r="AW109" s="1"/>
      <c r="AX109" s="55"/>
      <c r="AY109" s="55"/>
      <c r="AZ109" s="55"/>
      <c r="BA109" s="55"/>
      <c r="BB109" s="55"/>
      <c r="BC109" s="55"/>
    </row>
    <row r="110" spans="49:55" x14ac:dyDescent="0.3">
      <c r="AW110" s="1"/>
      <c r="AX110" s="55"/>
      <c r="AY110" s="55"/>
      <c r="AZ110" s="55"/>
      <c r="BA110" s="55"/>
      <c r="BB110" s="55"/>
      <c r="BC110" s="55"/>
    </row>
    <row r="111" spans="49:55" x14ac:dyDescent="0.3">
      <c r="AW111" s="1"/>
      <c r="AX111" s="55"/>
      <c r="AY111" s="55"/>
      <c r="AZ111" s="55"/>
      <c r="BA111" s="55"/>
      <c r="BB111" s="55"/>
      <c r="BC111" s="55"/>
    </row>
  </sheetData>
  <mergeCells count="10">
    <mergeCell ref="AX105:BC105"/>
    <mergeCell ref="AH21:AK21"/>
    <mergeCell ref="AS1:AX1"/>
    <mergeCell ref="AQ1:AR1"/>
    <mergeCell ref="AN21:AQ21"/>
    <mergeCell ref="B21:E21"/>
    <mergeCell ref="V21:X21"/>
    <mergeCell ref="Q21:T21"/>
    <mergeCell ref="L21:O21"/>
    <mergeCell ref="G21:J2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94053-825F-44F8-8B32-58C511E38E44}">
  <dimension ref="A1:K14"/>
  <sheetViews>
    <sheetView workbookViewId="0">
      <selection activeCell="C25" sqref="C25"/>
    </sheetView>
  </sheetViews>
  <sheetFormatPr defaultRowHeight="14.4" x14ac:dyDescent="0.3"/>
  <cols>
    <col min="2" max="2" width="16.6640625" customWidth="1"/>
    <col min="3" max="3" width="20.5546875" customWidth="1"/>
    <col min="4" max="4" width="16.109375" customWidth="1"/>
    <col min="5" max="5" width="16.33203125" customWidth="1"/>
    <col min="6" max="6" width="15.5546875" customWidth="1"/>
    <col min="7" max="7" width="18.6640625" customWidth="1"/>
    <col min="8" max="8" width="15.33203125" customWidth="1"/>
    <col min="9" max="9" width="15.44140625" customWidth="1"/>
    <col min="10" max="10" width="13" customWidth="1"/>
    <col min="11" max="11" width="14.33203125" customWidth="1"/>
  </cols>
  <sheetData>
    <row r="1" spans="1:11" x14ac:dyDescent="0.3">
      <c r="A1" s="1"/>
      <c r="B1" s="56" t="s">
        <v>37</v>
      </c>
      <c r="C1" s="56"/>
      <c r="D1" s="56"/>
      <c r="E1" s="56"/>
      <c r="F1" s="56"/>
      <c r="G1" s="56"/>
    </row>
    <row r="2" spans="1:11" x14ac:dyDescent="0.3">
      <c r="A2" s="1"/>
      <c r="B2" s="1" t="s">
        <v>38</v>
      </c>
      <c r="C2" s="1" t="s">
        <v>39</v>
      </c>
      <c r="D2" s="3" t="s">
        <v>40</v>
      </c>
      <c r="E2" s="3" t="s">
        <v>41</v>
      </c>
      <c r="F2" s="1" t="s">
        <v>42</v>
      </c>
      <c r="G2" s="1" t="s">
        <v>43</v>
      </c>
    </row>
    <row r="3" spans="1:11" x14ac:dyDescent="0.3">
      <c r="A3" s="1" t="s">
        <v>44</v>
      </c>
      <c r="B3" s="1">
        <v>0.57699999999999996</v>
      </c>
      <c r="C3" s="1">
        <v>0.57599999999999996</v>
      </c>
      <c r="D3" s="3">
        <v>0.68300000000000005</v>
      </c>
      <c r="E3" s="3">
        <v>0.68289999999999995</v>
      </c>
      <c r="F3" s="1">
        <v>0.2034</v>
      </c>
      <c r="G3" s="1">
        <v>0.20330000000000001</v>
      </c>
    </row>
    <row r="4" spans="1:11" x14ac:dyDescent="0.3">
      <c r="A4" s="1" t="s">
        <v>45</v>
      </c>
      <c r="B4" s="1">
        <v>0.55300000000000005</v>
      </c>
      <c r="C4" s="1">
        <v>0.55200000000000005</v>
      </c>
      <c r="D4" s="10">
        <v>0.68540000000000001</v>
      </c>
      <c r="E4" s="11">
        <v>0.68520000000000003</v>
      </c>
      <c r="F4" s="1">
        <v>0.20580000000000001</v>
      </c>
      <c r="G4" s="1">
        <v>0.20569999999999999</v>
      </c>
    </row>
    <row r="5" spans="1:11" x14ac:dyDescent="0.3">
      <c r="A5" s="1" t="s">
        <v>46</v>
      </c>
      <c r="B5" s="1">
        <v>0.56720000000000004</v>
      </c>
      <c r="C5" s="1">
        <v>0.56669999999999998</v>
      </c>
      <c r="D5" s="3">
        <v>0.65639999999999998</v>
      </c>
      <c r="E5" s="3">
        <v>0.65639999999999998</v>
      </c>
      <c r="F5" s="1">
        <v>0.1973</v>
      </c>
      <c r="G5" s="1">
        <v>0.1973</v>
      </c>
    </row>
    <row r="6" spans="1:11" x14ac:dyDescent="0.3">
      <c r="A6" s="1"/>
      <c r="B6" s="1"/>
      <c r="C6" s="1"/>
      <c r="D6" s="1"/>
      <c r="E6" s="1"/>
      <c r="F6" s="1"/>
      <c r="G6" s="1"/>
    </row>
    <row r="7" spans="1:11" x14ac:dyDescent="0.3">
      <c r="B7" s="58" t="s">
        <v>47</v>
      </c>
      <c r="C7" s="56"/>
      <c r="D7" s="56"/>
      <c r="E7" s="59"/>
      <c r="F7" s="58" t="s">
        <v>48</v>
      </c>
      <c r="G7" s="56"/>
      <c r="H7" s="56"/>
      <c r="I7" s="56"/>
      <c r="J7" s="56"/>
      <c r="K7" s="59"/>
    </row>
    <row r="8" spans="1:11" x14ac:dyDescent="0.3">
      <c r="A8" s="1"/>
      <c r="B8" s="6" t="s">
        <v>49</v>
      </c>
      <c r="C8" s="1" t="s">
        <v>50</v>
      </c>
      <c r="D8" s="1" t="s">
        <v>51</v>
      </c>
      <c r="E8" s="7" t="s">
        <v>52</v>
      </c>
      <c r="F8" s="6" t="s">
        <v>49</v>
      </c>
      <c r="G8" s="1" t="s">
        <v>50</v>
      </c>
      <c r="H8" s="1" t="s">
        <v>53</v>
      </c>
      <c r="I8" s="1" t="s">
        <v>54</v>
      </c>
      <c r="J8" s="1" t="s">
        <v>51</v>
      </c>
      <c r="K8" s="7" t="s">
        <v>52</v>
      </c>
    </row>
    <row r="9" spans="1:11" x14ac:dyDescent="0.3">
      <c r="A9" s="1" t="s">
        <v>55</v>
      </c>
      <c r="B9" s="6">
        <v>2.7E-2</v>
      </c>
      <c r="C9" s="1">
        <v>3.3000000000000002E-2</v>
      </c>
      <c r="D9" s="1">
        <v>1.7500000000000002E-2</v>
      </c>
      <c r="E9" s="7">
        <v>2.0400000000000001E-2</v>
      </c>
      <c r="F9" s="6">
        <v>0.68300000000000005</v>
      </c>
      <c r="G9" s="1">
        <v>0.57879999999999998</v>
      </c>
      <c r="H9" s="1">
        <v>0.68540000000000001</v>
      </c>
      <c r="I9" s="1">
        <v>0.58389999999999997</v>
      </c>
      <c r="J9" s="1">
        <v>0.65639999999999998</v>
      </c>
      <c r="K9" s="7">
        <v>0.60699999999999998</v>
      </c>
    </row>
    <row r="10" spans="1:11" x14ac:dyDescent="0.3">
      <c r="A10" s="1" t="s">
        <v>56</v>
      </c>
      <c r="B10" s="6">
        <v>1.21E-2</v>
      </c>
      <c r="C10" s="1">
        <v>5.7000000000000002E-2</v>
      </c>
      <c r="D10" s="1">
        <v>3.0700000000000002E-2</v>
      </c>
      <c r="E10" s="7">
        <v>0.1037</v>
      </c>
      <c r="F10" s="9">
        <v>0.68300000000000005</v>
      </c>
      <c r="G10" s="3">
        <v>0.57869999999999999</v>
      </c>
      <c r="H10" s="3">
        <v>0.68540000000000001</v>
      </c>
      <c r="I10" s="3">
        <v>0.58399999999999996</v>
      </c>
      <c r="J10" s="3">
        <v>0.65639999999999998</v>
      </c>
      <c r="K10" s="8">
        <v>0.60660000000000003</v>
      </c>
    </row>
    <row r="11" spans="1:11" x14ac:dyDescent="0.3">
      <c r="A11" s="3" t="s">
        <v>57</v>
      </c>
      <c r="B11" s="9">
        <v>0.45610000000000001</v>
      </c>
      <c r="C11" s="1">
        <v>0.44900000000000001</v>
      </c>
      <c r="D11" s="3">
        <v>0.51060000000000005</v>
      </c>
      <c r="E11" s="7">
        <v>0.51239999999999997</v>
      </c>
      <c r="F11" s="6">
        <v>0.67349999999999999</v>
      </c>
      <c r="G11" s="1">
        <v>0.53559999999999997</v>
      </c>
      <c r="H11" s="1">
        <v>0.67500000000000004</v>
      </c>
      <c r="I11" s="1">
        <v>0.53790000000000004</v>
      </c>
      <c r="J11" s="1">
        <v>0.65439999999999998</v>
      </c>
      <c r="K11" s="7">
        <v>0.56930000000000003</v>
      </c>
    </row>
    <row r="12" spans="1:11" x14ac:dyDescent="0.3">
      <c r="A12" s="3" t="s">
        <v>58</v>
      </c>
      <c r="B12" s="9">
        <v>0.54339999999999999</v>
      </c>
      <c r="C12" s="3">
        <v>0.50139999999999996</v>
      </c>
      <c r="D12" s="3">
        <v>0.58479999999999999</v>
      </c>
      <c r="E12" s="8">
        <v>0.54890000000000005</v>
      </c>
      <c r="F12" s="6">
        <v>0.56969999999999998</v>
      </c>
      <c r="G12" s="1">
        <v>0.44779999999999998</v>
      </c>
      <c r="H12" s="1">
        <v>0.57520000000000004</v>
      </c>
      <c r="I12" s="1">
        <v>0.46210000000000001</v>
      </c>
      <c r="J12" s="1">
        <v>0.61250000000000004</v>
      </c>
      <c r="K12" s="7">
        <v>0.50790000000000002</v>
      </c>
    </row>
    <row r="13" spans="1:11" x14ac:dyDescent="0.3">
      <c r="A13" s="1" t="s">
        <v>59</v>
      </c>
      <c r="B13" s="6">
        <v>0.36980000000000002</v>
      </c>
      <c r="C13" s="3">
        <v>0.50829999999999997</v>
      </c>
      <c r="D13" s="1">
        <v>0.44440000000000002</v>
      </c>
      <c r="E13" s="8">
        <v>0.53139999999999998</v>
      </c>
      <c r="F13" s="6">
        <v>0.62539999999999996</v>
      </c>
      <c r="G13" s="1">
        <v>0.28749999999999998</v>
      </c>
      <c r="H13" s="1">
        <v>0.62919999999999998</v>
      </c>
      <c r="I13" s="1">
        <v>0.30859999999999999</v>
      </c>
      <c r="J13" s="1">
        <v>0.62819999999999998</v>
      </c>
      <c r="K13" s="7">
        <v>0.34050000000000002</v>
      </c>
    </row>
    <row r="14" spans="1:11" x14ac:dyDescent="0.3">
      <c r="A14" s="1" t="s">
        <v>60</v>
      </c>
      <c r="B14" s="6">
        <v>0.43440000000000001</v>
      </c>
      <c r="C14" s="1">
        <v>0.3034</v>
      </c>
      <c r="D14" s="1">
        <v>0.435</v>
      </c>
      <c r="E14" s="7">
        <v>0.2422</v>
      </c>
      <c r="F14" s="6">
        <v>6.8500000000000005E-2</v>
      </c>
      <c r="G14" s="1">
        <v>0.1012</v>
      </c>
      <c r="H14" s="1">
        <v>7.5700000000000003E-2</v>
      </c>
      <c r="I14" s="1">
        <v>0.1135</v>
      </c>
      <c r="J14" s="1">
        <v>8.9499999999999996E-2</v>
      </c>
      <c r="K14" s="7">
        <v>0.12989999999999999</v>
      </c>
    </row>
  </sheetData>
  <mergeCells count="3">
    <mergeCell ref="B1:G1"/>
    <mergeCell ref="B7:E7"/>
    <mergeCell ref="F7:K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1D157-6BBB-47F7-AC96-7DF3592F224F}">
  <dimension ref="A1:G14"/>
  <sheetViews>
    <sheetView topLeftCell="A2" workbookViewId="0">
      <selection activeCell="D20" sqref="D20"/>
    </sheetView>
  </sheetViews>
  <sheetFormatPr defaultRowHeight="14.4" x14ac:dyDescent="0.3"/>
  <cols>
    <col min="2" max="2" width="15.6640625" customWidth="1"/>
    <col min="3" max="3" width="16.6640625" customWidth="1"/>
    <col min="4" max="4" width="15.33203125" customWidth="1"/>
    <col min="5" max="5" width="15.6640625" customWidth="1"/>
    <col min="6" max="6" width="13.33203125" customWidth="1"/>
    <col min="7" max="7" width="12" customWidth="1"/>
  </cols>
  <sheetData>
    <row r="1" spans="1:7" x14ac:dyDescent="0.3">
      <c r="A1" s="1"/>
      <c r="B1" s="56" t="s">
        <v>21</v>
      </c>
      <c r="C1" s="56"/>
      <c r="D1" s="56" t="s">
        <v>20</v>
      </c>
      <c r="E1" s="56"/>
      <c r="F1" s="56" t="s">
        <v>11</v>
      </c>
      <c r="G1" s="56"/>
    </row>
    <row r="2" spans="1:7" x14ac:dyDescent="0.3">
      <c r="A2" s="1" t="s">
        <v>14</v>
      </c>
      <c r="B2" s="1" t="s">
        <v>9</v>
      </c>
      <c r="C2" s="1" t="s">
        <v>10</v>
      </c>
      <c r="D2" s="1" t="s">
        <v>9</v>
      </c>
      <c r="E2" s="1" t="s">
        <v>10</v>
      </c>
      <c r="F2" s="1" t="s">
        <v>12</v>
      </c>
      <c r="G2" s="1" t="s">
        <v>13</v>
      </c>
    </row>
    <row r="3" spans="1:7" x14ac:dyDescent="0.3">
      <c r="A3" s="1" t="s">
        <v>4</v>
      </c>
      <c r="B3" s="1">
        <v>7.0800000000000002E-2</v>
      </c>
      <c r="C3" s="1">
        <v>0.63100000000000001</v>
      </c>
      <c r="D3" s="1">
        <v>0.17879999999999999</v>
      </c>
      <c r="E3" s="1">
        <v>1.6488</v>
      </c>
      <c r="F3" s="1">
        <v>90</v>
      </c>
    </row>
    <row r="4" spans="1:7" x14ac:dyDescent="0.3">
      <c r="A4" s="1" t="s">
        <v>5</v>
      </c>
      <c r="B4" s="1">
        <v>4.87E-2</v>
      </c>
      <c r="C4" s="1">
        <v>0.63100000000000001</v>
      </c>
      <c r="D4" s="1">
        <v>4.87E-2</v>
      </c>
      <c r="E4" s="1">
        <v>2.6674000000000002</v>
      </c>
      <c r="F4" s="1">
        <v>90</v>
      </c>
    </row>
    <row r="5" spans="1:7" x14ac:dyDescent="0.3">
      <c r="A5" s="1" t="s">
        <v>6</v>
      </c>
      <c r="B5" s="1">
        <v>6.7999999999999996E-3</v>
      </c>
      <c r="C5" s="1">
        <v>0.63100000000000001</v>
      </c>
      <c r="D5" s="1">
        <v>7.6E-3</v>
      </c>
      <c r="E5" s="1">
        <v>2.2389999999999999</v>
      </c>
      <c r="F5" s="1">
        <v>45</v>
      </c>
    </row>
    <row r="6" spans="1:7" x14ac:dyDescent="0.3">
      <c r="A6" s="1" t="s">
        <v>7</v>
      </c>
      <c r="B6" s="1">
        <v>1.5E-3</v>
      </c>
      <c r="C6" s="1">
        <v>0.63100000000000001</v>
      </c>
      <c r="D6" s="1">
        <v>1.5E-3</v>
      </c>
      <c r="E6" s="1">
        <v>1.9089</v>
      </c>
      <c r="F6" s="1">
        <v>64</v>
      </c>
    </row>
    <row r="7" spans="1:7" x14ac:dyDescent="0.3">
      <c r="A7" s="1" t="s">
        <v>8</v>
      </c>
      <c r="B7" s="1">
        <v>4.9599999999999998E-2</v>
      </c>
      <c r="C7" s="1">
        <v>0.63100000000000001</v>
      </c>
      <c r="D7" s="1">
        <v>5.0099999999999999E-2</v>
      </c>
      <c r="E7" s="1">
        <v>1.5485</v>
      </c>
      <c r="F7" s="1">
        <v>90</v>
      </c>
    </row>
    <row r="9" spans="1:7" x14ac:dyDescent="0.3">
      <c r="A9" s="1"/>
      <c r="B9" s="56" t="s">
        <v>21</v>
      </c>
      <c r="C9" s="56"/>
      <c r="D9" s="56" t="s">
        <v>20</v>
      </c>
      <c r="E9" s="56"/>
      <c r="F9" s="56" t="s">
        <v>11</v>
      </c>
      <c r="G9" s="56"/>
    </row>
    <row r="10" spans="1:7" x14ac:dyDescent="0.3">
      <c r="A10" s="1" t="s">
        <v>15</v>
      </c>
      <c r="B10" s="1" t="s">
        <v>9</v>
      </c>
      <c r="C10" s="1" t="s">
        <v>10</v>
      </c>
      <c r="D10" s="1" t="s">
        <v>9</v>
      </c>
      <c r="E10" s="1" t="s">
        <v>10</v>
      </c>
      <c r="F10" s="1" t="s">
        <v>12</v>
      </c>
      <c r="G10" s="1" t="s">
        <v>13</v>
      </c>
    </row>
    <row r="11" spans="1:7" x14ac:dyDescent="0.3">
      <c r="A11" s="1" t="s">
        <v>16</v>
      </c>
      <c r="B11" s="1">
        <v>3.1600000000000003E-2</v>
      </c>
      <c r="C11" s="1">
        <v>0.79430000000000001</v>
      </c>
      <c r="D11" s="1">
        <v>4.4400000000000002E-2</v>
      </c>
      <c r="E11" s="1">
        <v>2.4293999999999998</v>
      </c>
      <c r="F11" s="1"/>
      <c r="G11" s="1"/>
    </row>
    <row r="12" spans="1:7" x14ac:dyDescent="0.3">
      <c r="A12" s="1" t="s">
        <v>17</v>
      </c>
      <c r="B12" s="1"/>
      <c r="C12" s="1"/>
      <c r="D12" s="1"/>
      <c r="E12" s="1"/>
      <c r="F12" s="1"/>
      <c r="G12" s="1"/>
    </row>
    <row r="13" spans="1:7" x14ac:dyDescent="0.3">
      <c r="A13" s="1" t="s">
        <v>18</v>
      </c>
      <c r="B13" s="1">
        <v>3.1600000000000003E-2</v>
      </c>
      <c r="C13" s="1">
        <v>0.79430000000000001</v>
      </c>
      <c r="D13" s="1">
        <v>3.61E-2</v>
      </c>
      <c r="E13" s="1">
        <v>2.1450999999999998</v>
      </c>
      <c r="G13" s="1"/>
    </row>
    <row r="14" spans="1:7" x14ac:dyDescent="0.3">
      <c r="A14" s="1" t="s">
        <v>19</v>
      </c>
      <c r="B14" s="1">
        <v>8.0000000000000004E-4</v>
      </c>
      <c r="C14" s="1">
        <v>0.10780000000000001</v>
      </c>
      <c r="D14" s="1">
        <v>8.0000000000000004E-4</v>
      </c>
      <c r="E14" s="1">
        <v>0.1079</v>
      </c>
      <c r="F14" s="1"/>
      <c r="G14" s="1"/>
    </row>
  </sheetData>
  <mergeCells count="6">
    <mergeCell ref="B1:C1"/>
    <mergeCell ref="F1:G1"/>
    <mergeCell ref="B9:C9"/>
    <mergeCell ref="F9:G9"/>
    <mergeCell ref="D1:E1"/>
    <mergeCell ref="D9:E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hilbert envelope</vt:lpstr>
      <vt:lpstr>validation</vt:lpstr>
      <vt:lpstr>r2</vt:lpstr>
      <vt:lpstr>floods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Hucke</dc:creator>
  <cp:lastModifiedBy>Hucke Nunez, Nicole (huck4481@vandals.uidaho.edu)</cp:lastModifiedBy>
  <dcterms:created xsi:type="dcterms:W3CDTF">2015-06-05T18:17:20Z</dcterms:created>
  <dcterms:modified xsi:type="dcterms:W3CDTF">2025-11-15T02:00:15Z</dcterms:modified>
</cp:coreProperties>
</file>