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3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"/>
    </mc:Choice>
  </mc:AlternateContent>
  <xr:revisionPtr revIDLastSave="0" documentId="13_ncr:1_{8064FB4A-1EBB-4B1B-B380-9CF56308611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ilbert envelope" sheetId="1" r:id="rId1"/>
    <sheet name="validation" sheetId="6" r:id="rId2"/>
    <sheet name="r2" sheetId="5" r:id="rId3"/>
    <sheet name="flood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" l="1"/>
  <c r="B87" i="6"/>
  <c r="C87" i="6"/>
  <c r="D87" i="6"/>
  <c r="E87" i="6"/>
  <c r="F87" i="6"/>
  <c r="R87" i="6" s="1"/>
  <c r="G87" i="6"/>
  <c r="O87" i="6" s="1"/>
  <c r="M87" i="6"/>
  <c r="N87" i="6"/>
  <c r="S87" i="6"/>
  <c r="S112" i="6" s="1" a="1"/>
  <c r="S112" i="6" s="1"/>
  <c r="T87" i="6"/>
  <c r="S113" i="6" s="1" a="1"/>
  <c r="S113" i="6" s="1"/>
  <c r="X112" i="6" a="1"/>
  <c r="X112" i="6" s="1"/>
  <c r="X111" i="6" a="1"/>
  <c r="X111" i="6" s="1"/>
  <c r="X113" i="6" a="1"/>
  <c r="X113" i="6" s="1"/>
  <c r="T83" i="6"/>
  <c r="T84" i="6"/>
  <c r="T85" i="6"/>
  <c r="T86" i="6"/>
  <c r="T88" i="6"/>
  <c r="T89" i="6"/>
  <c r="T90" i="6"/>
  <c r="T91" i="6"/>
  <c r="T82" i="6"/>
  <c r="S82" i="6"/>
  <c r="R89" i="6"/>
  <c r="R84" i="6"/>
  <c r="S83" i="6"/>
  <c r="S84" i="6"/>
  <c r="S85" i="6"/>
  <c r="S86" i="6"/>
  <c r="S88" i="6"/>
  <c r="S89" i="6"/>
  <c r="S90" i="6"/>
  <c r="S91" i="6"/>
  <c r="R82" i="6"/>
  <c r="R83" i="6"/>
  <c r="R85" i="6"/>
  <c r="R86" i="6"/>
  <c r="R88" i="6"/>
  <c r="R90" i="6"/>
  <c r="R91" i="6"/>
  <c r="O83" i="6"/>
  <c r="O84" i="6"/>
  <c r="O85" i="6"/>
  <c r="O86" i="6"/>
  <c r="O88" i="6"/>
  <c r="O89" i="6"/>
  <c r="O90" i="6"/>
  <c r="O91" i="6"/>
  <c r="O82" i="6"/>
  <c r="N83" i="6"/>
  <c r="N84" i="6"/>
  <c r="N85" i="6"/>
  <c r="N86" i="6"/>
  <c r="N88" i="6"/>
  <c r="N89" i="6"/>
  <c r="N90" i="6"/>
  <c r="N91" i="6"/>
  <c r="N82" i="6"/>
  <c r="M83" i="6"/>
  <c r="M84" i="6"/>
  <c r="M85" i="6"/>
  <c r="M86" i="6"/>
  <c r="M88" i="6"/>
  <c r="M89" i="6"/>
  <c r="M90" i="6"/>
  <c r="M91" i="6"/>
  <c r="M82" i="6"/>
  <c r="C82" i="6"/>
  <c r="D82" i="6"/>
  <c r="E82" i="6"/>
  <c r="F82" i="6"/>
  <c r="G82" i="6"/>
  <c r="C83" i="6"/>
  <c r="D83" i="6"/>
  <c r="E83" i="6"/>
  <c r="F83" i="6"/>
  <c r="G83" i="6"/>
  <c r="C84" i="6"/>
  <c r="D84" i="6"/>
  <c r="E84" i="6"/>
  <c r="F84" i="6"/>
  <c r="G84" i="6"/>
  <c r="C85" i="6"/>
  <c r="D85" i="6"/>
  <c r="E85" i="6"/>
  <c r="F85" i="6"/>
  <c r="G85" i="6"/>
  <c r="B83" i="6"/>
  <c r="B84" i="6"/>
  <c r="B85" i="6"/>
  <c r="B82" i="6"/>
  <c r="G91" i="6"/>
  <c r="C86" i="6"/>
  <c r="D86" i="6"/>
  <c r="E86" i="6"/>
  <c r="F86" i="6"/>
  <c r="G86" i="6"/>
  <c r="C88" i="6"/>
  <c r="D88" i="6"/>
  <c r="E88" i="6"/>
  <c r="F88" i="6"/>
  <c r="G88" i="6"/>
  <c r="C89" i="6"/>
  <c r="D89" i="6"/>
  <c r="E89" i="6"/>
  <c r="F89" i="6"/>
  <c r="G89" i="6"/>
  <c r="C90" i="6"/>
  <c r="D90" i="6"/>
  <c r="E90" i="6"/>
  <c r="F90" i="6"/>
  <c r="G90" i="6"/>
  <c r="C91" i="6"/>
  <c r="D91" i="6"/>
  <c r="E91" i="6"/>
  <c r="F91" i="6"/>
  <c r="B91" i="6"/>
  <c r="B90" i="6"/>
  <c r="B88" i="6"/>
  <c r="B89" i="6"/>
  <c r="B86" i="6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J53" i="6" a="1"/>
  <c r="AJ53" i="6" s="1"/>
  <c r="AW5" i="6" s="1"/>
  <c r="AX5" i="6"/>
  <c r="AX3" i="6"/>
  <c r="AW3" i="6"/>
  <c r="AX4" i="6"/>
  <c r="AS3" i="6"/>
  <c r="AR3" i="6"/>
  <c r="AQ3" i="6"/>
  <c r="BB29" i="6"/>
  <c r="AW23" i="6"/>
  <c r="AQ32" i="6"/>
  <c r="AP32" i="6"/>
  <c r="AO32" i="6"/>
  <c r="Y27" i="6"/>
  <c r="X27" i="6"/>
  <c r="I10" i="6"/>
  <c r="W27" i="6"/>
  <c r="J23" i="6"/>
  <c r="I23" i="6"/>
  <c r="H23" i="6"/>
  <c r="E23" i="6"/>
  <c r="D23" i="6"/>
  <c r="C23" i="6"/>
  <c r="F15" i="6"/>
  <c r="N112" i="6" l="1" a="1"/>
  <c r="N112" i="6" s="1"/>
  <c r="S111" i="6" a="1"/>
  <c r="S111" i="6" s="1"/>
  <c r="N113" i="6" a="1"/>
  <c r="N113" i="6" s="1"/>
  <c r="N111" i="6" a="1"/>
  <c r="N111" i="6" s="1"/>
  <c r="AY3" i="6" s="1" a="1"/>
  <c r="AY3" i="6" s="1"/>
  <c r="I11" i="6"/>
  <c r="C29" i="6"/>
  <c r="C30" i="6"/>
  <c r="K11" i="6"/>
  <c r="M28" i="6" s="1"/>
  <c r="K12" i="6"/>
  <c r="M29" i="6" s="1"/>
  <c r="H10" i="6"/>
  <c r="K10" i="6"/>
  <c r="M27" i="6" s="1"/>
  <c r="F10" i="6"/>
  <c r="G10" i="6"/>
  <c r="J10" i="6"/>
  <c r="F11" i="6"/>
  <c r="BY23" i="6"/>
  <c r="BP23" i="6"/>
  <c r="AO28" i="6" l="1"/>
  <c r="AQ28" i="6"/>
  <c r="AP28" i="6"/>
  <c r="T27" i="6"/>
  <c r="S27" i="6"/>
  <c r="R27" i="6"/>
  <c r="AK27" i="6"/>
  <c r="AJ27" i="6"/>
  <c r="AI27" i="6"/>
  <c r="AQ27" i="6"/>
  <c r="AP27" i="6"/>
  <c r="AO27" i="6"/>
  <c r="AE27" i="6"/>
  <c r="AD27" i="6"/>
  <c r="AC27" i="6"/>
  <c r="BF32" i="6"/>
  <c r="BF27" i="6"/>
  <c r="BF23" i="6"/>
  <c r="BB32" i="6"/>
  <c r="BB23" i="6"/>
  <c r="AW32" i="6"/>
  <c r="AW27" i="6"/>
  <c r="AU27" i="6"/>
  <c r="BD27" i="6" s="1"/>
  <c r="BW27" i="6" s="1"/>
  <c r="AU28" i="6"/>
  <c r="BD28" i="6" s="1"/>
  <c r="BW28" i="6" s="1"/>
  <c r="AU29" i="6"/>
  <c r="BD29" i="6" s="1"/>
  <c r="BW29" i="6" s="1"/>
  <c r="AU30" i="6"/>
  <c r="BD30" i="6" s="1"/>
  <c r="BW30" i="6" s="1"/>
  <c r="AU31" i="6"/>
  <c r="BD31" i="6" s="1"/>
  <c r="BW31" i="6" s="1"/>
  <c r="AU32" i="6"/>
  <c r="BD32" i="6" s="1"/>
  <c r="BW32" i="6" s="1"/>
  <c r="AU24" i="6"/>
  <c r="BD24" i="6" s="1"/>
  <c r="BW24" i="6" s="1"/>
  <c r="AU25" i="6"/>
  <c r="BD25" i="6" s="1"/>
  <c r="BW25" i="6" s="1"/>
  <c r="AU26" i="6"/>
  <c r="BD26" i="6" s="1"/>
  <c r="BW26" i="6" s="1"/>
  <c r="AU23" i="6"/>
  <c r="BD23" i="6" s="1"/>
  <c r="BW23" i="6" s="1"/>
  <c r="BN24" i="6"/>
  <c r="BN25" i="6"/>
  <c r="BN26" i="6"/>
  <c r="BN27" i="6"/>
  <c r="BN28" i="6"/>
  <c r="BN29" i="6"/>
  <c r="BN30" i="6"/>
  <c r="BN31" i="6"/>
  <c r="BN32" i="6"/>
  <c r="BN23" i="6"/>
  <c r="J29" i="6"/>
  <c r="H28" i="6"/>
  <c r="H29" i="6"/>
  <c r="H30" i="6"/>
  <c r="H31" i="6"/>
  <c r="H32" i="6"/>
  <c r="H27" i="6"/>
  <c r="H24" i="6"/>
  <c r="H25" i="6"/>
  <c r="H26" i="6"/>
  <c r="F12" i="6"/>
  <c r="F13" i="6"/>
  <c r="F14" i="6"/>
  <c r="G11" i="6"/>
  <c r="G12" i="6"/>
  <c r="AJ29" i="6" s="1"/>
  <c r="G13" i="6"/>
  <c r="AJ30" i="6" s="1"/>
  <c r="G14" i="6"/>
  <c r="AI31" i="6" s="1"/>
  <c r="G15" i="6"/>
  <c r="AK32" i="6" s="1"/>
  <c r="H11" i="6"/>
  <c r="H12" i="6"/>
  <c r="AC29" i="6" s="1"/>
  <c r="H13" i="6"/>
  <c r="AC30" i="6" s="1"/>
  <c r="H14" i="6"/>
  <c r="AE31" i="6" s="1"/>
  <c r="H15" i="6"/>
  <c r="X28" i="6"/>
  <c r="I12" i="6"/>
  <c r="I13" i="6"/>
  <c r="X30" i="6" s="1"/>
  <c r="I14" i="6"/>
  <c r="W31" i="6" s="1"/>
  <c r="I15" i="6"/>
  <c r="W32" i="6" s="1"/>
  <c r="J11" i="6"/>
  <c r="J12" i="6"/>
  <c r="T29" i="6" s="1"/>
  <c r="J13" i="6"/>
  <c r="J14" i="6"/>
  <c r="T31" i="6" s="1"/>
  <c r="J15" i="6"/>
  <c r="R32" i="6" s="1"/>
  <c r="N29" i="6"/>
  <c r="K13" i="6"/>
  <c r="K14" i="6"/>
  <c r="M31" i="6" s="1"/>
  <c r="K15" i="6"/>
  <c r="F16" i="6"/>
  <c r="BY27" i="6"/>
  <c r="BZ27" i="6"/>
  <c r="CA27" i="6"/>
  <c r="CB27" i="6"/>
  <c r="CC27" i="6"/>
  <c r="CD27" i="6"/>
  <c r="BY28" i="6"/>
  <c r="BZ28" i="6"/>
  <c r="CA28" i="6"/>
  <c r="CB28" i="6"/>
  <c r="CC28" i="6"/>
  <c r="CD28" i="6"/>
  <c r="BY29" i="6"/>
  <c r="BZ29" i="6"/>
  <c r="CA29" i="6"/>
  <c r="CB29" i="6"/>
  <c r="CC29" i="6"/>
  <c r="CD29" i="6"/>
  <c r="BY30" i="6"/>
  <c r="BZ30" i="6"/>
  <c r="CA30" i="6"/>
  <c r="CB30" i="6"/>
  <c r="CC30" i="6"/>
  <c r="CD30" i="6"/>
  <c r="BY31" i="6"/>
  <c r="BZ31" i="6"/>
  <c r="CA31" i="6"/>
  <c r="CB31" i="6"/>
  <c r="CC31" i="6"/>
  <c r="CD31" i="6"/>
  <c r="BY32" i="6"/>
  <c r="BZ32" i="6"/>
  <c r="CA32" i="6"/>
  <c r="CB32" i="6"/>
  <c r="CC32" i="6"/>
  <c r="CD32" i="6"/>
  <c r="BU27" i="6"/>
  <c r="BU28" i="6"/>
  <c r="BU29" i="6"/>
  <c r="BU30" i="6"/>
  <c r="BU31" i="6"/>
  <c r="BU32" i="6"/>
  <c r="BT27" i="6"/>
  <c r="BT28" i="6"/>
  <c r="BT29" i="6"/>
  <c r="BT30" i="6"/>
  <c r="BT31" i="6"/>
  <c r="BT32" i="6"/>
  <c r="BS27" i="6"/>
  <c r="BS28" i="6"/>
  <c r="BS29" i="6"/>
  <c r="BS30" i="6"/>
  <c r="BS31" i="6"/>
  <c r="BS32" i="6"/>
  <c r="BR27" i="6"/>
  <c r="BR28" i="6"/>
  <c r="BR29" i="6"/>
  <c r="BR30" i="6"/>
  <c r="BR31" i="6"/>
  <c r="BR32" i="6"/>
  <c r="BQ27" i="6"/>
  <c r="BQ28" i="6"/>
  <c r="BQ29" i="6"/>
  <c r="BQ30" i="6"/>
  <c r="BQ31" i="6"/>
  <c r="BQ32" i="6"/>
  <c r="BP27" i="6"/>
  <c r="BP28" i="6"/>
  <c r="BP29" i="6"/>
  <c r="BP30" i="6"/>
  <c r="BP31" i="6"/>
  <c r="BP32" i="6"/>
  <c r="BK27" i="6"/>
  <c r="BK28" i="6"/>
  <c r="BK29" i="6"/>
  <c r="BK30" i="6"/>
  <c r="BK31" i="6"/>
  <c r="BK32" i="6"/>
  <c r="BJ27" i="6"/>
  <c r="BJ28" i="6"/>
  <c r="BJ29" i="6"/>
  <c r="BJ30" i="6"/>
  <c r="BJ31" i="6"/>
  <c r="BJ32" i="6"/>
  <c r="BI27" i="6"/>
  <c r="BI28" i="6"/>
  <c r="BI29" i="6"/>
  <c r="BI30" i="6"/>
  <c r="BI31" i="6"/>
  <c r="BI32" i="6"/>
  <c r="BH27" i="6"/>
  <c r="BH28" i="6"/>
  <c r="BH29" i="6"/>
  <c r="BH30" i="6"/>
  <c r="BH31" i="6"/>
  <c r="BH32" i="6"/>
  <c r="BG27" i="6"/>
  <c r="BG28" i="6"/>
  <c r="BG29" i="6"/>
  <c r="BG30" i="6"/>
  <c r="BG31" i="6"/>
  <c r="BG32" i="6"/>
  <c r="BF28" i="6"/>
  <c r="BF29" i="6"/>
  <c r="BF30" i="6"/>
  <c r="BF31" i="6"/>
  <c r="BB27" i="6"/>
  <c r="BB28" i="6"/>
  <c r="BB30" i="6"/>
  <c r="BB31" i="6"/>
  <c r="BA27" i="6"/>
  <c r="BA28" i="6"/>
  <c r="BA29" i="6"/>
  <c r="BA30" i="6"/>
  <c r="BA31" i="6"/>
  <c r="BA32" i="6"/>
  <c r="AZ27" i="6"/>
  <c r="AZ28" i="6"/>
  <c r="AZ29" i="6"/>
  <c r="AZ30" i="6"/>
  <c r="AZ31" i="6"/>
  <c r="AZ32" i="6"/>
  <c r="AY27" i="6"/>
  <c r="AY28" i="6"/>
  <c r="AY29" i="6"/>
  <c r="AY30" i="6"/>
  <c r="AY31" i="6"/>
  <c r="AY32" i="6"/>
  <c r="AX27" i="6"/>
  <c r="AX28" i="6"/>
  <c r="AX29" i="6"/>
  <c r="AX30" i="6"/>
  <c r="AX31" i="6"/>
  <c r="AX32" i="6"/>
  <c r="AX26" i="6"/>
  <c r="AW28" i="6"/>
  <c r="AW29" i="6"/>
  <c r="AW30" i="6"/>
  <c r="AW31" i="6"/>
  <c r="J27" i="6"/>
  <c r="J28" i="6"/>
  <c r="J30" i="6"/>
  <c r="J31" i="6"/>
  <c r="J32" i="6"/>
  <c r="I27" i="6"/>
  <c r="I28" i="6"/>
  <c r="I29" i="6"/>
  <c r="I30" i="6"/>
  <c r="I31" i="6"/>
  <c r="I32" i="6"/>
  <c r="E27" i="6"/>
  <c r="E28" i="6"/>
  <c r="E29" i="6"/>
  <c r="E30" i="6"/>
  <c r="E31" i="6"/>
  <c r="E32" i="6"/>
  <c r="D27" i="6"/>
  <c r="D28" i="6"/>
  <c r="D29" i="6"/>
  <c r="D30" i="6"/>
  <c r="D31" i="6"/>
  <c r="D32" i="6"/>
  <c r="C27" i="6"/>
  <c r="C28" i="6"/>
  <c r="C31" i="6"/>
  <c r="C32" i="6"/>
  <c r="C26" i="6"/>
  <c r="D26" i="6"/>
  <c r="E26" i="6"/>
  <c r="I26" i="6"/>
  <c r="J26" i="6"/>
  <c r="AW26" i="6"/>
  <c r="AY26" i="6"/>
  <c r="AZ26" i="6"/>
  <c r="BA26" i="6"/>
  <c r="BB26" i="6"/>
  <c r="BF26" i="6"/>
  <c r="BG26" i="6"/>
  <c r="BH26" i="6"/>
  <c r="BI26" i="6"/>
  <c r="BJ26" i="6"/>
  <c r="BK26" i="6"/>
  <c r="BP26" i="6"/>
  <c r="BQ26" i="6"/>
  <c r="BR26" i="6"/>
  <c r="BS26" i="6"/>
  <c r="BT26" i="6"/>
  <c r="BU26" i="6"/>
  <c r="BY26" i="6"/>
  <c r="BZ26" i="6"/>
  <c r="CA26" i="6"/>
  <c r="CB26" i="6"/>
  <c r="CC26" i="6"/>
  <c r="CD26" i="6"/>
  <c r="K9" i="6"/>
  <c r="K16" i="6"/>
  <c r="K17" i="6"/>
  <c r="K18" i="6"/>
  <c r="K19" i="6"/>
  <c r="J9" i="6"/>
  <c r="J16" i="6"/>
  <c r="J17" i="6"/>
  <c r="J18" i="6"/>
  <c r="J19" i="6"/>
  <c r="I9" i="6"/>
  <c r="I16" i="6"/>
  <c r="I17" i="6"/>
  <c r="I18" i="6"/>
  <c r="I19" i="6"/>
  <c r="H9" i="6"/>
  <c r="H16" i="6"/>
  <c r="H17" i="6"/>
  <c r="H18" i="6"/>
  <c r="H19" i="6"/>
  <c r="G9" i="6"/>
  <c r="G16" i="6"/>
  <c r="G17" i="6"/>
  <c r="G18" i="6"/>
  <c r="G19" i="6"/>
  <c r="F17" i="6"/>
  <c r="F18" i="6"/>
  <c r="F19" i="6"/>
  <c r="F9" i="6"/>
  <c r="F2" i="6"/>
  <c r="CD23" i="6"/>
  <c r="CD24" i="6"/>
  <c r="CD25" i="6"/>
  <c r="CC23" i="6"/>
  <c r="CC24" i="6"/>
  <c r="CC25" i="6"/>
  <c r="CB23" i="6"/>
  <c r="CB24" i="6"/>
  <c r="CB25" i="6"/>
  <c r="CA23" i="6"/>
  <c r="CA24" i="6"/>
  <c r="CA25" i="6"/>
  <c r="BZ23" i="6"/>
  <c r="BZ24" i="6"/>
  <c r="BZ25" i="6"/>
  <c r="BY24" i="6"/>
  <c r="BY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4" i="6"/>
  <c r="BP25" i="6"/>
  <c r="BK24" i="6"/>
  <c r="BK23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F25" i="6"/>
  <c r="BB24" i="6"/>
  <c r="BB25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W24" i="6"/>
  <c r="AW25" i="6"/>
  <c r="AD32" i="6" l="1"/>
  <c r="AE32" i="6"/>
  <c r="AC32" i="6"/>
  <c r="AK28" i="6"/>
  <c r="AJ28" i="6"/>
  <c r="AI28" i="6"/>
  <c r="O32" i="6"/>
  <c r="M32" i="6"/>
  <c r="T30" i="6"/>
  <c r="R30" i="6"/>
  <c r="X29" i="6"/>
  <c r="W29" i="6"/>
  <c r="AC28" i="6"/>
  <c r="AE28" i="6"/>
  <c r="AP31" i="6"/>
  <c r="AO31" i="6"/>
  <c r="AQ31" i="6"/>
  <c r="AP30" i="6"/>
  <c r="AO30" i="6"/>
  <c r="AQ30" i="6"/>
  <c r="T28" i="6"/>
  <c r="R28" i="6"/>
  <c r="AP29" i="6"/>
  <c r="AO29" i="6"/>
  <c r="AQ29" i="6"/>
  <c r="N30" i="6"/>
  <c r="M30" i="6"/>
  <c r="BC41" i="6" a="1"/>
  <c r="BC41" i="6" s="1"/>
  <c r="BD38" i="6" a="1"/>
  <c r="BD38" i="6" s="1"/>
  <c r="BD40" i="6" a="1"/>
  <c r="BD40" i="6" s="1"/>
  <c r="BC43" i="6" a="1"/>
  <c r="BC43" i="6" s="1"/>
  <c r="BC40" i="6" a="1"/>
  <c r="BC40" i="6" s="1"/>
  <c r="BV42" i="6" a="1"/>
  <c r="BV42" i="6" s="1"/>
  <c r="BD43" i="6" a="1"/>
  <c r="BD43" i="6" s="1"/>
  <c r="BV40" i="6" a="1"/>
  <c r="BV40" i="6" s="1"/>
  <c r="BD41" i="6" a="1"/>
  <c r="BD41" i="6" s="1"/>
  <c r="BV43" i="6" a="1"/>
  <c r="BV43" i="6" s="1"/>
  <c r="BV38" i="6" a="1"/>
  <c r="BV38" i="6" s="1"/>
  <c r="BC39" i="6" a="1"/>
  <c r="BC39" i="6" s="1"/>
  <c r="BV41" i="6" a="1"/>
  <c r="BV41" i="6" s="1"/>
  <c r="BC38" i="6" a="1"/>
  <c r="BC38" i="6" s="1"/>
  <c r="BD42" i="6" a="1"/>
  <c r="BD42" i="6" s="1"/>
  <c r="BD39" i="6" a="1"/>
  <c r="BD39" i="6" s="1"/>
  <c r="BC42" i="6" a="1"/>
  <c r="BC42" i="6" s="1"/>
  <c r="BV39" i="6" a="1"/>
  <c r="BV39" i="6" s="1"/>
  <c r="AJ32" i="6"/>
  <c r="O28" i="6"/>
  <c r="AC31" i="6"/>
  <c r="AI32" i="6"/>
  <c r="AK31" i="6"/>
  <c r="AK30" i="6"/>
  <c r="O31" i="6"/>
  <c r="AI30" i="6"/>
  <c r="AK29" i="6"/>
  <c r="Y28" i="6"/>
  <c r="O30" i="6"/>
  <c r="I51" i="6" a="1"/>
  <c r="I51" i="6" s="1"/>
  <c r="AI29" i="6"/>
  <c r="R31" i="6"/>
  <c r="Y32" i="6"/>
  <c r="W30" i="6"/>
  <c r="Y31" i="6"/>
  <c r="X32" i="6"/>
  <c r="Y30" i="6"/>
  <c r="Y29" i="6"/>
  <c r="AD28" i="6"/>
  <c r="X31" i="6"/>
  <c r="AE30" i="6"/>
  <c r="W28" i="6"/>
  <c r="S29" i="6"/>
  <c r="O29" i="6"/>
  <c r="AJ31" i="6"/>
  <c r="N32" i="6"/>
  <c r="S31" i="6"/>
  <c r="S28" i="6"/>
  <c r="S32" i="6"/>
  <c r="N31" i="6"/>
  <c r="T32" i="6"/>
  <c r="AD31" i="6"/>
  <c r="O27" i="6"/>
  <c r="R29" i="6"/>
  <c r="S30" i="6"/>
  <c r="N28" i="6"/>
  <c r="AD30" i="6"/>
  <c r="AE29" i="6"/>
  <c r="AD29" i="6"/>
  <c r="N27" i="6"/>
  <c r="BW39" i="6" a="1"/>
  <c r="BW39" i="6" s="1"/>
  <c r="BW40" i="6" a="1"/>
  <c r="BW40" i="6" s="1"/>
  <c r="BW43" i="6" a="1"/>
  <c r="BW43" i="6" s="1"/>
  <c r="BW38" i="6" a="1"/>
  <c r="BW38" i="6" s="1"/>
  <c r="BW42" i="6" a="1"/>
  <c r="BW42" i="6" s="1"/>
  <c r="BW41" i="6" a="1"/>
  <c r="BW41" i="6" s="1"/>
  <c r="G3" i="6"/>
  <c r="H3" i="6"/>
  <c r="AC23" i="6" s="1"/>
  <c r="I3" i="6"/>
  <c r="J3" i="6"/>
  <c r="R23" i="6" s="1"/>
  <c r="K3" i="6"/>
  <c r="G4" i="6"/>
  <c r="H4" i="6"/>
  <c r="AC24" i="6" s="1"/>
  <c r="I4" i="6"/>
  <c r="J4" i="6"/>
  <c r="R24" i="6" s="1"/>
  <c r="K4" i="6"/>
  <c r="G5" i="6"/>
  <c r="H5" i="6"/>
  <c r="AC25" i="6" s="1"/>
  <c r="I5" i="6"/>
  <c r="W25" i="6" s="1"/>
  <c r="J5" i="6"/>
  <c r="R25" i="6" s="1"/>
  <c r="K5" i="6"/>
  <c r="G6" i="6"/>
  <c r="H6" i="6"/>
  <c r="AC26" i="6" s="1"/>
  <c r="I6" i="6"/>
  <c r="Y26" i="6" s="1"/>
  <c r="J6" i="6"/>
  <c r="K6" i="6"/>
  <c r="M26" i="6" s="1"/>
  <c r="K2" i="6"/>
  <c r="J2" i="6"/>
  <c r="G2" i="6"/>
  <c r="H2" i="6"/>
  <c r="I2" i="6"/>
  <c r="F3" i="6"/>
  <c r="AO23" i="6" s="1"/>
  <c r="F4" i="6"/>
  <c r="F5" i="6"/>
  <c r="F6" i="6"/>
  <c r="AO26" i="6" s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4" i="6"/>
  <c r="I25" i="6"/>
  <c r="J24" i="6"/>
  <c r="J25" i="6"/>
  <c r="C25" i="6"/>
  <c r="C24" i="6"/>
  <c r="E24" i="6"/>
  <c r="E25" i="6"/>
  <c r="M23" i="6" l="1"/>
  <c r="O23" i="6"/>
  <c r="N23" i="6"/>
  <c r="N24" i="6"/>
  <c r="M24" i="6"/>
  <c r="N25" i="6"/>
  <c r="M25" i="6"/>
  <c r="AQ26" i="6"/>
  <c r="AQ25" i="6"/>
  <c r="AO25" i="6"/>
  <c r="AQ24" i="6"/>
  <c r="AO24" i="6"/>
  <c r="AP23" i="6"/>
  <c r="AQ23" i="6"/>
  <c r="I52" i="6" a="1"/>
  <c r="I52" i="6" s="1"/>
  <c r="AR4" i="6" s="1"/>
  <c r="AK24" i="6"/>
  <c r="AI24" i="6"/>
  <c r="AI26" i="6"/>
  <c r="AK26" i="6"/>
  <c r="AJ23" i="6"/>
  <c r="AI23" i="6"/>
  <c r="AK23" i="6"/>
  <c r="C51" i="6" a="1"/>
  <c r="C51" i="6" s="1"/>
  <c r="AI25" i="6"/>
  <c r="AK25" i="6"/>
  <c r="I53" i="6" a="1"/>
  <c r="I53" i="6" s="1"/>
  <c r="AR5" i="6" s="1"/>
  <c r="AC51" i="6" a="1"/>
  <c r="AC51" i="6" s="1"/>
  <c r="C53" i="6" a="1"/>
  <c r="C53" i="6" s="1"/>
  <c r="AQ5" i="6" s="1"/>
  <c r="X24" i="6"/>
  <c r="W24" i="6"/>
  <c r="W26" i="6"/>
  <c r="X23" i="6"/>
  <c r="W23" i="6"/>
  <c r="X51" i="6" s="1" a="1"/>
  <c r="X51" i="6" s="1"/>
  <c r="S23" i="6"/>
  <c r="T26" i="6"/>
  <c r="R26" i="6"/>
  <c r="N26" i="6"/>
  <c r="O26" i="6"/>
  <c r="AD26" i="6"/>
  <c r="AE26" i="6"/>
  <c r="AJ26" i="6"/>
  <c r="X26" i="6"/>
  <c r="S26" i="6"/>
  <c r="AP26" i="6"/>
  <c r="AJ24" i="6"/>
  <c r="AP25" i="6"/>
  <c r="AD25" i="6"/>
  <c r="AE25" i="6"/>
  <c r="AP24" i="6"/>
  <c r="AJ25" i="6"/>
  <c r="AD23" i="6"/>
  <c r="AE23" i="6"/>
  <c r="O25" i="6"/>
  <c r="AE24" i="6"/>
  <c r="AD24" i="6"/>
  <c r="O24" i="6"/>
  <c r="N53" i="6" s="1" a="1"/>
  <c r="N53" i="6" s="1"/>
  <c r="T24" i="6"/>
  <c r="S24" i="6"/>
  <c r="T25" i="6"/>
  <c r="S25" i="6"/>
  <c r="Y24" i="6"/>
  <c r="X25" i="6"/>
  <c r="Y25" i="6"/>
  <c r="T23" i="6"/>
  <c r="Y23" i="6"/>
  <c r="D24" i="6"/>
  <c r="C52" i="6" s="1" a="1"/>
  <c r="C52" i="6" s="1"/>
  <c r="D25" i="6"/>
  <c r="N52" i="6" l="1" a="1"/>
  <c r="N52" i="6" s="1"/>
  <c r="AC53" i="6" a="1"/>
  <c r="AC53" i="6" s="1"/>
  <c r="AV5" i="6" s="1"/>
  <c r="AP53" i="6" a="1"/>
  <c r="AP53" i="6" s="1"/>
  <c r="AC52" i="6" a="1"/>
  <c r="AC52" i="6" s="1"/>
  <c r="AV4" i="6" s="1"/>
  <c r="R52" i="6" a="1"/>
  <c r="R52" i="6" s="1"/>
  <c r="AT4" i="6" s="1"/>
  <c r="AJ51" i="6" a="1"/>
  <c r="AJ51" i="6" s="1"/>
  <c r="X52" i="6" a="1"/>
  <c r="X52" i="6" s="1"/>
  <c r="AU4" i="6" s="1"/>
  <c r="AJ52" i="6" a="1"/>
  <c r="AJ52" i="6" s="1"/>
  <c r="AW4" i="6" s="1"/>
  <c r="X53" i="6" a="1"/>
  <c r="X53" i="6" s="1"/>
  <c r="AU5" i="6" s="1"/>
  <c r="R53" i="6" a="1"/>
  <c r="R53" i="6" s="1"/>
  <c r="AT5" i="6" s="1"/>
  <c r="N51" i="6" a="1"/>
  <c r="N51" i="6" s="1"/>
  <c r="R51" i="6" a="1"/>
  <c r="R51" i="6" s="1"/>
  <c r="AT3" i="6" s="1"/>
  <c r="AS4" i="6"/>
  <c r="AQ4" i="6"/>
  <c r="AP52" i="6" a="1"/>
  <c r="AP52" i="6" s="1"/>
  <c r="AP51" i="6" a="1"/>
  <c r="AP51" i="6" s="1"/>
  <c r="AU3" i="6"/>
  <c r="AV3" i="6"/>
  <c r="AS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<sst xmlns="http://schemas.openxmlformats.org/spreadsheetml/2006/main" count="587" uniqueCount="157">
  <si>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</si>
  <si>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</si>
  <si>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</si>
  <si>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</si>
  <si>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</si>
  <si>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</si>
  <si>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</si>
  <si>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</si>
  <si>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</si>
  <si>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</si>
  <si>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</si>
  <si>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</si>
  <si>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</si>
  <si>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</si>
  <si>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</si>
  <si>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</si>
  <si>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</si>
  <si>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</si>
  <si>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</si>
  <si>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</si>
  <si>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</si>
  <si>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</si>
  <si>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</si>
  <si>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</si>
  <si>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</si>
  <si>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</si>
  <si>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</si>
  <si>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</si>
  <si>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</si>
  <si>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</si>
  <si>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</si>
  <si>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</si>
  <si>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</si>
  <si>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</si>
  <si>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</si>
  <si>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</si>
  <si>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</si>
  <si>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</si>
  <si>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</si>
  <si>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</si>
  <si>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</si>
  <si>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</si>
  <si>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</si>
  <si>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</si>
  <si>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</si>
  <si>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</si>
  <si>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</si>
  <si>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</si>
  <si>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</si>
  <si>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</si>
  <si>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</si>
  <si>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</si>
  <si>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</si>
  <si>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</si>
  <si>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</si>
  <si>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</si>
  <si>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</si>
  <si>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</si>
  <si>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</si>
  <si>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</si>
  <si>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</si>
  <si>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</si>
  <si>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</si>
  <si>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</si>
  <si>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</si>
  <si>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</si>
  <si>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</si>
  <si>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</si>
  <si>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</si>
  <si>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</si>
  <si>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</si>
  <si>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flood4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</si>
  <si>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</si>
  <si>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</si>
  <si>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</si>
  <si>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</si>
  <si>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</si>
  <si>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</si>
  <si>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</si>
  <si>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</si>
  <si>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</si>
  <si>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</si>
  <si>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</si>
  <si>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</si>
  <si>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</si>
  <si>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</si>
  <si>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</si>
  <si>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</si>
  <si>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</si>
  <si>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</si>
  <si>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</si>
  <si>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</si>
  <si>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</si>
  <si>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</si>
  <si>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</si>
  <si>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</si>
  <si>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</si>
  <si>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</si>
  <si>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</si>
  <si>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</si>
  <si>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</si>
  <si>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</si>
  <si>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</si>
  <si>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</si>
  <si>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</si>
  <si>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</si>
  <si>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</si>
  <si>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</si>
  <si>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</si>
  <si>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</si>
  <si>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</si>
  <si>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</si>
  <si>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</si>
  <si>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</si>
  <si>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</si>
  <si>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</si>
  <si>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</si>
  <si>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</si>
  <si>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</si>
  <si>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</si>
  <si>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</si>
  <si>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</si>
  <si>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</si>
  <si>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</si>
  <si>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</si>
  <si>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</si>
  <si>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</si>
  <si>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</si>
  <si>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</si>
  <si>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</si>
  <si>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</si>
  <si>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</si>
  <si>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</si>
  <si>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</si>
  <si>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ST3</t>
  </si>
  <si>
    <t>ST4</t>
  </si>
  <si>
    <t>ST5</t>
  </si>
  <si>
    <t>ST6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</si>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</sst>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"/>
    <numFmt numFmtId="169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3" fillId="6" borderId="0" xfId="0" applyNumberFormat="1" applyFont="1" applyFill="1" applyAlignment="1">
      <alignment horizontal="center"/>
    </xf>
    <xf numFmtId="0" fontId="0" fillId="11" borderId="0" xfId="0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5" fillId="10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Fill="1" applyAlignment="1">
      <alignment horizontal="right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2" fontId="3" fillId="7" borderId="0" xfId="0" applyNumberFormat="1" applyFont="1" applyFill="1" applyAlignment="1">
      <alignment horizontal="center"/>
    </xf>
    <xf numFmtId="11" fontId="6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2" fontId="3" fillId="5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2" fontId="3" fillId="0" borderId="0" xfId="0" applyNumberFormat="1" applyFont="1" applyFill="1" applyAlignment="1">
      <alignment horizontal="center"/>
    </xf>
    <xf numFmtId="11" fontId="0" fillId="0" borderId="0" xfId="0" applyNumberFormat="1" applyFill="1" applyAlignment="1">
      <alignment horizontal="center"/>
    </xf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validation!$C$22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validation!$C$23:$C$32</c:f>
              <c:numCache>
                <c:formatCode>0.00</c:formatCode>
                <c:ptCount val="10"/>
                <c:pt idx="0">
                  <c:v>124.98377815678667</c:v>
                </c:pt>
                <c:pt idx="1">
                  <c:v>28.937326206160222</c:v>
                </c:pt>
                <c:pt idx="2">
                  <c:v>18.125609180160435</c:v>
                </c:pt>
                <c:pt idx="3">
                  <c:v>115.87861276600501</c:v>
                </c:pt>
                <c:pt idx="4">
                  <c:v>50.047379531103338</c:v>
                </c:pt>
                <c:pt idx="5">
                  <c:v>21.125580649870781</c:v>
                </c:pt>
                <c:pt idx="6">
                  <c:v>47.327378278646002</c:v>
                </c:pt>
                <c:pt idx="7">
                  <c:v>26.219116975681892</c:v>
                </c:pt>
                <c:pt idx="8">
                  <c:v>72.712478954005448</c:v>
                </c:pt>
                <c:pt idx="9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validation!$D$22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validation!$D$23:$D$32</c:f>
              <c:numCache>
                <c:formatCode>0.00</c:formatCode>
                <c:ptCount val="10"/>
                <c:pt idx="0">
                  <c:v>97.695517607575738</c:v>
                </c:pt>
                <c:pt idx="1">
                  <c:v>42.558611168539372</c:v>
                </c:pt>
                <c:pt idx="2">
                  <c:v>36.351982834008801</c:v>
                </c:pt>
                <c:pt idx="3">
                  <c:v>92.468560837516662</c:v>
                </c:pt>
                <c:pt idx="4">
                  <c:v>54.677153930522834</c:v>
                </c:pt>
                <c:pt idx="5">
                  <c:v>38.074161455768063</c:v>
                </c:pt>
                <c:pt idx="6">
                  <c:v>53.115696411530919</c:v>
                </c:pt>
                <c:pt idx="7">
                  <c:v>40.998182386644821</c:v>
                </c:pt>
                <c:pt idx="8">
                  <c:v>67.688394230731134</c:v>
                </c:pt>
                <c:pt idx="9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validation!$E$22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validation!$E$23:$E$32</c:f>
              <c:numCache>
                <c:formatCode>0.00</c:formatCode>
                <c:ptCount val="10"/>
                <c:pt idx="0">
                  <c:v>99.727167764153535</c:v>
                </c:pt>
                <c:pt idx="1">
                  <c:v>37.904529640463622</c:v>
                </c:pt>
                <c:pt idx="2">
                  <c:v>24.285515845279502</c:v>
                </c:pt>
                <c:pt idx="3">
                  <c:v>95.389258082839561</c:v>
                </c:pt>
                <c:pt idx="4">
                  <c:v>56.546509704584764</c:v>
                </c:pt>
                <c:pt idx="5">
                  <c:v>28.617151338616932</c:v>
                </c:pt>
                <c:pt idx="6">
                  <c:v>54.454083821996328</c:v>
                </c:pt>
                <c:pt idx="7">
                  <c:v>34.912936092268282</c:v>
                </c:pt>
                <c:pt idx="8">
                  <c:v>71.948486596817986</c:v>
                </c:pt>
                <c:pt idx="9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validation!$H$22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validation!$H$23:$H$32</c:f>
              <c:numCache>
                <c:formatCode>0.00</c:formatCode>
                <c:ptCount val="10"/>
                <c:pt idx="0">
                  <c:v>42.048842752516052</c:v>
                </c:pt>
                <c:pt idx="1">
                  <c:v>14.270611763493299</c:v>
                </c:pt>
                <c:pt idx="2">
                  <c:v>18.597174102918199</c:v>
                </c:pt>
                <c:pt idx="3">
                  <c:v>16.375086362494351</c:v>
                </c:pt>
                <c:pt idx="4">
                  <c:v>169.555535279537</c:v>
                </c:pt>
                <c:pt idx="5">
                  <c:v>34.374447498062203</c:v>
                </c:pt>
                <c:pt idx="6">
                  <c:v>118.23583380553599</c:v>
                </c:pt>
                <c:pt idx="7">
                  <c:v>35.720502265398899</c:v>
                </c:pt>
                <c:pt idx="8">
                  <c:v>171.8536905436255</c:v>
                </c:pt>
                <c:pt idx="9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validation!$I$22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validation!$I$23:$I$32</c:f>
              <c:numCache>
                <c:formatCode>0.000</c:formatCode>
                <c:ptCount val="10"/>
                <c:pt idx="0">
                  <c:v>47.470032741532719</c:v>
                </c:pt>
                <c:pt idx="1">
                  <c:v>28.836950958716034</c:v>
                </c:pt>
                <c:pt idx="2">
                  <c:v>31.739122444755466</c:v>
                </c:pt>
                <c:pt idx="3">
                  <c:v>30.248590430233961</c:v>
                </c:pt>
                <c:pt idx="4">
                  <c:v>132.99897195480781</c:v>
                </c:pt>
                <c:pt idx="5">
                  <c:v>42.322201892750158</c:v>
                </c:pt>
                <c:pt idx="6">
                  <c:v>98.574742600077442</c:v>
                </c:pt>
                <c:pt idx="7">
                  <c:v>43.225108509584274</c:v>
                </c:pt>
                <c:pt idx="8">
                  <c:v>134.54052854285311</c:v>
                </c:pt>
                <c:pt idx="9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validation!$J$22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validation!$J$23:$J$32</c:f>
              <c:numCache>
                <c:formatCode>0.000</c:formatCode>
                <c:ptCount val="10"/>
                <c:pt idx="0">
                  <c:v>45.304341949768059</c:v>
                </c:pt>
                <c:pt idx="1">
                  <c:v>21.723372749373084</c:v>
                </c:pt>
                <c:pt idx="2">
                  <c:v>25.693859138130588</c:v>
                </c:pt>
                <c:pt idx="3">
                  <c:v>23.674255529249351</c:v>
                </c:pt>
                <c:pt idx="4">
                  <c:v>131.73155894777705</c:v>
                </c:pt>
                <c:pt idx="5">
                  <c:v>39.157632327795177</c:v>
                </c:pt>
                <c:pt idx="6">
                  <c:v>99.290043013447303</c:v>
                </c:pt>
                <c:pt idx="7">
                  <c:v>40.251356089000254</c:v>
                </c:pt>
                <c:pt idx="8">
                  <c:v>133.13743373735352</c:v>
                </c:pt>
                <c:pt idx="9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validation!$M$23:$M$32</c:f>
              <c:numCache>
                <c:formatCode>0.00</c:formatCode>
                <c:ptCount val="10"/>
                <c:pt idx="0">
                  <c:v>192.24182948416956</c:v>
                </c:pt>
                <c:pt idx="1">
                  <c:v>122.8796103877864</c:v>
                </c:pt>
                <c:pt idx="2">
                  <c:v>123.49327885540521</c:v>
                </c:pt>
                <c:pt idx="3">
                  <c:v>140.49231944235979</c:v>
                </c:pt>
                <c:pt idx="4">
                  <c:v>-102.87822339104389</c:v>
                </c:pt>
                <c:pt idx="5">
                  <c:v>-112.52100226459201</c:v>
                </c:pt>
                <c:pt idx="6">
                  <c:v>62.619621593980547</c:v>
                </c:pt>
                <c:pt idx="7">
                  <c:v>78.617868361458108</c:v>
                </c:pt>
                <c:pt idx="8">
                  <c:v>143.23179194974065</c:v>
                </c:pt>
                <c:pt idx="9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validation!$P$22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validation!$P$23:$P$26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validation!$S$22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validation!$S$23:$S$32</c:f>
              <c:numCache>
                <c:formatCode>0.00</c:formatCode>
                <c:ptCount val="10"/>
                <c:pt idx="0">
                  <c:v>47.011462828327836</c:v>
                </c:pt>
                <c:pt idx="1">
                  <c:v>42.871088475303516</c:v>
                </c:pt>
                <c:pt idx="2">
                  <c:v>53.945670493273312</c:v>
                </c:pt>
                <c:pt idx="3">
                  <c:v>43.868704467680203</c:v>
                </c:pt>
                <c:pt idx="4">
                  <c:v>129.64998</c:v>
                </c:pt>
                <c:pt idx="5">
                  <c:v>128.71956</c:v>
                </c:pt>
                <c:pt idx="6">
                  <c:v>116.184735</c:v>
                </c:pt>
                <c:pt idx="7">
                  <c:v>85.007050000000007</c:v>
                </c:pt>
                <c:pt idx="8">
                  <c:v>116.98593000000001</c:v>
                </c:pt>
                <c:pt idx="9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validation!$T$22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validation!$T$23:$T$32</c:f>
              <c:numCache>
                <c:formatCode>0.00</c:formatCode>
                <c:ptCount val="10"/>
                <c:pt idx="0">
                  <c:v>32.342147494732167</c:v>
                </c:pt>
                <c:pt idx="1">
                  <c:v>25.960620247950711</c:v>
                </c:pt>
                <c:pt idx="2">
                  <c:v>42.794842976188278</c:v>
                </c:pt>
                <c:pt idx="3">
                  <c:v>27.509761120953833</c:v>
                </c:pt>
                <c:pt idx="4">
                  <c:v>148.35430688486392</c:v>
                </c:pt>
                <c:pt idx="5">
                  <c:v>147.11135128513553</c:v>
                </c:pt>
                <c:pt idx="6">
                  <c:v>130.27180720268166</c:v>
                </c:pt>
                <c:pt idx="7">
                  <c:v>87.464599916915816</c:v>
                </c:pt>
                <c:pt idx="8">
                  <c:v>131.35365131305872</c:v>
                </c:pt>
                <c:pt idx="9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validation!$X$22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validation!$X$23:$X$32</c:f>
              <c:numCache>
                <c:formatCode>0.000</c:formatCode>
                <c:ptCount val="10"/>
                <c:pt idx="0">
                  <c:v>41.207262199211904</c:v>
                </c:pt>
                <c:pt idx="1">
                  <c:v>20.565616418960641</c:v>
                </c:pt>
                <c:pt idx="2">
                  <c:v>23.029020988777891</c:v>
                </c:pt>
                <c:pt idx="3">
                  <c:v>20.442917594091853</c:v>
                </c:pt>
                <c:pt idx="4">
                  <c:v>796.60425833333341</c:v>
                </c:pt>
                <c:pt idx="5">
                  <c:v>30.164400000000001</c:v>
                </c:pt>
                <c:pt idx="6">
                  <c:v>247.19887500000002</c:v>
                </c:pt>
                <c:pt idx="7">
                  <c:v>36.063358333333333</c:v>
                </c:pt>
                <c:pt idx="8">
                  <c:v>354.7014916666667</c:v>
                </c:pt>
                <c:pt idx="9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validation!$Y$22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validation!$Y$23:$Y$32</c:f>
              <c:numCache>
                <c:formatCode>0.00</c:formatCode>
                <c:ptCount val="10"/>
                <c:pt idx="0">
                  <c:v>40.923634346381888</c:v>
                </c:pt>
                <c:pt idx="1">
                  <c:v>15.263430355503798</c:v>
                </c:pt>
                <c:pt idx="2">
                  <c:v>19.104974879697991</c:v>
                </c:pt>
                <c:pt idx="3">
                  <c:v>15.060376567986314</c:v>
                </c:pt>
                <c:pt idx="4">
                  <c:v>399.78616697995858</c:v>
                </c:pt>
                <c:pt idx="5">
                  <c:v>28.624581823342357</c:v>
                </c:pt>
                <c:pt idx="6">
                  <c:v>176.17569838163556</c:v>
                </c:pt>
                <c:pt idx="7">
                  <c:v>35.451681043177459</c:v>
                </c:pt>
                <c:pt idx="8">
                  <c:v>227.72971489098444</c:v>
                </c:pt>
                <c:pt idx="9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validation!$AC$23:$AC$32</c:f>
              <c:numCache>
                <c:formatCode>0.00</c:formatCode>
                <c:ptCount val="10"/>
                <c:pt idx="0">
                  <c:v>34.055752376002616</c:v>
                </c:pt>
                <c:pt idx="1">
                  <c:v>3.5639348475274497</c:v>
                </c:pt>
                <c:pt idx="2">
                  <c:v>2.1431694484715615</c:v>
                </c:pt>
                <c:pt idx="3">
                  <c:v>4.8389804371860778</c:v>
                </c:pt>
                <c:pt idx="4">
                  <c:v>37.953734061930788</c:v>
                </c:pt>
                <c:pt idx="5">
                  <c:v>2.2524590163934426</c:v>
                </c:pt>
                <c:pt idx="6">
                  <c:v>23.017486338797816</c:v>
                </c:pt>
                <c:pt idx="7">
                  <c:v>8.2633879781420774</c:v>
                </c:pt>
                <c:pt idx="8">
                  <c:v>119.37449908925321</c:v>
                </c:pt>
                <c:pt idx="9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validation!$AD$22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validation!$AD$23:$AD$32</c:f>
              <c:numCache>
                <c:formatCode>0.00</c:formatCode>
                <c:ptCount val="10"/>
                <c:pt idx="0">
                  <c:v>45.44043253352951</c:v>
                </c:pt>
                <c:pt idx="1">
                  <c:v>27.704673245050621</c:v>
                </c:pt>
                <c:pt idx="2">
                  <c:v>26.878276028829479</c:v>
                </c:pt>
                <c:pt idx="3">
                  <c:v>28.446311608815058</c:v>
                </c:pt>
                <c:pt idx="4">
                  <c:v>47.707718333333332</c:v>
                </c:pt>
                <c:pt idx="5">
                  <c:v>26.941844999999997</c:v>
                </c:pt>
                <c:pt idx="6">
                  <c:v>39.019954999999996</c:v>
                </c:pt>
                <c:pt idx="7">
                  <c:v>30.438139999999997</c:v>
                </c:pt>
                <c:pt idx="8">
                  <c:v>95.066623333333339</c:v>
                </c:pt>
                <c:pt idx="9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validation!$AE$22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validation!$AE$23:$AE$32</c:f>
              <c:numCache>
                <c:formatCode>0.00</c:formatCode>
                <c:ptCount val="10"/>
                <c:pt idx="0">
                  <c:v>49.260837883196288</c:v>
                </c:pt>
                <c:pt idx="1">
                  <c:v>16.178763293074105</c:v>
                </c:pt>
                <c:pt idx="2">
                  <c:v>9.2058127259320273</c:v>
                </c:pt>
                <c:pt idx="3">
                  <c:v>19.832581929011742</c:v>
                </c:pt>
                <c:pt idx="4">
                  <c:v>51.494025006246446</c:v>
                </c:pt>
                <c:pt idx="5">
                  <c:v>10.042178776596568</c:v>
                </c:pt>
                <c:pt idx="6">
                  <c:v>41.866420008767221</c:v>
                </c:pt>
                <c:pt idx="7">
                  <c:v>26.447515495202428</c:v>
                </c:pt>
                <c:pt idx="8">
                  <c:v>81.478196599739903</c:v>
                </c:pt>
                <c:pt idx="9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validation!$AF$22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validation!$AF$23:$AF$26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validation!$AI$22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validation!$AI$23:$AI$32</c:f>
              <c:numCache>
                <c:formatCode>0.00</c:formatCode>
                <c:ptCount val="10"/>
                <c:pt idx="0">
                  <c:v>29.615074905839549</c:v>
                </c:pt>
                <c:pt idx="1">
                  <c:v>4.0920504938377666</c:v>
                </c:pt>
                <c:pt idx="2">
                  <c:v>2.8368200836820083</c:v>
                </c:pt>
                <c:pt idx="3">
                  <c:v>4.7894005741147057</c:v>
                </c:pt>
                <c:pt idx="4">
                  <c:v>10.507670850767084</c:v>
                </c:pt>
                <c:pt idx="5">
                  <c:v>2.8368200836820083</c:v>
                </c:pt>
                <c:pt idx="6">
                  <c:v>4.2315202231520219</c:v>
                </c:pt>
                <c:pt idx="7">
                  <c:v>2.8368200836820083</c:v>
                </c:pt>
                <c:pt idx="8">
                  <c:v>22.362622036262202</c:v>
                </c:pt>
                <c:pt idx="9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validation!$AJ$22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validation!$AJ$23:$AJ$32</c:f>
              <c:numCache>
                <c:formatCode>0.00</c:formatCode>
                <c:ptCount val="10"/>
                <c:pt idx="0">
                  <c:v>49.598324488129023</c:v>
                </c:pt>
                <c:pt idx="1">
                  <c:v>40.165890105190499</c:v>
                </c:pt>
                <c:pt idx="2">
                  <c:v>39.701999999999998</c:v>
                </c:pt>
                <c:pt idx="3">
                  <c:v>40.4236067757531</c:v>
                </c:pt>
                <c:pt idx="4">
                  <c:v>42.536883333333328</c:v>
                </c:pt>
                <c:pt idx="5">
                  <c:v>39.701999999999998</c:v>
                </c:pt>
                <c:pt idx="6">
                  <c:v>40.217433333333332</c:v>
                </c:pt>
                <c:pt idx="7">
                  <c:v>39.701999999999998</c:v>
                </c:pt>
                <c:pt idx="8">
                  <c:v>46.918066666666661</c:v>
                </c:pt>
                <c:pt idx="9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validation!$AK$22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validation!$AK$23:$AK$32</c:f>
              <c:numCache>
                <c:formatCode>0.00</c:formatCode>
                <c:ptCount val="10"/>
                <c:pt idx="0">
                  <c:v>42.159524335536283</c:v>
                </c:pt>
                <c:pt idx="1">
                  <c:v>35.224946476263852</c:v>
                </c:pt>
                <c:pt idx="2">
                  <c:v>34.914999999999999</c:v>
                </c:pt>
                <c:pt idx="3">
                  <c:v>35.398326265143709</c:v>
                </c:pt>
                <c:pt idx="4">
                  <c:v>36.852613408536079</c:v>
                </c:pt>
                <c:pt idx="5">
                  <c:v>34.914999999999999</c:v>
                </c:pt>
                <c:pt idx="6">
                  <c:v>35.259554292731977</c:v>
                </c:pt>
                <c:pt idx="7">
                  <c:v>34.914999999999999</c:v>
                </c:pt>
                <c:pt idx="8">
                  <c:v>40.060729341415872</c:v>
                </c:pt>
                <c:pt idx="9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validation!$AO$22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validation!$AO$23:$AO$32</c:f>
              <c:numCache>
                <c:formatCode>0.00</c:formatCode>
                <c:ptCount val="10"/>
                <c:pt idx="0">
                  <c:v>44.637690361172815</c:v>
                </c:pt>
                <c:pt idx="1">
                  <c:v>24.347826086956523</c:v>
                </c:pt>
                <c:pt idx="2">
                  <c:v>24.347826086956523</c:v>
                </c:pt>
                <c:pt idx="3">
                  <c:v>28.212560970711511</c:v>
                </c:pt>
                <c:pt idx="4">
                  <c:v>24.347826086956523</c:v>
                </c:pt>
                <c:pt idx="5">
                  <c:v>24.347826086956523</c:v>
                </c:pt>
                <c:pt idx="6">
                  <c:v>24.347826086956523</c:v>
                </c:pt>
                <c:pt idx="7">
                  <c:v>24.347826086956523</c:v>
                </c:pt>
                <c:pt idx="8">
                  <c:v>26.763285024154591</c:v>
                </c:pt>
                <c:pt idx="9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validation!$AP$22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validation!$AP$23:$AP$32</c:f>
              <c:numCache>
                <c:formatCode>0.00</c:formatCode>
                <c:ptCount val="10"/>
                <c:pt idx="0">
                  <c:v>53.097644481017909</c:v>
                </c:pt>
                <c:pt idx="1">
                  <c:v>43.216999999999999</c:v>
                </c:pt>
                <c:pt idx="2">
                  <c:v>43.216999999999999</c:v>
                </c:pt>
                <c:pt idx="3">
                  <c:v>45.099026951175652</c:v>
                </c:pt>
                <c:pt idx="4">
                  <c:v>43.216999999999999</c:v>
                </c:pt>
                <c:pt idx="5">
                  <c:v>43.216999999999999</c:v>
                </c:pt>
                <c:pt idx="6">
                  <c:v>43.216999999999999</c:v>
                </c:pt>
                <c:pt idx="7">
                  <c:v>43.216999999999999</c:v>
                </c:pt>
                <c:pt idx="8">
                  <c:v>44.393266666666662</c:v>
                </c:pt>
                <c:pt idx="9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validation!$AQ$22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validation!$AQ$23:$AQ$32</c:f>
              <c:numCache>
                <c:formatCode>0.00</c:formatCode>
                <c:ptCount val="10"/>
                <c:pt idx="0">
                  <c:v>45.769097662017188</c:v>
                </c:pt>
                <c:pt idx="1">
                  <c:v>38.631</c:v>
                </c:pt>
                <c:pt idx="2">
                  <c:v>38.631</c:v>
                </c:pt>
                <c:pt idx="3">
                  <c:v>39.898992296177823</c:v>
                </c:pt>
                <c:pt idx="4">
                  <c:v>38.631</c:v>
                </c:pt>
                <c:pt idx="5">
                  <c:v>38.631</c:v>
                </c:pt>
                <c:pt idx="6">
                  <c:v>38.631</c:v>
                </c:pt>
                <c:pt idx="7">
                  <c:v>38.631</c:v>
                </c:pt>
                <c:pt idx="8">
                  <c:v>39.418689749666562</c:v>
                </c:pt>
                <c:pt idx="9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validation!$AW$22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validation!$AW$23:$AW$32</c:f>
              <c:numCache>
                <c:formatCode>0.00</c:formatCode>
                <c:ptCount val="10"/>
                <c:pt idx="0">
                  <c:v>97.695476093415863</c:v>
                </c:pt>
                <c:pt idx="1">
                  <c:v>42.55860423110196</c:v>
                </c:pt>
                <c:pt idx="2">
                  <c:v>36.351979788789492</c:v>
                </c:pt>
                <c:pt idx="3">
                  <c:v>92.468522601216051</c:v>
                </c:pt>
                <c:pt idx="4">
                  <c:v>54.677139393466177</c:v>
                </c:pt>
                <c:pt idx="5">
                  <c:v>38.074157330559025</c:v>
                </c:pt>
                <c:pt idx="6">
                  <c:v>53.115682853674762</c:v>
                </c:pt>
                <c:pt idx="7">
                  <c:v>40.998176427762694</c:v>
                </c:pt>
                <c:pt idx="8">
                  <c:v>67.688371534238698</c:v>
                </c:pt>
                <c:pt idx="9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validation!$AX$22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validation!$AX$23:$AX$32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42.558604231101967</c:v>
                </c:pt>
                <c:pt idx="2">
                  <c:v>36.351979788789485</c:v>
                </c:pt>
                <c:pt idx="3">
                  <c:v>92.468522601215938</c:v>
                </c:pt>
                <c:pt idx="4">
                  <c:v>54.677139393466206</c:v>
                </c:pt>
                <c:pt idx="5">
                  <c:v>38.074157330559068</c:v>
                </c:pt>
                <c:pt idx="6">
                  <c:v>53.115682853674762</c:v>
                </c:pt>
                <c:pt idx="7">
                  <c:v>40.998176427762715</c:v>
                </c:pt>
                <c:pt idx="8">
                  <c:v>67.68837153423857</c:v>
                </c:pt>
                <c:pt idx="9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validation!$AY$22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validation!$AY$23:$AY$32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42.558604231101945</c:v>
                </c:pt>
                <c:pt idx="2">
                  <c:v>36.351979788789492</c:v>
                </c:pt>
                <c:pt idx="3">
                  <c:v>92.468522601215994</c:v>
                </c:pt>
                <c:pt idx="4">
                  <c:v>54.677139393466177</c:v>
                </c:pt>
                <c:pt idx="5">
                  <c:v>38.074157330559075</c:v>
                </c:pt>
                <c:pt idx="6">
                  <c:v>53.115682853674741</c:v>
                </c:pt>
                <c:pt idx="7">
                  <c:v>40.998176427762729</c:v>
                </c:pt>
                <c:pt idx="8">
                  <c:v>67.688371534238684</c:v>
                </c:pt>
                <c:pt idx="9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validation!$AZ$22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validation!$AZ$23:$AZ$32</c:f>
              <c:numCache>
                <c:formatCode>0.00</c:formatCode>
                <c:ptCount val="10"/>
                <c:pt idx="0">
                  <c:v>97.695819187166947</c:v>
                </c:pt>
                <c:pt idx="1">
                  <c:v>42.561160235106172</c:v>
                </c:pt>
                <c:pt idx="2">
                  <c:v>35.798757291920879</c:v>
                </c:pt>
                <c:pt idx="3">
                  <c:v>92.469075477977853</c:v>
                </c:pt>
                <c:pt idx="4">
                  <c:v>48.784451257564484</c:v>
                </c:pt>
                <c:pt idx="5">
                  <c:v>37.663143822065457</c:v>
                </c:pt>
                <c:pt idx="6">
                  <c:v>53.117815150879217</c:v>
                </c:pt>
                <c:pt idx="7">
                  <c:v>41.000795059307585</c:v>
                </c:pt>
                <c:pt idx="8">
                  <c:v>67.689918958723638</c:v>
                </c:pt>
                <c:pt idx="9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validation!$BA$22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validation!$BA$23:$BA$32</c:f>
              <c:numCache>
                <c:formatCode>0.00</c:formatCode>
                <c:ptCount val="10"/>
                <c:pt idx="0">
                  <c:v>97.20996129768622</c:v>
                </c:pt>
                <c:pt idx="1">
                  <c:v>44.072453848905766</c:v>
                </c:pt>
                <c:pt idx="2">
                  <c:v>33.411000000000001</c:v>
                </c:pt>
                <c:pt idx="3">
                  <c:v>92.172546755566742</c:v>
                </c:pt>
                <c:pt idx="4">
                  <c:v>50.070317612774126</c:v>
                </c:pt>
                <c:pt idx="5">
                  <c:v>33.411000000000001</c:v>
                </c:pt>
                <c:pt idx="6">
                  <c:v>50.95799155206047</c:v>
                </c:pt>
                <c:pt idx="7">
                  <c:v>33.411000000000001</c:v>
                </c:pt>
                <c:pt idx="8">
                  <c:v>68.082911017010773</c:v>
                </c:pt>
                <c:pt idx="9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validation!$BB$22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validation!$BB$23:$BB$32</c:f>
              <c:numCache>
                <c:formatCode>0.000</c:formatCode>
                <c:ptCount val="10"/>
                <c:pt idx="0">
                  <c:v>94.751502888379235</c:v>
                </c:pt>
                <c:pt idx="1">
                  <c:v>59.341999999999999</c:v>
                </c:pt>
                <c:pt idx="2">
                  <c:v>59.341999999999999</c:v>
                </c:pt>
                <c:pt idx="3">
                  <c:v>91.955652593155037</c:v>
                </c:pt>
                <c:pt idx="4">
                  <c:v>59.341999999999999</c:v>
                </c:pt>
                <c:pt idx="5">
                  <c:v>59.341999999999999</c:v>
                </c:pt>
                <c:pt idx="6">
                  <c:v>59.341999999999999</c:v>
                </c:pt>
                <c:pt idx="7">
                  <c:v>59.341999999999999</c:v>
                </c:pt>
                <c:pt idx="8">
                  <c:v>74.456304696271587</c:v>
                </c:pt>
                <c:pt idx="9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validation!$BF$22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validation!$BF$23:$BF$32</c:f>
              <c:numCache>
                <c:formatCode>0.00</c:formatCode>
                <c:ptCount val="10"/>
                <c:pt idx="0">
                  <c:v>99.694232599765229</c:v>
                </c:pt>
                <c:pt idx="1">
                  <c:v>37.892011567978848</c:v>
                </c:pt>
                <c:pt idx="2">
                  <c:v>24.277495488594788</c:v>
                </c:pt>
                <c:pt idx="3">
                  <c:v>95.357755524747361</c:v>
                </c:pt>
                <c:pt idx="4">
                  <c:v>56.527835068229642</c:v>
                </c:pt>
                <c:pt idx="5">
                  <c:v>28.607700447703241</c:v>
                </c:pt>
                <c:pt idx="6">
                  <c:v>54.43610021489598</c:v>
                </c:pt>
                <c:pt idx="7">
                  <c:v>34.90140600156915</c:v>
                </c:pt>
                <c:pt idx="8">
                  <c:v>71.924725416322232</c:v>
                </c:pt>
                <c:pt idx="9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validation!$BG$22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validation!$BG$23:$BG$32</c:f>
              <c:numCache>
                <c:formatCode>0.00</c:formatCode>
                <c:ptCount val="10"/>
                <c:pt idx="0">
                  <c:v>99.698564460136211</c:v>
                </c:pt>
                <c:pt idx="1">
                  <c:v>37.89365803135999</c:v>
                </c:pt>
                <c:pt idx="2">
                  <c:v>24.278550381318947</c:v>
                </c:pt>
                <c:pt idx="3">
                  <c:v>95.361898958840129</c:v>
                </c:pt>
                <c:pt idx="4">
                  <c:v>56.530291285426998</c:v>
                </c:pt>
                <c:pt idx="5">
                  <c:v>28.608943494172923</c:v>
                </c:pt>
                <c:pt idx="6">
                  <c:v>54.438465543151352</c:v>
                </c:pt>
                <c:pt idx="7">
                  <c:v>34.902922518759851</c:v>
                </c:pt>
                <c:pt idx="8">
                  <c:v>71.927850650947946</c:v>
                </c:pt>
                <c:pt idx="9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validation!$BH$22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validation!$BH$23:$BH$32</c:f>
              <c:numCache>
                <c:formatCode>0.00</c:formatCode>
                <c:ptCount val="10"/>
                <c:pt idx="0">
                  <c:v>99.707475964800153</c:v>
                </c:pt>
                <c:pt idx="1">
                  <c:v>37.897045136401111</c:v>
                </c:pt>
                <c:pt idx="2">
                  <c:v>24.280720506998595</c:v>
                </c:pt>
                <c:pt idx="3">
                  <c:v>95.37042283289928</c:v>
                </c:pt>
                <c:pt idx="4">
                  <c:v>56.535344216300857</c:v>
                </c:pt>
                <c:pt idx="5">
                  <c:v>28.611500689803187</c:v>
                </c:pt>
                <c:pt idx="6">
                  <c:v>54.443331497262228</c:v>
                </c:pt>
                <c:pt idx="7">
                  <c:v>34.906042298452746</c:v>
                </c:pt>
                <c:pt idx="8">
                  <c:v>71.934279884708971</c:v>
                </c:pt>
                <c:pt idx="9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validation!$BI$22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validation!$BI$23:$BI$32</c:f>
              <c:numCache>
                <c:formatCode>0.00</c:formatCode>
                <c:ptCount val="10"/>
                <c:pt idx="0">
                  <c:v>99.679486561846588</c:v>
                </c:pt>
                <c:pt idx="1">
                  <c:v>37.920313348849398</c:v>
                </c:pt>
                <c:pt idx="2">
                  <c:v>22.760195936132316</c:v>
                </c:pt>
                <c:pt idx="3">
                  <c:v>95.347571958453543</c:v>
                </c:pt>
                <c:pt idx="4">
                  <c:v>48.259709693663041</c:v>
                </c:pt>
                <c:pt idx="5">
                  <c:v>27.648962903321891</c:v>
                </c:pt>
                <c:pt idx="6">
                  <c:v>54.458511303586427</c:v>
                </c:pt>
                <c:pt idx="7">
                  <c:v>34.930129534914791</c:v>
                </c:pt>
                <c:pt idx="8">
                  <c:v>71.93580184996776</c:v>
                </c:pt>
                <c:pt idx="9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validation!$BU$22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validation!$BT$22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validation!$BP$23:$BP$32</c:f>
              <c:numCache>
                <c:formatCode>0.00</c:formatCode>
                <c:ptCount val="10"/>
                <c:pt idx="0">
                  <c:v>364.33260145892592</c:v>
                </c:pt>
                <c:pt idx="1">
                  <c:v>74.414803400430642</c:v>
                </c:pt>
                <c:pt idx="2">
                  <c:v>41.779457380353541</c:v>
                </c:pt>
                <c:pt idx="3">
                  <c:v>336.84850967372444</c:v>
                </c:pt>
                <c:pt idx="4">
                  <c:v>138.13584725544999</c:v>
                </c:pt>
                <c:pt idx="5">
                  <c:v>50.834920701204027</c:v>
                </c:pt>
                <c:pt idx="6">
                  <c:v>129.92547864928713</c:v>
                </c:pt>
                <c:pt idx="7">
                  <c:v>66.209844042143445</c:v>
                </c:pt>
                <c:pt idx="8">
                  <c:v>206.55082338431853</c:v>
                </c:pt>
                <c:pt idx="9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validation!$BQ$23:$BQ$32</c:f>
              <c:numCache>
                <c:formatCode>0.00</c:formatCode>
                <c:ptCount val="10"/>
                <c:pt idx="0">
                  <c:v>364.32728764642911</c:v>
                </c:pt>
                <c:pt idx="1">
                  <c:v>74.413915408439124</c:v>
                </c:pt>
                <c:pt idx="2">
                  <c:v>41.779067592282487</c:v>
                </c:pt>
                <c:pt idx="3">
                  <c:v>336.84361542724753</c:v>
                </c:pt>
                <c:pt idx="4">
                  <c:v>138.13398651220135</c:v>
                </c:pt>
                <c:pt idx="5">
                  <c:v>50.834392674447884</c:v>
                </c:pt>
                <c:pt idx="6">
                  <c:v>129.92374324369607</c:v>
                </c:pt>
                <c:pt idx="7">
                  <c:v>66.20908130523334</c:v>
                </c:pt>
                <c:pt idx="8">
                  <c:v>206.5479182332877</c:v>
                </c:pt>
                <c:pt idx="9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validation!$BR$23:$BR$32</c:f>
              <c:numCache>
                <c:formatCode>0.00</c:formatCode>
                <c:ptCount val="10"/>
                <c:pt idx="0">
                  <c:v>319.96390759037655</c:v>
                </c:pt>
                <c:pt idx="1">
                  <c:v>68.582835131746805</c:v>
                </c:pt>
                <c:pt idx="2">
                  <c:v>40.285475198949058</c:v>
                </c:pt>
                <c:pt idx="3">
                  <c:v>296.13308204333094</c:v>
                </c:pt>
                <c:pt idx="4">
                  <c:v>123.83389060239504</c:v>
                </c:pt>
                <c:pt idx="5">
                  <c:v>48.137259727010147</c:v>
                </c:pt>
                <c:pt idx="6">
                  <c:v>116.71486831635562</c:v>
                </c:pt>
                <c:pt idx="7">
                  <c:v>61.468503080461439</c:v>
                </c:pt>
                <c:pt idx="8">
                  <c:v>183.15494707660451</c:v>
                </c:pt>
                <c:pt idx="9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validation!$BS$23:$BS$32</c:f>
              <c:numCache>
                <c:formatCode>0.00</c:formatCode>
                <c:ptCount val="10"/>
                <c:pt idx="0">
                  <c:v>234.71949110814046</c:v>
                </c:pt>
                <c:pt idx="1">
                  <c:v>55.266300283589857</c:v>
                </c:pt>
                <c:pt idx="2">
                  <c:v>33.255920445181978</c:v>
                </c:pt>
                <c:pt idx="3">
                  <c:v>217.7074000920035</c:v>
                </c:pt>
                <c:pt idx="4">
                  <c:v>75.521969814092728</c:v>
                </c:pt>
                <c:pt idx="5">
                  <c:v>39.324156254088734</c:v>
                </c:pt>
                <c:pt idx="6">
                  <c:v>89.626273575822253</c:v>
                </c:pt>
                <c:pt idx="7">
                  <c:v>50.187598157364015</c:v>
                </c:pt>
                <c:pt idx="8">
                  <c:v>137.05579567766384</c:v>
                </c:pt>
                <c:pt idx="9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validation!$BY$22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validation!$BY$23:$BY$32</c:f>
              <c:numCache>
                <c:formatCode>0.00</c:formatCode>
                <c:ptCount val="10"/>
                <c:pt idx="0">
                  <c:v>318.9670548214167</c:v>
                </c:pt>
                <c:pt idx="1">
                  <c:v>74.975956194233888</c:v>
                </c:pt>
                <c:pt idx="2">
                  <c:v>38.506328399357002</c:v>
                </c:pt>
                <c:pt idx="3">
                  <c:v>298.42645328901642</c:v>
                </c:pt>
                <c:pt idx="4">
                  <c:v>136.43689124312615</c:v>
                </c:pt>
                <c:pt idx="5">
                  <c:v>49.228886624186863</c:v>
                </c:pt>
                <c:pt idx="6">
                  <c:v>128.95013253278273</c:v>
                </c:pt>
                <c:pt idx="7">
                  <c:v>66.294952780660694</c:v>
                </c:pt>
                <c:pt idx="8">
                  <c:v>195.66674067824201</c:v>
                </c:pt>
                <c:pt idx="9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validation!$BZ$22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validation!$BZ$23:$BZ$32</c:f>
              <c:numCache>
                <c:formatCode>0.00</c:formatCode>
                <c:ptCount val="10"/>
                <c:pt idx="0">
                  <c:v>318.95677155946009</c:v>
                </c:pt>
                <c:pt idx="1">
                  <c:v>74.973539024854261</c:v>
                </c:pt>
                <c:pt idx="2">
                  <c:v>38.5050869838065</c:v>
                </c:pt>
                <c:pt idx="3">
                  <c:v>298.41683224086142</c:v>
                </c:pt>
                <c:pt idx="4">
                  <c:v>136.43249261865367</c:v>
                </c:pt>
                <c:pt idx="5">
                  <c:v>49.227299521289261</c:v>
                </c:pt>
                <c:pt idx="6">
                  <c:v>128.94597527587422</c:v>
                </c:pt>
                <c:pt idx="7">
                  <c:v>66.292815480411207</c:v>
                </c:pt>
                <c:pt idx="8">
                  <c:v>195.66043252722616</c:v>
                </c:pt>
                <c:pt idx="9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validation!$CA$22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validation!$CA$24:$CA$33</c:f>
              <c:numCache>
                <c:formatCode>0.00</c:formatCode>
                <c:ptCount val="10"/>
                <c:pt idx="0">
                  <c:v>69.413766763516179</c:v>
                </c:pt>
                <c:pt idx="1">
                  <c:v>36.229662410963577</c:v>
                </c:pt>
                <c:pt idx="2">
                  <c:v>267.19719303270881</c:v>
                </c:pt>
                <c:pt idx="3">
                  <c:v>124.49685404636813</c:v>
                </c:pt>
                <c:pt idx="4">
                  <c:v>46.043504745447692</c:v>
                </c:pt>
                <c:pt idx="5">
                  <c:v>117.82622122727562</c:v>
                </c:pt>
                <c:pt idx="6">
                  <c:v>61.559961087008617</c:v>
                </c:pt>
                <c:pt idx="7">
                  <c:v>176.99105596955152</c:v>
                </c:pt>
                <c:pt idx="8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validation!$CB$22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validation!$CB$23:$CB$32</c:f>
              <c:numCache>
                <c:formatCode>0.00</c:formatCode>
                <c:ptCount val="10"/>
                <c:pt idx="0">
                  <c:v>213.30081318545697</c:v>
                </c:pt>
                <c:pt idx="1">
                  <c:v>53.94458799502717</c:v>
                </c:pt>
                <c:pt idx="2">
                  <c:v>26.097541183844328</c:v>
                </c:pt>
                <c:pt idx="3">
                  <c:v>200.23729242898125</c:v>
                </c:pt>
                <c:pt idx="4">
                  <c:v>76.014270757012255</c:v>
                </c:pt>
                <c:pt idx="5">
                  <c:v>34.419099043102484</c:v>
                </c:pt>
                <c:pt idx="6">
                  <c:v>90.270550237634694</c:v>
                </c:pt>
                <c:pt idx="7">
                  <c:v>47.996231039517724</c:v>
                </c:pt>
                <c:pt idx="8">
                  <c:v>134.11866065202094</c:v>
                </c:pt>
                <c:pt idx="9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validation!$N$82:$N$91</c:f>
              <c:numCache>
                <c:formatCode>0.00</c:formatCode>
                <c:ptCount val="10"/>
                <c:pt idx="0">
                  <c:v>80.679975028742447</c:v>
                </c:pt>
                <c:pt idx="1">
                  <c:v>62.032648320418033</c:v>
                </c:pt>
                <c:pt idx="2">
                  <c:v>34.678640794346997</c:v>
                </c:pt>
                <c:pt idx="3">
                  <c:v>79.820147748538403</c:v>
                </c:pt>
                <c:pt idx="4">
                  <c:v>66.172138013622003</c:v>
                </c:pt>
                <c:pt idx="5">
                  <c:v>21.355614110918637</c:v>
                </c:pt>
                <c:pt idx="6">
                  <c:v>70.490176235553008</c:v>
                </c:pt>
                <c:pt idx="7">
                  <c:v>55.117006308143132</c:v>
                </c:pt>
                <c:pt idx="8">
                  <c:v>77.35159822164141</c:v>
                </c:pt>
                <c:pt idx="9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validation!$N$81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validation!$N$82:$N$91</c:f>
              <c:numCache>
                <c:formatCode>0.00</c:formatCode>
                <c:ptCount val="10"/>
                <c:pt idx="0">
                  <c:v>80.679975028742447</c:v>
                </c:pt>
                <c:pt idx="1">
                  <c:v>62.032648320418033</c:v>
                </c:pt>
                <c:pt idx="2">
                  <c:v>34.678640794346997</c:v>
                </c:pt>
                <c:pt idx="3">
                  <c:v>79.820147748538403</c:v>
                </c:pt>
                <c:pt idx="4">
                  <c:v>66.172138013622003</c:v>
                </c:pt>
                <c:pt idx="5">
                  <c:v>21.355614110918637</c:v>
                </c:pt>
                <c:pt idx="6">
                  <c:v>70.490176235553008</c:v>
                </c:pt>
                <c:pt idx="7">
                  <c:v>55.117006308143132</c:v>
                </c:pt>
                <c:pt idx="8">
                  <c:v>77.35159822164141</c:v>
                </c:pt>
                <c:pt idx="9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validation!$O$81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validation!$O$82:$O$91</c:f>
              <c:numCache>
                <c:formatCode>0.000</c:formatCode>
                <c:ptCount val="10"/>
                <c:pt idx="0">
                  <c:v>116.90913542084283</c:v>
                </c:pt>
                <c:pt idx="1">
                  <c:v>42.325861261741807</c:v>
                </c:pt>
                <c:pt idx="2">
                  <c:v>28.045768239683728</c:v>
                </c:pt>
                <c:pt idx="3">
                  <c:v>102.3415813265044</c:v>
                </c:pt>
                <c:pt idx="4">
                  <c:v>47.119541924859419</c:v>
                </c:pt>
                <c:pt idx="5">
                  <c:v>24.852624821980118</c:v>
                </c:pt>
                <c:pt idx="6">
                  <c:v>54.392287140951076</c:v>
                </c:pt>
                <c:pt idx="7">
                  <c:v>36.800987556080862</c:v>
                </c:pt>
                <c:pt idx="8">
                  <c:v>79.159950504487711</c:v>
                </c:pt>
                <c:pt idx="9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validation!$R$82:$R$91</c:f>
              <c:numCache>
                <c:formatCode>0.00</c:formatCode>
                <c:ptCount val="10"/>
                <c:pt idx="0">
                  <c:v>108.03160497575749</c:v>
                </c:pt>
                <c:pt idx="1">
                  <c:v>82.631736044839428</c:v>
                </c:pt>
                <c:pt idx="2">
                  <c:v>-11.659320719635097</c:v>
                </c:pt>
                <c:pt idx="3">
                  <c:v>108.64453530319376</c:v>
                </c:pt>
                <c:pt idx="4">
                  <c:v>12.361282991697527</c:v>
                </c:pt>
                <c:pt idx="5">
                  <c:v>-243.08827327691091</c:v>
                </c:pt>
                <c:pt idx="6">
                  <c:v>19.45293703996408</c:v>
                </c:pt>
                <c:pt idx="7">
                  <c:v>-25.868535843661792</c:v>
                </c:pt>
                <c:pt idx="8">
                  <c:v>57.359171464907199</c:v>
                </c:pt>
                <c:pt idx="9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validation!$S$81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validation!$S$82:$S$91</c:f>
              <c:numCache>
                <c:formatCode>0.00</c:formatCode>
                <c:ptCount val="10"/>
                <c:pt idx="0">
                  <c:v>88.28677908437983</c:v>
                </c:pt>
                <c:pt idx="1">
                  <c:v>73.60773763156152</c:v>
                </c:pt>
                <c:pt idx="2">
                  <c:v>19.115238688349933</c:v>
                </c:pt>
                <c:pt idx="3">
                  <c:v>88.641002553351143</c:v>
                </c:pt>
                <c:pt idx="4">
                  <c:v>32.997177943995858</c:v>
                </c:pt>
                <c:pt idx="5">
                  <c:v>-114.63171871564582</c:v>
                </c:pt>
                <c:pt idx="6">
                  <c:v>37.09557246826197</c:v>
                </c:pt>
                <c:pt idx="7">
                  <c:v>10.903477502302664</c:v>
                </c:pt>
                <c:pt idx="8">
                  <c:v>59.002267654656244</c:v>
                </c:pt>
                <c:pt idx="9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validation!$T$81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validation!$T$82:$T$91</c:f>
              <c:numCache>
                <c:formatCode>0.00</c:formatCode>
                <c:ptCount val="10"/>
                <c:pt idx="0">
                  <c:v>136.12849358890662</c:v>
                </c:pt>
                <c:pt idx="1">
                  <c:v>57.680453938178793</c:v>
                </c:pt>
                <c:pt idx="2">
                  <c:v>27.04477294163275</c:v>
                </c:pt>
                <c:pt idx="3">
                  <c:v>143.39149511170848</c:v>
                </c:pt>
                <c:pt idx="4">
                  <c:v>30.390182661816421</c:v>
                </c:pt>
                <c:pt idx="5">
                  <c:v>15.201305381216619</c:v>
                </c:pt>
                <c:pt idx="6">
                  <c:v>31.621393256387424</c:v>
                </c:pt>
                <c:pt idx="7">
                  <c:v>25.496319515348361</c:v>
                </c:pt>
                <c:pt idx="8">
                  <c:v>41.858471601355966</c:v>
                </c:pt>
                <c:pt idx="9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validation!$R$82:$R$91</c:f>
              <c:numCache>
                <c:formatCode>0.00</c:formatCode>
                <c:ptCount val="10"/>
                <c:pt idx="0">
                  <c:v>108.03160497575749</c:v>
                </c:pt>
                <c:pt idx="1">
                  <c:v>82.631736044839428</c:v>
                </c:pt>
                <c:pt idx="2">
                  <c:v>-11.659320719635097</c:v>
                </c:pt>
                <c:pt idx="3">
                  <c:v>108.64453530319376</c:v>
                </c:pt>
                <c:pt idx="4">
                  <c:v>12.361282991697527</c:v>
                </c:pt>
                <c:pt idx="5">
                  <c:v>-243.08827327691091</c:v>
                </c:pt>
                <c:pt idx="6">
                  <c:v>19.45293703996408</c:v>
                </c:pt>
                <c:pt idx="7">
                  <c:v>-25.868535843661792</c:v>
                </c:pt>
                <c:pt idx="8">
                  <c:v>57.359171464907199</c:v>
                </c:pt>
                <c:pt idx="9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F1-4F9A-8FD1-C2326E29F508}"/>
            </c:ext>
          </c:extLst>
        </c:ser>
        <c:ser>
          <c:idx val="1"/>
          <c:order val="1"/>
          <c:tx>
            <c:strRef>
              <c:f>validation!$S$81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validation!$S$82:$S$91</c:f>
              <c:numCache>
                <c:formatCode>0.00</c:formatCode>
                <c:ptCount val="10"/>
                <c:pt idx="0">
                  <c:v>88.28677908437983</c:v>
                </c:pt>
                <c:pt idx="1">
                  <c:v>73.60773763156152</c:v>
                </c:pt>
                <c:pt idx="2">
                  <c:v>19.115238688349933</c:v>
                </c:pt>
                <c:pt idx="3">
                  <c:v>88.641002553351143</c:v>
                </c:pt>
                <c:pt idx="4">
                  <c:v>32.997177943995858</c:v>
                </c:pt>
                <c:pt idx="5">
                  <c:v>-114.63171871564582</c:v>
                </c:pt>
                <c:pt idx="6">
                  <c:v>37.09557246826197</c:v>
                </c:pt>
                <c:pt idx="7">
                  <c:v>10.903477502302664</c:v>
                </c:pt>
                <c:pt idx="8">
                  <c:v>59.002267654656244</c:v>
                </c:pt>
                <c:pt idx="9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F1-4F9A-8FD1-C2326E29F508}"/>
            </c:ext>
          </c:extLst>
        </c:ser>
        <c:ser>
          <c:idx val="2"/>
          <c:order val="2"/>
          <c:tx>
            <c:strRef>
              <c:f>validation!$T$81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validation!$K$82:$K$91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validation!$T$82:$T$91</c:f>
              <c:numCache>
                <c:formatCode>0.00</c:formatCode>
                <c:ptCount val="10"/>
                <c:pt idx="0">
                  <c:v>136.12849358890662</c:v>
                </c:pt>
                <c:pt idx="1">
                  <c:v>57.680453938178793</c:v>
                </c:pt>
                <c:pt idx="2">
                  <c:v>27.04477294163275</c:v>
                </c:pt>
                <c:pt idx="3">
                  <c:v>143.39149511170848</c:v>
                </c:pt>
                <c:pt idx="4">
                  <c:v>30.390182661816421</c:v>
                </c:pt>
                <c:pt idx="5">
                  <c:v>15.201305381216619</c:v>
                </c:pt>
                <c:pt idx="6">
                  <c:v>31.621393256387424</c:v>
                </c:pt>
                <c:pt idx="7">
                  <c:v>25.496319515348361</c:v>
                </c:pt>
                <c:pt idx="8">
                  <c:v>41.858471601355966</c:v>
                </c:pt>
                <c:pt idx="9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26" Type="http://schemas.openxmlformats.org/officeDocument/2006/relationships/chart" Target="../charts/chart43.xml"/><Relationship Id="rId39" Type="http://schemas.openxmlformats.org/officeDocument/2006/relationships/chart" Target="../charts/chart56.xml"/><Relationship Id="rId21" Type="http://schemas.openxmlformats.org/officeDocument/2006/relationships/chart" Target="../charts/chart38.xml"/><Relationship Id="rId34" Type="http://schemas.openxmlformats.org/officeDocument/2006/relationships/chart" Target="../charts/chart51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29" Type="http://schemas.openxmlformats.org/officeDocument/2006/relationships/chart" Target="../charts/chart46.xml"/><Relationship Id="rId11" Type="http://schemas.openxmlformats.org/officeDocument/2006/relationships/chart" Target="../charts/chart28.xml"/><Relationship Id="rId24" Type="http://schemas.openxmlformats.org/officeDocument/2006/relationships/chart" Target="../charts/chart41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54</xdr:row>
      <xdr:rowOff>135835</xdr:rowOff>
    </xdr:from>
    <xdr:to>
      <xdr:col>5</xdr:col>
      <xdr:colOff>95250</xdr:colOff>
      <xdr:row>65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32</xdr:row>
      <xdr:rowOff>144322</xdr:rowOff>
    </xdr:from>
    <xdr:to>
      <xdr:col>4</xdr:col>
      <xdr:colOff>339588</xdr:colOff>
      <xdr:row>48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54</xdr:row>
      <xdr:rowOff>107675</xdr:rowOff>
    </xdr:from>
    <xdr:to>
      <xdr:col>2</xdr:col>
      <xdr:colOff>657226</xdr:colOff>
      <xdr:row>65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65</xdr:row>
      <xdr:rowOff>128795</xdr:rowOff>
    </xdr:from>
    <xdr:to>
      <xdr:col>3</xdr:col>
      <xdr:colOff>571501</xdr:colOff>
      <xdr:row>76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54</xdr:row>
      <xdr:rowOff>152399</xdr:rowOff>
    </xdr:from>
    <xdr:to>
      <xdr:col>8</xdr:col>
      <xdr:colOff>19471</xdr:colOff>
      <xdr:row>65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54</xdr:row>
      <xdr:rowOff>176362</xdr:rowOff>
    </xdr:from>
    <xdr:to>
      <xdr:col>10</xdr:col>
      <xdr:colOff>190501</xdr:colOff>
      <xdr:row>65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65</xdr:row>
      <xdr:rowOff>185532</xdr:rowOff>
    </xdr:from>
    <xdr:to>
      <xdr:col>9</xdr:col>
      <xdr:colOff>276226</xdr:colOff>
      <xdr:row>76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32</xdr:row>
      <xdr:rowOff>115246</xdr:rowOff>
    </xdr:from>
    <xdr:to>
      <xdr:col>10</xdr:col>
      <xdr:colOff>20410</xdr:colOff>
      <xdr:row>47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54</xdr:row>
      <xdr:rowOff>136583</xdr:rowOff>
    </xdr:from>
    <xdr:to>
      <xdr:col>13</xdr:col>
      <xdr:colOff>44826</xdr:colOff>
      <xdr:row>65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54</xdr:row>
      <xdr:rowOff>135591</xdr:rowOff>
    </xdr:from>
    <xdr:to>
      <xdr:col>15</xdr:col>
      <xdr:colOff>359856</xdr:colOff>
      <xdr:row>65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65</xdr:row>
      <xdr:rowOff>161365</xdr:rowOff>
    </xdr:from>
    <xdr:to>
      <xdr:col>14</xdr:col>
      <xdr:colOff>228600</xdr:colOff>
      <xdr:row>76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32</xdr:row>
      <xdr:rowOff>75468</xdr:rowOff>
    </xdr:from>
    <xdr:to>
      <xdr:col>15</xdr:col>
      <xdr:colOff>140804</xdr:colOff>
      <xdr:row>48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54</xdr:row>
      <xdr:rowOff>181334</xdr:rowOff>
    </xdr:from>
    <xdr:to>
      <xdr:col>18</xdr:col>
      <xdr:colOff>233343</xdr:colOff>
      <xdr:row>65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54</xdr:row>
      <xdr:rowOff>178163</xdr:rowOff>
    </xdr:from>
    <xdr:to>
      <xdr:col>21</xdr:col>
      <xdr:colOff>66675</xdr:colOff>
      <xdr:row>65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66</xdr:row>
      <xdr:rowOff>34964</xdr:rowOff>
    </xdr:from>
    <xdr:to>
      <xdr:col>19</xdr:col>
      <xdr:colOff>511186</xdr:colOff>
      <xdr:row>77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32</xdr:row>
      <xdr:rowOff>95250</xdr:rowOff>
    </xdr:from>
    <xdr:to>
      <xdr:col>20</xdr:col>
      <xdr:colOff>247650</xdr:colOff>
      <xdr:row>48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54</xdr:row>
      <xdr:rowOff>176833</xdr:rowOff>
    </xdr:from>
    <xdr:to>
      <xdr:col>23</xdr:col>
      <xdr:colOff>705216</xdr:colOff>
      <xdr:row>65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55</xdr:row>
      <xdr:rowOff>15323</xdr:rowOff>
    </xdr:from>
    <xdr:to>
      <xdr:col>26</xdr:col>
      <xdr:colOff>581026</xdr:colOff>
      <xdr:row>65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66</xdr:row>
      <xdr:rowOff>50938</xdr:rowOff>
    </xdr:from>
    <xdr:to>
      <xdr:col>25</xdr:col>
      <xdr:colOff>76199</xdr:colOff>
      <xdr:row>77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32</xdr:row>
      <xdr:rowOff>125896</xdr:rowOff>
    </xdr:from>
    <xdr:to>
      <xdr:col>25</xdr:col>
      <xdr:colOff>256761</xdr:colOff>
      <xdr:row>48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54</xdr:row>
      <xdr:rowOff>168728</xdr:rowOff>
    </xdr:from>
    <xdr:to>
      <xdr:col>29</xdr:col>
      <xdr:colOff>68035</xdr:colOff>
      <xdr:row>65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55</xdr:row>
      <xdr:rowOff>22777</xdr:rowOff>
    </xdr:from>
    <xdr:to>
      <xdr:col>31</xdr:col>
      <xdr:colOff>389282</xdr:colOff>
      <xdr:row>65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65</xdr:row>
      <xdr:rowOff>188430</xdr:rowOff>
    </xdr:from>
    <xdr:to>
      <xdr:col>30</xdr:col>
      <xdr:colOff>165239</xdr:colOff>
      <xdr:row>76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32</xdr:row>
      <xdr:rowOff>163582</xdr:rowOff>
    </xdr:from>
    <xdr:to>
      <xdr:col>31</xdr:col>
      <xdr:colOff>33130</xdr:colOff>
      <xdr:row>48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55</xdr:row>
      <xdr:rowOff>9998</xdr:rowOff>
    </xdr:from>
    <xdr:to>
      <xdr:col>34</xdr:col>
      <xdr:colOff>590527</xdr:colOff>
      <xdr:row>65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55</xdr:row>
      <xdr:rowOff>8755</xdr:rowOff>
    </xdr:from>
    <xdr:to>
      <xdr:col>37</xdr:col>
      <xdr:colOff>657329</xdr:colOff>
      <xdr:row>65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66</xdr:row>
      <xdr:rowOff>11781</xdr:rowOff>
    </xdr:from>
    <xdr:to>
      <xdr:col>36</xdr:col>
      <xdr:colOff>454882</xdr:colOff>
      <xdr:row>76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32</xdr:row>
      <xdr:rowOff>158135</xdr:rowOff>
    </xdr:from>
    <xdr:to>
      <xdr:col>37</xdr:col>
      <xdr:colOff>244719</xdr:colOff>
      <xdr:row>48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55</xdr:row>
      <xdr:rowOff>9525</xdr:rowOff>
    </xdr:from>
    <xdr:to>
      <xdr:col>41</xdr:col>
      <xdr:colOff>257177</xdr:colOff>
      <xdr:row>65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55</xdr:row>
      <xdr:rowOff>28575</xdr:rowOff>
    </xdr:from>
    <xdr:to>
      <xdr:col>44</xdr:col>
      <xdr:colOff>381000</xdr:colOff>
      <xdr:row>66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66</xdr:row>
      <xdr:rowOff>85725</xdr:rowOff>
    </xdr:from>
    <xdr:to>
      <xdr:col>42</xdr:col>
      <xdr:colOff>447675</xdr:colOff>
      <xdr:row>77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32</xdr:row>
      <xdr:rowOff>133350</xdr:rowOff>
    </xdr:from>
    <xdr:to>
      <xdr:col>44</xdr:col>
      <xdr:colOff>66675</xdr:colOff>
      <xdr:row>48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254431</xdr:colOff>
      <xdr:row>48</xdr:row>
      <xdr:rowOff>177313</xdr:rowOff>
    </xdr:from>
    <xdr:to>
      <xdr:col>53</xdr:col>
      <xdr:colOff>541510</xdr:colOff>
      <xdr:row>64</xdr:row>
      <xdr:rowOff>177311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55475</xdr:colOff>
      <xdr:row>49</xdr:row>
      <xdr:rowOff>54428</xdr:rowOff>
    </xdr:from>
    <xdr:to>
      <xdr:col>61</xdr:col>
      <xdr:colOff>489857</xdr:colOff>
      <xdr:row>64</xdr:row>
      <xdr:rowOff>181079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32</xdr:row>
      <xdr:rowOff>135339</xdr:rowOff>
    </xdr:from>
    <xdr:to>
      <xdr:col>52</xdr:col>
      <xdr:colOff>309763</xdr:colOff>
      <xdr:row>48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32</xdr:row>
      <xdr:rowOff>129802</xdr:rowOff>
    </xdr:from>
    <xdr:to>
      <xdr:col>62</xdr:col>
      <xdr:colOff>257248</xdr:colOff>
      <xdr:row>48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48</xdr:row>
      <xdr:rowOff>181332</xdr:rowOff>
    </xdr:from>
    <xdr:to>
      <xdr:col>73</xdr:col>
      <xdr:colOff>314785</xdr:colOff>
      <xdr:row>64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49</xdr:row>
      <xdr:rowOff>1121</xdr:rowOff>
    </xdr:from>
    <xdr:to>
      <xdr:col>82</xdr:col>
      <xdr:colOff>511549</xdr:colOff>
      <xdr:row>64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33</xdr:row>
      <xdr:rowOff>11206</xdr:rowOff>
    </xdr:from>
    <xdr:to>
      <xdr:col>71</xdr:col>
      <xdr:colOff>479576</xdr:colOff>
      <xdr:row>48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32</xdr:row>
      <xdr:rowOff>100853</xdr:rowOff>
    </xdr:from>
    <xdr:to>
      <xdr:col>81</xdr:col>
      <xdr:colOff>311487</xdr:colOff>
      <xdr:row>48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91</xdr:row>
      <xdr:rowOff>145677</xdr:rowOff>
    </xdr:from>
    <xdr:to>
      <xdr:col>15</xdr:col>
      <xdr:colOff>31186</xdr:colOff>
      <xdr:row>107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115</xdr:row>
      <xdr:rowOff>992</xdr:rowOff>
    </xdr:from>
    <xdr:to>
      <xdr:col>13</xdr:col>
      <xdr:colOff>165377</xdr:colOff>
      <xdr:row>125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115</xdr:row>
      <xdr:rowOff>0</xdr:rowOff>
    </xdr:from>
    <xdr:to>
      <xdr:col>15</xdr:col>
      <xdr:colOff>480407</xdr:colOff>
      <xdr:row>125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126</xdr:row>
      <xdr:rowOff>25774</xdr:rowOff>
    </xdr:from>
    <xdr:to>
      <xdr:col>14</xdr:col>
      <xdr:colOff>349151</xdr:colOff>
      <xdr:row>137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91</xdr:row>
      <xdr:rowOff>81643</xdr:rowOff>
    </xdr:from>
    <xdr:to>
      <xdr:col>20</xdr:col>
      <xdr:colOff>68035</xdr:colOff>
      <xdr:row>107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114</xdr:row>
      <xdr:rowOff>177885</xdr:rowOff>
    </xdr:from>
    <xdr:to>
      <xdr:col>18</xdr:col>
      <xdr:colOff>151770</xdr:colOff>
      <xdr:row>125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114</xdr:row>
      <xdr:rowOff>176893</xdr:rowOff>
    </xdr:from>
    <xdr:to>
      <xdr:col>20</xdr:col>
      <xdr:colOff>126621</xdr:colOff>
      <xdr:row>125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126</xdr:row>
      <xdr:rowOff>12167</xdr:rowOff>
    </xdr:from>
    <xdr:to>
      <xdr:col>19</xdr:col>
      <xdr:colOff>267508</xdr:colOff>
      <xdr:row>136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91</xdr:row>
      <xdr:rowOff>108858</xdr:rowOff>
    </xdr:from>
    <xdr:to>
      <xdr:col>25</xdr:col>
      <xdr:colOff>285748</xdr:colOff>
      <xdr:row>107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115</xdr:row>
      <xdr:rowOff>41813</xdr:rowOff>
    </xdr:from>
    <xdr:to>
      <xdr:col>22</xdr:col>
      <xdr:colOff>628021</xdr:colOff>
      <xdr:row>126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115</xdr:row>
      <xdr:rowOff>40821</xdr:rowOff>
    </xdr:from>
    <xdr:to>
      <xdr:col>25</xdr:col>
      <xdr:colOff>126622</xdr:colOff>
      <xdr:row>126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126</xdr:row>
      <xdr:rowOff>66595</xdr:rowOff>
    </xdr:from>
    <xdr:to>
      <xdr:col>24</xdr:col>
      <xdr:colOff>63402</xdr:colOff>
      <xdr:row>137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115</xdr:row>
      <xdr:rowOff>150671</xdr:rowOff>
    </xdr:from>
    <xdr:to>
      <xdr:col>29</xdr:col>
      <xdr:colOff>410306</xdr:colOff>
      <xdr:row>126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115</xdr:row>
      <xdr:rowOff>149679</xdr:rowOff>
    </xdr:from>
    <xdr:to>
      <xdr:col>31</xdr:col>
      <xdr:colOff>254529</xdr:colOff>
      <xdr:row>126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126</xdr:row>
      <xdr:rowOff>175453</xdr:rowOff>
    </xdr:from>
    <xdr:to>
      <xdr:col>30</xdr:col>
      <xdr:colOff>383170</xdr:colOff>
      <xdr:row>137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114</xdr:row>
      <xdr:rowOff>177885</xdr:rowOff>
    </xdr:from>
    <xdr:to>
      <xdr:col>35</xdr:col>
      <xdr:colOff>713745</xdr:colOff>
      <xdr:row>125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114</xdr:row>
      <xdr:rowOff>176893</xdr:rowOff>
    </xdr:from>
    <xdr:to>
      <xdr:col>37</xdr:col>
      <xdr:colOff>530753</xdr:colOff>
      <xdr:row>125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126</xdr:row>
      <xdr:rowOff>12167</xdr:rowOff>
    </xdr:from>
    <xdr:to>
      <xdr:col>36</xdr:col>
      <xdr:colOff>645787</xdr:colOff>
      <xdr:row>136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V1" zoomScale="115" zoomScaleNormal="115" workbookViewId="0">
      <selection activeCell="AK28" sqref="AK28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C1" s="54" t="s">
        <v>149</v>
      </c>
      <c r="AD1" s="54"/>
      <c r="AE1" s="54"/>
      <c r="AF1" s="54"/>
      <c r="AG1" s="54"/>
      <c r="AH1" s="54"/>
    </row>
    <row r="2" spans="1:5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22</v>
      </c>
      <c r="F2" s="1" t="s">
        <v>23</v>
      </c>
      <c r="G2" s="1" t="s">
        <v>24</v>
      </c>
      <c r="H2" s="1" t="s">
        <v>98</v>
      </c>
      <c r="I2" s="1" t="s">
        <v>99</v>
      </c>
      <c r="J2" s="1" t="s">
        <v>100</v>
      </c>
      <c r="K2" s="1" t="s">
        <v>101</v>
      </c>
      <c r="L2" s="1" t="s">
        <v>103</v>
      </c>
      <c r="M2" s="1" t="s">
        <v>102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93</v>
      </c>
      <c r="AC2" s="1" t="s">
        <v>60</v>
      </c>
      <c r="AD2" s="1" t="s">
        <v>59</v>
      </c>
      <c r="AE2" s="1" t="s">
        <v>58</v>
      </c>
      <c r="AF2" s="1" t="s">
        <v>57</v>
      </c>
      <c r="AG2" s="1" t="s">
        <v>56</v>
      </c>
      <c r="AH2" s="1" t="s">
        <v>55</v>
      </c>
      <c r="BA2" s="1" t="s">
        <v>25</v>
      </c>
      <c r="BB2" s="1" t="s">
        <v>26</v>
      </c>
      <c r="BC2" s="1" t="s">
        <v>27</v>
      </c>
      <c r="BD2" s="1" t="s">
        <v>28</v>
      </c>
      <c r="BE2" s="1" t="s">
        <v>29</v>
      </c>
      <c r="BF2" s="1" t="s">
        <v>30</v>
      </c>
    </row>
    <row r="3" spans="1:58" x14ac:dyDescent="0.25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6">
        <f t="shared" ref="H3:M3" si="0">BA3/($D3-$C3)</f>
        <v>0.8571428571428571</v>
      </c>
      <c r="I3" s="16">
        <f t="shared" si="0"/>
        <v>2.2857142857142856</v>
      </c>
      <c r="J3" s="16">
        <f t="shared" si="0"/>
        <v>13.714285714285714</v>
      </c>
      <c r="K3" s="16">
        <f t="shared" si="0"/>
        <v>37.714285714285715</v>
      </c>
      <c r="L3" s="16">
        <f t="shared" si="0"/>
        <v>86.285714285714292</v>
      </c>
      <c r="M3" s="16">
        <f t="shared" si="0"/>
        <v>139.71428571428572</v>
      </c>
      <c r="N3" s="33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E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25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6">
        <f t="shared" ref="H4:H38" si="2">BA4/(D4-C4)</f>
        <v>0.2</v>
      </c>
      <c r="I4" s="16">
        <f t="shared" ref="I4:I38" si="3">BB4/($D4-$C4)</f>
        <v>0.8</v>
      </c>
      <c r="J4" s="16">
        <f t="shared" ref="J4:J38" si="4">BC4/($D4-$C4)</f>
        <v>6.5</v>
      </c>
      <c r="K4" s="16">
        <f t="shared" ref="K4:K38" si="5">BD4/($D4-$C4)</f>
        <v>19.5</v>
      </c>
      <c r="L4" s="16">
        <f t="shared" ref="L4:L38" si="6">BE4/($D4-$C4)</f>
        <v>62.8</v>
      </c>
      <c r="M4" s="16">
        <f t="shared" ref="M4:M38" si="7">BF4/($D4-$C4)</f>
        <v>169</v>
      </c>
      <c r="N4" s="33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8">H4/E4</f>
        <v>3.8893629405599266</v>
      </c>
      <c r="AD4" s="1">
        <f t="shared" ref="AD4:AD38" si="9">I4/$E4</f>
        <v>15.557451762239706</v>
      </c>
      <c r="AE4" s="1">
        <f t="shared" ref="AE4:AE38" si="10">J4/$E4</f>
        <v>126.40429556819761</v>
      </c>
      <c r="AF4" s="1">
        <f t="shared" ref="AF4:AF38" si="11">K4/$E4</f>
        <v>379.21288670459285</v>
      </c>
      <c r="AG4" s="1">
        <f t="shared" ref="AG4:AG38" si="12">L4/$E4</f>
        <v>1221.2599633358168</v>
      </c>
      <c r="AH4" s="1">
        <f t="shared" ref="AH4:AH38" si="13">M4/$E4</f>
        <v>3286.5116847731379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25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6">
        <f t="shared" si="2"/>
        <v>1</v>
      </c>
      <c r="I5" s="16">
        <f t="shared" si="3"/>
        <v>3.1</v>
      </c>
      <c r="J5" s="16">
        <f t="shared" si="4"/>
        <v>8.9</v>
      </c>
      <c r="K5" s="16">
        <f t="shared" si="5"/>
        <v>23</v>
      </c>
      <c r="L5" s="16">
        <f t="shared" si="6"/>
        <v>50.9</v>
      </c>
      <c r="M5" s="16">
        <f t="shared" si="7"/>
        <v>149.30000000000001</v>
      </c>
      <c r="N5" s="33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8"/>
        <v>6.1749466691693833</v>
      </c>
      <c r="AD5" s="1">
        <f t="shared" si="9"/>
        <v>19.142334674425086</v>
      </c>
      <c r="AE5" s="1">
        <f t="shared" si="10"/>
        <v>54.957025355607513</v>
      </c>
      <c r="AF5" s="1">
        <f t="shared" si="11"/>
        <v>142.0237733908958</v>
      </c>
      <c r="AG5" s="1">
        <f t="shared" si="12"/>
        <v>314.30478546072158</v>
      </c>
      <c r="AH5" s="1">
        <f t="shared" si="13"/>
        <v>921.91953770698899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25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6">
        <f t="shared" si="2"/>
        <v>0.4</v>
      </c>
      <c r="I6" s="16">
        <f t="shared" si="3"/>
        <v>1.6</v>
      </c>
      <c r="J6" s="16">
        <f t="shared" si="4"/>
        <v>11</v>
      </c>
      <c r="K6" s="16">
        <f t="shared" si="5"/>
        <v>25.5</v>
      </c>
      <c r="L6" s="16">
        <f t="shared" si="6"/>
        <v>48.9</v>
      </c>
      <c r="M6" s="16">
        <f t="shared" si="7"/>
        <v>135.1</v>
      </c>
      <c r="N6" s="33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8"/>
        <v>4.4734404480427612</v>
      </c>
      <c r="AD6" s="1">
        <f t="shared" si="9"/>
        <v>17.893761792171045</v>
      </c>
      <c r="AE6" s="1">
        <f t="shared" si="10"/>
        <v>123.01961232117591</v>
      </c>
      <c r="AF6" s="1">
        <f t="shared" si="11"/>
        <v>285.18182856272597</v>
      </c>
      <c r="AG6" s="1">
        <f t="shared" si="12"/>
        <v>546.87809477322742</v>
      </c>
      <c r="AH6" s="1">
        <f t="shared" si="13"/>
        <v>1510.9045113264424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25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6">
        <f t="shared" si="2"/>
        <v>0.4</v>
      </c>
      <c r="I7" s="16">
        <f t="shared" si="3"/>
        <v>3.2</v>
      </c>
      <c r="J7" s="16">
        <f t="shared" si="4"/>
        <v>8.1999999999999993</v>
      </c>
      <c r="K7" s="16">
        <f t="shared" si="5"/>
        <v>27.8</v>
      </c>
      <c r="L7" s="16">
        <f t="shared" si="6"/>
        <v>82.8</v>
      </c>
      <c r="M7" s="16">
        <f t="shared" si="7"/>
        <v>176.4</v>
      </c>
      <c r="N7" s="33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8"/>
        <v>8.5378982016131477</v>
      </c>
      <c r="AD7" s="1">
        <f t="shared" si="9"/>
        <v>68.303185612905182</v>
      </c>
      <c r="AE7" s="1">
        <f t="shared" si="10"/>
        <v>175.02691313306951</v>
      </c>
      <c r="AF7" s="1">
        <f t="shared" si="11"/>
        <v>593.38392501211376</v>
      </c>
      <c r="AG7" s="1">
        <f t="shared" si="12"/>
        <v>1767.3449277339214</v>
      </c>
      <c r="AH7" s="1">
        <f t="shared" si="13"/>
        <v>3765.213106911398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25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6">
        <f t="shared" si="2"/>
        <v>0.75</v>
      </c>
      <c r="I8" s="16">
        <f t="shared" si="3"/>
        <v>3.625</v>
      </c>
      <c r="J8" s="16">
        <f t="shared" si="4"/>
        <v>12.75</v>
      </c>
      <c r="K8" s="16">
        <f t="shared" si="5"/>
        <v>30.75</v>
      </c>
      <c r="L8" s="16">
        <f t="shared" si="6"/>
        <v>61.625</v>
      </c>
      <c r="M8" s="16">
        <f t="shared" si="7"/>
        <v>166.125</v>
      </c>
      <c r="N8" s="33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8"/>
        <v>14.491523811577792</v>
      </c>
      <c r="AD8" s="1">
        <f t="shared" si="9"/>
        <v>70.042365089292659</v>
      </c>
      <c r="AE8" s="1">
        <f t="shared" si="10"/>
        <v>246.35590479682247</v>
      </c>
      <c r="AF8" s="1">
        <f t="shared" si="11"/>
        <v>594.15247627468943</v>
      </c>
      <c r="AG8" s="1">
        <f t="shared" si="12"/>
        <v>1190.7202065179752</v>
      </c>
      <c r="AH8" s="1">
        <f t="shared" si="13"/>
        <v>3209.8725242644809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25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6">
        <f t="shared" si="2"/>
        <v>0.3</v>
      </c>
      <c r="I9" s="16">
        <f t="shared" si="3"/>
        <v>2.1</v>
      </c>
      <c r="J9" s="16">
        <f t="shared" si="4"/>
        <v>9.1</v>
      </c>
      <c r="K9" s="16">
        <f t="shared" si="5"/>
        <v>21.2</v>
      </c>
      <c r="L9" s="16">
        <f t="shared" si="6"/>
        <v>66</v>
      </c>
      <c r="M9" s="16">
        <f t="shared" si="7"/>
        <v>158.1</v>
      </c>
      <c r="N9" s="33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8"/>
        <v>4.7855795443974394</v>
      </c>
      <c r="AD9" s="1">
        <f t="shared" si="9"/>
        <v>33.499056810782079</v>
      </c>
      <c r="AE9" s="1">
        <f t="shared" si="10"/>
        <v>145.16257951338898</v>
      </c>
      <c r="AF9" s="1">
        <f t="shared" si="11"/>
        <v>338.1809544707524</v>
      </c>
      <c r="AG9" s="1">
        <f t="shared" si="12"/>
        <v>1052.8274997674366</v>
      </c>
      <c r="AH9" s="1">
        <f t="shared" si="13"/>
        <v>2522.0004198974507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25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6">
        <f t="shared" si="2"/>
        <v>0.9</v>
      </c>
      <c r="I10" s="16">
        <f t="shared" si="3"/>
        <v>3.2</v>
      </c>
      <c r="J10" s="16">
        <f t="shared" si="4"/>
        <v>7.5</v>
      </c>
      <c r="K10" s="16">
        <f t="shared" si="5"/>
        <v>23.3</v>
      </c>
      <c r="L10" s="16">
        <f t="shared" si="6"/>
        <v>70</v>
      </c>
      <c r="M10" s="16">
        <f t="shared" si="7"/>
        <v>163.9</v>
      </c>
      <c r="N10" s="33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8"/>
        <v>8.7436506233546414</v>
      </c>
      <c r="AD10" s="1">
        <f t="shared" si="9"/>
        <v>31.088535549705394</v>
      </c>
      <c r="AE10" s="1">
        <f t="shared" si="10"/>
        <v>72.863755194622016</v>
      </c>
      <c r="AF10" s="1">
        <f t="shared" si="11"/>
        <v>226.36339947129241</v>
      </c>
      <c r="AG10" s="1">
        <f t="shared" si="12"/>
        <v>680.06171514980554</v>
      </c>
      <c r="AH10" s="1">
        <f t="shared" si="13"/>
        <v>1592.3159301864732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25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6">
        <f t="shared" si="2"/>
        <v>1</v>
      </c>
      <c r="I11" s="16">
        <f t="shared" si="3"/>
        <v>4.666666666666667</v>
      </c>
      <c r="J11" s="16">
        <f t="shared" si="4"/>
        <v>13.666666666666666</v>
      </c>
      <c r="K11" s="16">
        <f t="shared" si="5"/>
        <v>34.333333333333336</v>
      </c>
      <c r="L11" s="16">
        <f t="shared" si="6"/>
        <v>107.66666666666667</v>
      </c>
      <c r="M11" s="16">
        <f t="shared" si="7"/>
        <v>186.33333333333334</v>
      </c>
      <c r="N11" s="33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8"/>
        <v>22.449941060045909</v>
      </c>
      <c r="AD11" s="1">
        <f t="shared" si="9"/>
        <v>104.76639161354758</v>
      </c>
      <c r="AE11" s="1">
        <f t="shared" si="10"/>
        <v>306.81586115396073</v>
      </c>
      <c r="AF11" s="1">
        <f t="shared" si="11"/>
        <v>770.78130972824295</v>
      </c>
      <c r="AG11" s="1">
        <f t="shared" si="12"/>
        <v>2417.1103207982765</v>
      </c>
      <c r="AH11" s="1">
        <f t="shared" si="13"/>
        <v>4183.1723508552213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25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6">
        <f t="shared" si="2"/>
        <v>0.375</v>
      </c>
      <c r="I12" s="16">
        <f t="shared" si="3"/>
        <v>2.75</v>
      </c>
      <c r="J12" s="16">
        <f t="shared" si="4"/>
        <v>7.25</v>
      </c>
      <c r="K12" s="16">
        <f t="shared" si="5"/>
        <v>20.625</v>
      </c>
      <c r="L12" s="16">
        <f t="shared" si="6"/>
        <v>69.875</v>
      </c>
      <c r="M12" s="16">
        <f t="shared" si="7"/>
        <v>173</v>
      </c>
      <c r="N12" s="33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8"/>
        <v>3.9209879152546443</v>
      </c>
      <c r="AD12" s="1">
        <f t="shared" si="9"/>
        <v>28.75391137853406</v>
      </c>
      <c r="AE12" s="1">
        <f t="shared" si="10"/>
        <v>75.805766361589789</v>
      </c>
      <c r="AF12" s="1">
        <f t="shared" si="11"/>
        <v>215.65433533900546</v>
      </c>
      <c r="AG12" s="1">
        <f t="shared" si="12"/>
        <v>730.6107482091154</v>
      </c>
      <c r="AH12" s="1">
        <f t="shared" si="13"/>
        <v>1808.8824249041427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25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6">
        <f t="shared" si="2"/>
        <v>0.33333333333333331</v>
      </c>
      <c r="I13" s="16">
        <f t="shared" si="3"/>
        <v>1.5</v>
      </c>
      <c r="J13" s="16">
        <f t="shared" si="4"/>
        <v>8.1666666666666661</v>
      </c>
      <c r="K13" s="16">
        <f t="shared" si="5"/>
        <v>22</v>
      </c>
      <c r="L13" s="16">
        <f t="shared" si="6"/>
        <v>90.666666666666671</v>
      </c>
      <c r="M13" s="16">
        <f t="shared" si="7"/>
        <v>173.5</v>
      </c>
      <c r="N13" s="33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8"/>
        <v>11.08177221615286</v>
      </c>
      <c r="AD13" s="1">
        <f t="shared" si="9"/>
        <v>49.867974972687868</v>
      </c>
      <c r="AE13" s="1">
        <f t="shared" si="10"/>
        <v>271.50341929574506</v>
      </c>
      <c r="AF13" s="1">
        <f t="shared" si="11"/>
        <v>731.39696626608873</v>
      </c>
      <c r="AG13" s="1">
        <f t="shared" si="12"/>
        <v>3014.2420427935781</v>
      </c>
      <c r="AH13" s="1">
        <f t="shared" si="13"/>
        <v>5768.0624385075635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25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6">
        <f t="shared" si="2"/>
        <v>0.5</v>
      </c>
      <c r="I14" s="16">
        <f t="shared" si="3"/>
        <v>1.8</v>
      </c>
      <c r="J14" s="16">
        <f t="shared" si="4"/>
        <v>4.3</v>
      </c>
      <c r="K14" s="16">
        <f t="shared" si="5"/>
        <v>13.9</v>
      </c>
      <c r="L14" s="16">
        <f t="shared" si="6"/>
        <v>58.6</v>
      </c>
      <c r="M14" s="16">
        <f t="shared" si="7"/>
        <v>173</v>
      </c>
      <c r="N14" s="33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8"/>
        <v>4.744603360282647</v>
      </c>
      <c r="AD14" s="1">
        <f>I14/$E14</f>
        <v>17.08057209701753</v>
      </c>
      <c r="AE14" s="1">
        <f t="shared" si="10"/>
        <v>40.80358889843076</v>
      </c>
      <c r="AF14" s="1">
        <f t="shared" si="11"/>
        <v>131.89997341585757</v>
      </c>
      <c r="AG14" s="1">
        <f t="shared" si="12"/>
        <v>556.06751382512618</v>
      </c>
      <c r="AH14" s="1">
        <f t="shared" si="13"/>
        <v>1641.6327626577959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25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6">
        <f t="shared" si="2"/>
        <v>0.2</v>
      </c>
      <c r="I15" s="16">
        <f t="shared" si="3"/>
        <v>2.6</v>
      </c>
      <c r="J15" s="16">
        <f t="shared" si="4"/>
        <v>7.8</v>
      </c>
      <c r="K15" s="16">
        <f t="shared" si="5"/>
        <v>15.6</v>
      </c>
      <c r="L15" s="16">
        <f t="shared" si="6"/>
        <v>69</v>
      </c>
      <c r="M15" s="16">
        <f t="shared" si="7"/>
        <v>188.6</v>
      </c>
      <c r="N15" s="33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8"/>
        <v>7.2137359096902554</v>
      </c>
      <c r="AD15" s="1">
        <f t="shared" si="9"/>
        <v>93.778566825973328</v>
      </c>
      <c r="AE15" s="1">
        <f t="shared" si="10"/>
        <v>281.33570047791994</v>
      </c>
      <c r="AF15" s="1">
        <f t="shared" si="11"/>
        <v>562.67140095583989</v>
      </c>
      <c r="AG15" s="1">
        <f t="shared" si="12"/>
        <v>2488.7388888431383</v>
      </c>
      <c r="AH15" s="1">
        <f t="shared" si="13"/>
        <v>6802.5529628379109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25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6">
        <f t="shared" si="2"/>
        <v>0</v>
      </c>
      <c r="I16" s="16">
        <f t="shared" si="3"/>
        <v>0.8</v>
      </c>
      <c r="J16" s="16">
        <f t="shared" si="4"/>
        <v>4</v>
      </c>
      <c r="K16" s="16">
        <f t="shared" si="5"/>
        <v>12.1</v>
      </c>
      <c r="L16" s="16">
        <f t="shared" si="6"/>
        <v>63.1</v>
      </c>
      <c r="M16" s="16">
        <f t="shared" si="7"/>
        <v>188.1</v>
      </c>
      <c r="N16" s="33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8"/>
        <v>0</v>
      </c>
      <c r="AD16" s="1">
        <f t="shared" si="9"/>
        <v>35.585423581750703</v>
      </c>
      <c r="AE16" s="1">
        <f t="shared" si="10"/>
        <v>177.9271179087535</v>
      </c>
      <c r="AF16" s="1">
        <f t="shared" si="11"/>
        <v>538.2295316739793</v>
      </c>
      <c r="AG16" s="1">
        <f t="shared" si="12"/>
        <v>2806.8002850105868</v>
      </c>
      <c r="AH16" s="1">
        <f t="shared" si="13"/>
        <v>8367.0227196591331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25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6">
        <f t="shared" si="2"/>
        <v>0</v>
      </c>
      <c r="I17" s="16">
        <f t="shared" si="3"/>
        <v>0</v>
      </c>
      <c r="J17" s="16">
        <f t="shared" si="4"/>
        <v>0.73333333333333328</v>
      </c>
      <c r="K17" s="16">
        <f t="shared" si="5"/>
        <v>4.8</v>
      </c>
      <c r="L17" s="16">
        <f t="shared" si="6"/>
        <v>51.8</v>
      </c>
      <c r="M17" s="16">
        <f t="shared" si="7"/>
        <v>188</v>
      </c>
      <c r="N17" s="33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8"/>
        <v>0</v>
      </c>
      <c r="AD17" s="1">
        <f t="shared" si="9"/>
        <v>0</v>
      </c>
      <c r="AE17" s="1">
        <f t="shared" si="10"/>
        <v>66.926138033064461</v>
      </c>
      <c r="AF17" s="1">
        <f t="shared" si="11"/>
        <v>438.06199439824013</v>
      </c>
      <c r="AG17" s="1">
        <f t="shared" si="12"/>
        <v>4727.4190228810075</v>
      </c>
      <c r="AH17" s="1">
        <f t="shared" si="13"/>
        <v>17157.428113931073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25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6">
        <f t="shared" si="2"/>
        <v>0</v>
      </c>
      <c r="I18" s="16">
        <f t="shared" si="3"/>
        <v>1</v>
      </c>
      <c r="J18" s="16">
        <f t="shared" si="4"/>
        <v>4</v>
      </c>
      <c r="K18" s="16">
        <f t="shared" si="5"/>
        <v>17.166666666666668</v>
      </c>
      <c r="L18" s="16">
        <f t="shared" si="6"/>
        <v>69.666666666666671</v>
      </c>
      <c r="M18" s="16">
        <f t="shared" si="7"/>
        <v>189.83333333333334</v>
      </c>
      <c r="N18" s="33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8"/>
        <v>0</v>
      </c>
      <c r="AD18" s="1">
        <f t="shared" si="9"/>
        <v>44.884301444794666</v>
      </c>
      <c r="AE18" s="1">
        <f t="shared" si="10"/>
        <v>179.53720577917866</v>
      </c>
      <c r="AF18" s="1">
        <f t="shared" si="11"/>
        <v>770.5138414689751</v>
      </c>
      <c r="AG18" s="1">
        <f t="shared" si="12"/>
        <v>3126.9396673206952</v>
      </c>
      <c r="AH18" s="1">
        <f t="shared" si="13"/>
        <v>8520.5365576035201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25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6">
        <f t="shared" si="2"/>
        <v>0</v>
      </c>
      <c r="I19" s="16">
        <f t="shared" si="3"/>
        <v>0.25</v>
      </c>
      <c r="J19" s="16">
        <f t="shared" si="4"/>
        <v>3</v>
      </c>
      <c r="K19" s="16">
        <f t="shared" si="5"/>
        <v>14.25</v>
      </c>
      <c r="L19" s="16">
        <f t="shared" si="6"/>
        <v>68.75</v>
      </c>
      <c r="M19" s="16">
        <f t="shared" si="7"/>
        <v>207.5</v>
      </c>
      <c r="N19" s="33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8"/>
        <v>0</v>
      </c>
      <c r="AD19" s="1">
        <f t="shared" si="9"/>
        <v>22.942075451705435</v>
      </c>
      <c r="AE19" s="1">
        <f t="shared" si="10"/>
        <v>275.30490542046522</v>
      </c>
      <c r="AF19" s="1">
        <f t="shared" si="11"/>
        <v>1307.6983007472097</v>
      </c>
      <c r="AG19" s="1">
        <f t="shared" si="12"/>
        <v>6309.0707492189949</v>
      </c>
      <c r="AH19" s="1">
        <f t="shared" si="13"/>
        <v>19041.922624915511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25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6">
        <f t="shared" si="2"/>
        <v>0</v>
      </c>
      <c r="I20" s="16">
        <f t="shared" si="3"/>
        <v>0.16666666666666666</v>
      </c>
      <c r="J20" s="16">
        <f t="shared" si="4"/>
        <v>2.8333333333333335</v>
      </c>
      <c r="K20" s="16">
        <f t="shared" si="5"/>
        <v>12.666666666666666</v>
      </c>
      <c r="L20" s="16">
        <f t="shared" si="6"/>
        <v>54.666666666666664</v>
      </c>
      <c r="M20" s="16">
        <f t="shared" si="7"/>
        <v>204.66666666666666</v>
      </c>
      <c r="N20" s="33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8"/>
        <v>0</v>
      </c>
      <c r="AD20" s="1">
        <f t="shared" si="9"/>
        <v>14.728106667823553</v>
      </c>
      <c r="AE20" s="1">
        <f t="shared" si="10"/>
        <v>250.37781335300045</v>
      </c>
      <c r="AF20" s="1">
        <f t="shared" si="11"/>
        <v>1119.3361067545902</v>
      </c>
      <c r="AG20" s="1">
        <f t="shared" si="12"/>
        <v>4830.8189870461256</v>
      </c>
      <c r="AH20" s="1">
        <f t="shared" si="13"/>
        <v>18086.114988087324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25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6">
        <f t="shared" si="2"/>
        <v>0</v>
      </c>
      <c r="I21" s="16">
        <f t="shared" si="3"/>
        <v>1</v>
      </c>
      <c r="J21" s="16">
        <f t="shared" si="4"/>
        <v>4.5</v>
      </c>
      <c r="K21" s="16">
        <f t="shared" si="5"/>
        <v>10.666666666666666</v>
      </c>
      <c r="L21" s="16">
        <f t="shared" si="6"/>
        <v>60.666666666666664</v>
      </c>
      <c r="M21" s="16">
        <f t="shared" si="7"/>
        <v>200.16666666666666</v>
      </c>
      <c r="N21" s="33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8"/>
        <v>0</v>
      </c>
      <c r="AD21" s="1">
        <f t="shared" si="9"/>
        <v>40.726332395624006</v>
      </c>
      <c r="AE21" s="1">
        <f t="shared" si="10"/>
        <v>183.26849578030803</v>
      </c>
      <c r="AF21" s="1">
        <f t="shared" si="11"/>
        <v>434.41421221998934</v>
      </c>
      <c r="AG21" s="1">
        <f t="shared" si="12"/>
        <v>2470.7308320011894</v>
      </c>
      <c r="AH21" s="1">
        <f t="shared" si="13"/>
        <v>8152.0542011907373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25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6">
        <f t="shared" si="2"/>
        <v>0</v>
      </c>
      <c r="I22" s="16">
        <f t="shared" si="3"/>
        <v>0.6</v>
      </c>
      <c r="J22" s="16">
        <f t="shared" si="4"/>
        <v>4.2</v>
      </c>
      <c r="K22" s="16">
        <f t="shared" si="5"/>
        <v>14.8</v>
      </c>
      <c r="L22" s="16">
        <f t="shared" si="6"/>
        <v>79</v>
      </c>
      <c r="M22" s="16">
        <f t="shared" si="7"/>
        <v>198</v>
      </c>
      <c r="N22" s="33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8"/>
        <v>0</v>
      </c>
      <c r="AD22" s="1">
        <f t="shared" si="9"/>
        <v>37.048069968564306</v>
      </c>
      <c r="AE22" s="1">
        <f t="shared" si="10"/>
        <v>259.33648977995011</v>
      </c>
      <c r="AF22" s="1">
        <f t="shared" si="11"/>
        <v>913.85239255791953</v>
      </c>
      <c r="AG22" s="1">
        <f t="shared" si="12"/>
        <v>4877.9958791943</v>
      </c>
      <c r="AH22" s="1">
        <f t="shared" si="13"/>
        <v>12225.86308962622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25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6">
        <f t="shared" si="2"/>
        <v>0</v>
      </c>
      <c r="I23" s="16">
        <f t="shared" si="3"/>
        <v>0.1</v>
      </c>
      <c r="J23" s="16">
        <f t="shared" si="4"/>
        <v>1.1000000000000001</v>
      </c>
      <c r="K23" s="16">
        <f t="shared" si="5"/>
        <v>6.2</v>
      </c>
      <c r="L23" s="16">
        <f t="shared" si="6"/>
        <v>60.7</v>
      </c>
      <c r="M23" s="16">
        <f t="shared" si="7"/>
        <v>191.1</v>
      </c>
      <c r="N23" s="33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8"/>
        <v>0</v>
      </c>
      <c r="AD23" s="1">
        <f t="shared" si="9"/>
        <v>9.4113328584762215</v>
      </c>
      <c r="AE23" s="1">
        <f t="shared" si="10"/>
        <v>103.52466144323844</v>
      </c>
      <c r="AF23" s="1">
        <f t="shared" si="11"/>
        <v>583.50263722552575</v>
      </c>
      <c r="AG23" s="1">
        <f t="shared" si="12"/>
        <v>5712.6790450950666</v>
      </c>
      <c r="AH23" s="1">
        <f t="shared" si="13"/>
        <v>17985.057092548057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25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6">
        <f t="shared" si="2"/>
        <v>0</v>
      </c>
      <c r="I24" s="16">
        <f t="shared" si="3"/>
        <v>0</v>
      </c>
      <c r="J24" s="16">
        <f t="shared" si="4"/>
        <v>0.2</v>
      </c>
      <c r="K24" s="16">
        <f t="shared" si="5"/>
        <v>3.2</v>
      </c>
      <c r="L24" s="16">
        <f t="shared" si="6"/>
        <v>53.6</v>
      </c>
      <c r="M24" s="16">
        <f t="shared" si="7"/>
        <v>202</v>
      </c>
      <c r="N24" s="33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8"/>
        <v>0</v>
      </c>
      <c r="AD24" s="1">
        <f t="shared" si="9"/>
        <v>0</v>
      </c>
      <c r="AE24" s="1">
        <f t="shared" si="10"/>
        <v>36.965667958463975</v>
      </c>
      <c r="AF24" s="1">
        <f t="shared" si="11"/>
        <v>591.45068733542359</v>
      </c>
      <c r="AG24" s="1">
        <f t="shared" si="12"/>
        <v>9906.799012868345</v>
      </c>
      <c r="AH24" s="1">
        <f t="shared" si="13"/>
        <v>37335.324638048616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25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6">
        <f t="shared" si="2"/>
        <v>0</v>
      </c>
      <c r="I25" s="16">
        <f t="shared" si="3"/>
        <v>0</v>
      </c>
      <c r="J25" s="16">
        <f t="shared" si="4"/>
        <v>0.13333333333333333</v>
      </c>
      <c r="K25" s="16">
        <f t="shared" si="5"/>
        <v>2</v>
      </c>
      <c r="L25" s="16">
        <f t="shared" si="6"/>
        <v>40.06666666666667</v>
      </c>
      <c r="M25" s="16">
        <f t="shared" si="7"/>
        <v>200.2</v>
      </c>
      <c r="N25" s="33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8"/>
        <v>0</v>
      </c>
      <c r="AD25" s="1">
        <f t="shared" si="9"/>
        <v>0</v>
      </c>
      <c r="AE25" s="1">
        <f t="shared" si="10"/>
        <v>24.657483397584048</v>
      </c>
      <c r="AF25" s="1">
        <f t="shared" si="11"/>
        <v>369.86225096376074</v>
      </c>
      <c r="AG25" s="1">
        <f t="shared" si="12"/>
        <v>7409.5737609740072</v>
      </c>
      <c r="AH25" s="1">
        <f t="shared" si="13"/>
        <v>37023.211321472445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25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6">
        <f t="shared" si="2"/>
        <v>0</v>
      </c>
      <c r="I26" s="16">
        <f t="shared" si="3"/>
        <v>0.1</v>
      </c>
      <c r="J26" s="16">
        <f t="shared" si="4"/>
        <v>0.4</v>
      </c>
      <c r="K26" s="16">
        <f t="shared" si="5"/>
        <v>5.0999999999999996</v>
      </c>
      <c r="L26" s="16">
        <f t="shared" si="6"/>
        <v>49.4</v>
      </c>
      <c r="M26" s="16">
        <f t="shared" si="7"/>
        <v>193.1</v>
      </c>
      <c r="N26" s="33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8"/>
        <v>0</v>
      </c>
      <c r="AD26" s="1">
        <f t="shared" si="9"/>
        <v>14.360635543602761</v>
      </c>
      <c r="AE26" s="1">
        <f t="shared" si="10"/>
        <v>57.442542174411045</v>
      </c>
      <c r="AF26" s="1">
        <f t="shared" si="11"/>
        <v>732.39241272374079</v>
      </c>
      <c r="AG26" s="1">
        <f t="shared" si="12"/>
        <v>7094.1539585397641</v>
      </c>
      <c r="AH26" s="1">
        <f t="shared" si="13"/>
        <v>27730.387234696929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25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6">
        <f t="shared" si="2"/>
        <v>0</v>
      </c>
      <c r="I27" s="16">
        <f t="shared" si="3"/>
        <v>0.05</v>
      </c>
      <c r="J27" s="16">
        <f t="shared" si="4"/>
        <v>0.9</v>
      </c>
      <c r="K27" s="16">
        <f t="shared" si="5"/>
        <v>7.55</v>
      </c>
      <c r="L27" s="16">
        <f t="shared" si="6"/>
        <v>59.8</v>
      </c>
      <c r="M27" s="16">
        <f t="shared" si="7"/>
        <v>180.85</v>
      </c>
      <c r="N27" s="33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8"/>
        <v>0</v>
      </c>
      <c r="AD27" s="1">
        <f t="shared" si="9"/>
        <v>3.5706186292925777</v>
      </c>
      <c r="AE27" s="1">
        <f t="shared" si="10"/>
        <v>64.271135327266393</v>
      </c>
      <c r="AF27" s="1">
        <f t="shared" si="11"/>
        <v>539.16341302317915</v>
      </c>
      <c r="AG27" s="1">
        <f t="shared" si="12"/>
        <v>4270.4598806339227</v>
      </c>
      <c r="AH27" s="1">
        <f t="shared" si="13"/>
        <v>12914.927582151253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25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6">
        <f t="shared" si="2"/>
        <v>0</v>
      </c>
      <c r="I28" s="16">
        <f t="shared" si="3"/>
        <v>0.05</v>
      </c>
      <c r="J28" s="16">
        <f t="shared" si="4"/>
        <v>0.55000000000000004</v>
      </c>
      <c r="K28" s="16">
        <f t="shared" si="5"/>
        <v>5.15</v>
      </c>
      <c r="L28" s="16">
        <f t="shared" si="6"/>
        <v>48.6</v>
      </c>
      <c r="M28" s="16">
        <f t="shared" si="7"/>
        <v>175.05</v>
      </c>
      <c r="N28" s="33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8"/>
        <v>0</v>
      </c>
      <c r="AD28" s="1">
        <f t="shared" si="9"/>
        <v>4.5910306034222748</v>
      </c>
      <c r="AE28" s="1">
        <f t="shared" si="10"/>
        <v>50.501336637645025</v>
      </c>
      <c r="AF28" s="1">
        <f t="shared" si="11"/>
        <v>472.87615215249434</v>
      </c>
      <c r="AG28" s="1">
        <f t="shared" si="12"/>
        <v>4462.4817465264514</v>
      </c>
      <c r="AH28" s="1">
        <f t="shared" si="13"/>
        <v>16073.198142581385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25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6">
        <f t="shared" si="2"/>
        <v>0</v>
      </c>
      <c r="I29" s="16">
        <f t="shared" si="3"/>
        <v>0.4</v>
      </c>
      <c r="J29" s="16">
        <f t="shared" si="4"/>
        <v>3.5</v>
      </c>
      <c r="K29" s="16">
        <f t="shared" si="5"/>
        <v>16.3</v>
      </c>
      <c r="L29" s="16">
        <f t="shared" si="6"/>
        <v>78.8</v>
      </c>
      <c r="M29" s="16">
        <f t="shared" si="7"/>
        <v>174.9</v>
      </c>
      <c r="N29" s="33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8"/>
        <v>0</v>
      </c>
      <c r="AD29" s="1">
        <f t="shared" si="9"/>
        <v>17.242914162560893</v>
      </c>
      <c r="AE29" s="1">
        <f t="shared" si="10"/>
        <v>150.87549892240781</v>
      </c>
      <c r="AF29" s="1">
        <f t="shared" si="11"/>
        <v>702.64875212435641</v>
      </c>
      <c r="AG29" s="1">
        <f t="shared" si="12"/>
        <v>3396.8540900244957</v>
      </c>
      <c r="AH29" s="1">
        <f t="shared" si="13"/>
        <v>7539.4642175797508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25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6">
        <f t="shared" si="2"/>
        <v>0</v>
      </c>
      <c r="I30" s="16">
        <f t="shared" si="3"/>
        <v>0.55000000000000004</v>
      </c>
      <c r="J30" s="16">
        <f t="shared" si="4"/>
        <v>2.8</v>
      </c>
      <c r="K30" s="16">
        <f t="shared" si="5"/>
        <v>10.199999999999999</v>
      </c>
      <c r="L30" s="16">
        <f t="shared" si="6"/>
        <v>60.75</v>
      </c>
      <c r="M30" s="16">
        <f t="shared" si="7"/>
        <v>171.2</v>
      </c>
      <c r="N30" s="33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8"/>
        <v>0</v>
      </c>
      <c r="AD30" s="1">
        <f t="shared" si="9"/>
        <v>15.560492066082782</v>
      </c>
      <c r="AE30" s="1">
        <f t="shared" si="10"/>
        <v>79.217050518239603</v>
      </c>
      <c r="AF30" s="1">
        <f t="shared" si="11"/>
        <v>288.57639831644428</v>
      </c>
      <c r="AG30" s="1">
        <f t="shared" si="12"/>
        <v>1718.7270782082344</v>
      </c>
      <c r="AH30" s="1">
        <f t="shared" si="13"/>
        <v>4843.5568031152216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25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6">
        <f t="shared" si="2"/>
        <v>6.6666666666666666E-2</v>
      </c>
      <c r="I31" s="16">
        <f t="shared" si="3"/>
        <v>0.33333333333333331</v>
      </c>
      <c r="J31" s="16">
        <f t="shared" si="4"/>
        <v>1.7333333333333334</v>
      </c>
      <c r="K31" s="16">
        <f t="shared" si="5"/>
        <v>7.4666666666666668</v>
      </c>
      <c r="L31" s="16">
        <f t="shared" si="6"/>
        <v>54.06666666666667</v>
      </c>
      <c r="M31" s="16">
        <f t="shared" si="7"/>
        <v>187.2</v>
      </c>
      <c r="N31" s="33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8"/>
        <v>2.7759031215583749</v>
      </c>
      <c r="AD31" s="1">
        <f t="shared" si="9"/>
        <v>13.879515607791873</v>
      </c>
      <c r="AE31" s="1">
        <f t="shared" si="10"/>
        <v>72.173481160517753</v>
      </c>
      <c r="AF31" s="1">
        <f t="shared" si="11"/>
        <v>310.90114961453799</v>
      </c>
      <c r="AG31" s="1">
        <f t="shared" si="12"/>
        <v>2251.2574315838424</v>
      </c>
      <c r="AH31" s="1">
        <f t="shared" si="13"/>
        <v>7794.7359653359163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25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6">
        <f t="shared" si="2"/>
        <v>0</v>
      </c>
      <c r="I32" s="16">
        <f t="shared" si="3"/>
        <v>0.3</v>
      </c>
      <c r="J32" s="16">
        <f t="shared" si="4"/>
        <v>2.8</v>
      </c>
      <c r="K32" s="16">
        <f t="shared" si="5"/>
        <v>14.7</v>
      </c>
      <c r="L32" s="16">
        <f t="shared" si="6"/>
        <v>70</v>
      </c>
      <c r="M32" s="16">
        <f t="shared" si="7"/>
        <v>183.8</v>
      </c>
      <c r="N32" s="33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8"/>
        <v>0</v>
      </c>
      <c r="AD32" s="1">
        <f t="shared" si="9"/>
        <v>15.446304423842374</v>
      </c>
      <c r="AE32" s="1">
        <f t="shared" si="10"/>
        <v>144.16550795586215</v>
      </c>
      <c r="AF32" s="1">
        <f t="shared" si="11"/>
        <v>756.86891676827634</v>
      </c>
      <c r="AG32" s="1">
        <f t="shared" si="12"/>
        <v>3604.137698896554</v>
      </c>
      <c r="AH32" s="1">
        <f t="shared" si="13"/>
        <v>9463.4358436740949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25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6">
        <f t="shared" si="2"/>
        <v>0.5</v>
      </c>
      <c r="I33" s="16">
        <f t="shared" si="3"/>
        <v>1.9</v>
      </c>
      <c r="J33" s="16">
        <f t="shared" si="4"/>
        <v>5.65</v>
      </c>
      <c r="K33" s="16">
        <f t="shared" si="5"/>
        <v>15.6</v>
      </c>
      <c r="L33" s="16">
        <f t="shared" si="6"/>
        <v>60.6</v>
      </c>
      <c r="M33" s="16">
        <f t="shared" si="7"/>
        <v>165.3</v>
      </c>
      <c r="N33" s="33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8"/>
        <v>3.9515030910313329</v>
      </c>
      <c r="AD33" s="1">
        <f t="shared" si="9"/>
        <v>15.015711745919065</v>
      </c>
      <c r="AE33" s="1">
        <f t="shared" si="10"/>
        <v>44.651984928654066</v>
      </c>
      <c r="AF33" s="1">
        <f t="shared" si="11"/>
        <v>123.28689644017759</v>
      </c>
      <c r="AG33" s="1">
        <f t="shared" si="12"/>
        <v>478.92217463299755</v>
      </c>
      <c r="AH33" s="1">
        <f t="shared" si="13"/>
        <v>1306.3669218949588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25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6">
        <f t="shared" si="2"/>
        <v>0.13333333333333333</v>
      </c>
      <c r="I34" s="16">
        <f t="shared" si="3"/>
        <v>2</v>
      </c>
      <c r="J34" s="16">
        <f t="shared" si="4"/>
        <v>7.333333333333333</v>
      </c>
      <c r="K34" s="16">
        <f t="shared" si="5"/>
        <v>18.600000000000001</v>
      </c>
      <c r="L34" s="16">
        <f t="shared" si="6"/>
        <v>68.8</v>
      </c>
      <c r="M34" s="16">
        <f t="shared" si="7"/>
        <v>171.33333333333334</v>
      </c>
      <c r="N34" s="33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8"/>
        <v>2.5888484215497263</v>
      </c>
      <c r="AD34" s="1">
        <f t="shared" si="9"/>
        <v>38.832726323245893</v>
      </c>
      <c r="AE34" s="1">
        <f t="shared" si="10"/>
        <v>142.38666318523494</v>
      </c>
      <c r="AF34" s="1">
        <f t="shared" si="11"/>
        <v>361.14435480618681</v>
      </c>
      <c r="AG34" s="1">
        <f t="shared" si="12"/>
        <v>1335.8457855196586</v>
      </c>
      <c r="AH34" s="1">
        <f t="shared" si="13"/>
        <v>3326.6702216913982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25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6">
        <f t="shared" si="2"/>
        <v>0.2</v>
      </c>
      <c r="I35" s="16">
        <f t="shared" si="3"/>
        <v>1</v>
      </c>
      <c r="J35" s="16">
        <f t="shared" si="4"/>
        <v>3.4</v>
      </c>
      <c r="K35" s="16">
        <f t="shared" si="5"/>
        <v>12.25</v>
      </c>
      <c r="L35" s="16">
        <f t="shared" si="6"/>
        <v>57.75</v>
      </c>
      <c r="M35" s="16">
        <f t="shared" si="7"/>
        <v>167.8</v>
      </c>
      <c r="N35" s="33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8"/>
        <v>3.9656145152191913</v>
      </c>
      <c r="AD35" s="1">
        <f t="shared" si="9"/>
        <v>19.828072576095956</v>
      </c>
      <c r="AE35" s="1">
        <f t="shared" si="10"/>
        <v>67.415446758726247</v>
      </c>
      <c r="AF35" s="1">
        <f t="shared" si="11"/>
        <v>242.89388905717544</v>
      </c>
      <c r="AG35" s="1">
        <f t="shared" si="12"/>
        <v>1145.0711912695413</v>
      </c>
      <c r="AH35" s="1">
        <f t="shared" si="13"/>
        <v>3327.1505782689014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25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6">
        <f t="shared" si="2"/>
        <v>0.8</v>
      </c>
      <c r="I36" s="16">
        <f t="shared" si="3"/>
        <v>4.0666666666666664</v>
      </c>
      <c r="J36" s="16">
        <f t="shared" si="4"/>
        <v>12.466666666666667</v>
      </c>
      <c r="K36" s="16">
        <f t="shared" si="5"/>
        <v>32.666666666666664</v>
      </c>
      <c r="L36" s="16">
        <f t="shared" si="6"/>
        <v>67.933333333333337</v>
      </c>
      <c r="M36" s="16">
        <f t="shared" si="7"/>
        <v>150.53333333333333</v>
      </c>
      <c r="N36" s="33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8"/>
        <v>8.2609883959281003</v>
      </c>
      <c r="AD36" s="1">
        <f t="shared" si="9"/>
        <v>41.993357679301177</v>
      </c>
      <c r="AE36" s="1">
        <f t="shared" si="10"/>
        <v>128.73373583654623</v>
      </c>
      <c r="AF36" s="1">
        <f t="shared" si="11"/>
        <v>337.32369283373072</v>
      </c>
      <c r="AG36" s="1">
        <f t="shared" si="12"/>
        <v>701.49559795422795</v>
      </c>
      <c r="AH36" s="1">
        <f t="shared" si="13"/>
        <v>1554.4426498338041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25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6">
        <f t="shared" si="2"/>
        <v>0</v>
      </c>
      <c r="I37" s="16">
        <f t="shared" si="3"/>
        <v>0.75</v>
      </c>
      <c r="J37" s="16">
        <f t="shared" si="4"/>
        <v>4.0999999999999996</v>
      </c>
      <c r="K37" s="16">
        <f t="shared" si="5"/>
        <v>17.649999999999999</v>
      </c>
      <c r="L37" s="16">
        <f t="shared" si="6"/>
        <v>69.7</v>
      </c>
      <c r="M37" s="16">
        <f t="shared" si="7"/>
        <v>167.75</v>
      </c>
      <c r="N37" s="33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8"/>
        <v>0</v>
      </c>
      <c r="AD37" s="1">
        <f t="shared" si="9"/>
        <v>17.998571253392626</v>
      </c>
      <c r="AE37" s="1">
        <f t="shared" si="10"/>
        <v>98.392189518546346</v>
      </c>
      <c r="AF37" s="1">
        <f t="shared" si="11"/>
        <v>423.56637682983973</v>
      </c>
      <c r="AG37" s="1">
        <f t="shared" si="12"/>
        <v>1672.667221815288</v>
      </c>
      <c r="AH37" s="1">
        <f t="shared" si="13"/>
        <v>4025.6804370088171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25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6">
        <f t="shared" si="2"/>
        <v>0.3</v>
      </c>
      <c r="I38" s="16">
        <f t="shared" si="3"/>
        <v>1.6</v>
      </c>
      <c r="J38" s="16">
        <f t="shared" si="4"/>
        <v>7.1</v>
      </c>
      <c r="K38" s="16">
        <f t="shared" si="5"/>
        <v>20.95</v>
      </c>
      <c r="L38" s="16">
        <f t="shared" si="6"/>
        <v>76.55</v>
      </c>
      <c r="M38" s="16">
        <f t="shared" si="7"/>
        <v>164.3</v>
      </c>
      <c r="N38" s="33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8"/>
        <v>4.6124377100793845</v>
      </c>
      <c r="AD38" s="1">
        <f t="shared" si="9"/>
        <v>24.599667787090052</v>
      </c>
      <c r="AE38" s="1">
        <f t="shared" si="10"/>
        <v>109.16102580521211</v>
      </c>
      <c r="AF38" s="1">
        <f t="shared" si="11"/>
        <v>322.10190008721037</v>
      </c>
      <c r="AG38" s="1">
        <f t="shared" si="12"/>
        <v>1176.9403556885895</v>
      </c>
      <c r="AH38" s="1">
        <f t="shared" si="13"/>
        <v>2526.0783858868099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25">
      <c r="F39" s="1"/>
      <c r="H39" s="1"/>
      <c r="I39" s="1"/>
      <c r="J39" s="1"/>
      <c r="K39" s="1"/>
      <c r="L39" s="1"/>
      <c r="M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  <row r="43" spans="1:58" x14ac:dyDescent="0.25">
      <c r="F43" s="1"/>
    </row>
  </sheetData>
  <mergeCells count="1">
    <mergeCell ref="AC1:A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13"/>
  <sheetViews>
    <sheetView tabSelected="1" topLeftCell="O76" zoomScaleNormal="100" workbookViewId="0">
      <selection activeCell="W82" sqref="W82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8" max="8" width="10.5703125" bestFit="1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2" customWidth="1"/>
    <col min="19" max="19" width="13.28515625" customWidth="1"/>
    <col min="20" max="20" width="15.28515625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5.5703125" customWidth="1"/>
    <col min="30" max="30" width="15.28515625" customWidth="1"/>
    <col min="31" max="31" width="15" customWidth="1"/>
    <col min="32" max="32" width="14.85546875" customWidth="1"/>
    <col min="35" max="35" width="14" customWidth="1"/>
    <col min="36" max="36" width="15.85546875" customWidth="1"/>
    <col min="37" max="37" width="14.85546875" customWidth="1"/>
    <col min="38" max="38" width="10.140625" customWidth="1"/>
  </cols>
  <sheetData>
    <row r="1" spans="1:56" x14ac:dyDescent="0.25">
      <c r="A1" t="s">
        <v>61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97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/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/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AA1" s="1" t="s">
        <v>62</v>
      </c>
      <c r="AB1" s="1" t="s">
        <v>63</v>
      </c>
      <c r="AC1" s="1" t="s">
        <v>64</v>
      </c>
      <c r="AD1" s="1" t="s">
        <v>65</v>
      </c>
      <c r="AE1" s="1" t="s">
        <v>66</v>
      </c>
      <c r="AF1" s="1" t="s">
        <v>67</v>
      </c>
      <c r="AH1" s="1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P1" s="1" t="s">
        <v>125</v>
      </c>
      <c r="AQ1" s="54" t="s">
        <v>126</v>
      </c>
      <c r="AR1" s="54"/>
      <c r="AS1" s="54" t="s">
        <v>154</v>
      </c>
      <c r="AT1" s="54"/>
      <c r="AU1" s="54"/>
      <c r="AV1" s="54"/>
      <c r="AW1" s="54"/>
      <c r="AX1" s="54"/>
      <c r="AY1" s="54" t="s">
        <v>155</v>
      </c>
      <c r="AZ1" s="54"/>
      <c r="BA1" s="54"/>
      <c r="BB1" s="54"/>
      <c r="BC1" s="54"/>
      <c r="BD1" s="54"/>
    </row>
    <row r="2" spans="1:56" x14ac:dyDescent="0.25">
      <c r="A2" s="48" t="s">
        <v>68</v>
      </c>
      <c r="B2" s="51">
        <v>479.999977324263</v>
      </c>
      <c r="C2" s="46">
        <v>0.21698840087687299</v>
      </c>
      <c r="D2" s="46">
        <v>6.9417065E-2</v>
      </c>
      <c r="E2" s="46">
        <v>5.3667272000000002E-2</v>
      </c>
      <c r="F2" s="46">
        <f>AH2/$B2</f>
        <v>0.22083334376574756</v>
      </c>
      <c r="G2" s="46">
        <f t="shared" ref="F2:K17" si="0">AI2/$B2</f>
        <v>8.7479170799280563</v>
      </c>
      <c r="H2" s="46">
        <f t="shared" si="0"/>
        <v>80.606253807929605</v>
      </c>
      <c r="I2" s="46">
        <f t="shared" si="0"/>
        <v>167.91875793266999</v>
      </c>
      <c r="J2" s="46">
        <f t="shared" si="0"/>
        <v>148.08334032895601</v>
      </c>
      <c r="K2" s="46">
        <f t="shared" si="0"/>
        <v>47.883335595395678</v>
      </c>
      <c r="L2" s="1"/>
      <c r="M2" s="46">
        <v>0.120912157052691</v>
      </c>
      <c r="N2" s="46">
        <v>0.33180424301834099</v>
      </c>
      <c r="O2" s="46">
        <v>1.1106730436618699</v>
      </c>
      <c r="P2" s="46">
        <v>4.4426921746474797</v>
      </c>
      <c r="Q2" s="46">
        <v>17.770768698589901</v>
      </c>
      <c r="R2" s="46">
        <v>71.083074794359803</v>
      </c>
      <c r="S2" s="46"/>
      <c r="T2" s="46">
        <v>0.21698840087687299</v>
      </c>
      <c r="U2" s="46">
        <v>0.86795360350749196</v>
      </c>
      <c r="V2" s="46">
        <v>3.47181441402997</v>
      </c>
      <c r="W2" s="46">
        <v>13.8872576561198</v>
      </c>
      <c r="X2" s="46">
        <v>55.549030624479499</v>
      </c>
      <c r="Y2" s="46">
        <v>222.196122497918</v>
      </c>
      <c r="AA2" s="13">
        <v>0.118359313673794</v>
      </c>
      <c r="AB2" s="13">
        <v>0.30693782510638401</v>
      </c>
      <c r="AC2" s="13">
        <v>0.85867635779576901</v>
      </c>
      <c r="AD2" s="13">
        <v>3.4347054311830698</v>
      </c>
      <c r="AE2" s="13">
        <v>13.738821724732301</v>
      </c>
      <c r="AF2" s="13">
        <v>54.955286898929202</v>
      </c>
      <c r="AH2" s="1">
        <v>106</v>
      </c>
      <c r="AI2" s="1">
        <v>4199</v>
      </c>
      <c r="AJ2" s="1">
        <v>38691</v>
      </c>
      <c r="AK2" s="1">
        <v>80601</v>
      </c>
      <c r="AL2" s="1">
        <v>71080</v>
      </c>
      <c r="AM2" s="1">
        <v>22984</v>
      </c>
      <c r="AP2" s="1"/>
      <c r="AQ2" s="66" t="s">
        <v>127</v>
      </c>
      <c r="AR2" s="67" t="s">
        <v>128</v>
      </c>
      <c r="AS2" s="67" t="s">
        <v>119</v>
      </c>
      <c r="AT2" s="67" t="s">
        <v>120</v>
      </c>
      <c r="AU2" s="67" t="s">
        <v>121</v>
      </c>
      <c r="AV2" s="67" t="s">
        <v>122</v>
      </c>
      <c r="AW2" s="67" t="s">
        <v>123</v>
      </c>
      <c r="AX2" s="67" t="s">
        <v>124</v>
      </c>
      <c r="AY2" s="67" t="s">
        <v>119</v>
      </c>
      <c r="AZ2" s="67" t="s">
        <v>120</v>
      </c>
      <c r="BA2" s="67" t="s">
        <v>121</v>
      </c>
      <c r="BB2" s="67" t="s">
        <v>122</v>
      </c>
      <c r="BC2" s="67" t="s">
        <v>123</v>
      </c>
      <c r="BD2" s="67" t="s">
        <v>124</v>
      </c>
    </row>
    <row r="3" spans="1:56" x14ac:dyDescent="0.25">
      <c r="A3" s="1" t="s">
        <v>69</v>
      </c>
      <c r="B3" s="12">
        <v>49.999977324263</v>
      </c>
      <c r="C3" s="13">
        <v>0.103785400341108</v>
      </c>
      <c r="D3" s="13">
        <v>9.3097685505032102E-3</v>
      </c>
      <c r="E3" s="13">
        <v>2.6623638531804101E-3</v>
      </c>
      <c r="F3" s="13">
        <f t="shared" si="0"/>
        <v>0.1400000634920924</v>
      </c>
      <c r="G3" s="13">
        <f t="shared" si="0"/>
        <v>0.64000029024956528</v>
      </c>
      <c r="H3" s="13">
        <f t="shared" si="0"/>
        <v>2.9600013424042393</v>
      </c>
      <c r="I3" s="13">
        <f t="shared" si="0"/>
        <v>9.5000043083919845</v>
      </c>
      <c r="J3" s="13">
        <f t="shared" si="0"/>
        <v>37.660017079372857</v>
      </c>
      <c r="K3" s="13">
        <f t="shared" si="0"/>
        <v>117.32005320637343</v>
      </c>
      <c r="L3" s="1"/>
      <c r="M3" s="13">
        <v>8.7491372398812203E-2</v>
      </c>
      <c r="N3" s="13">
        <v>0.209281252002183</v>
      </c>
      <c r="O3" s="13">
        <v>0.53107420883976697</v>
      </c>
      <c r="P3" s="13">
        <v>1.1427850401592301</v>
      </c>
      <c r="Q3" s="13">
        <v>2.42627671242104</v>
      </c>
      <c r="R3" s="13">
        <v>9.5332029957152908</v>
      </c>
      <c r="S3" s="13"/>
      <c r="T3" s="13">
        <v>0.103785400341108</v>
      </c>
      <c r="U3" s="13">
        <v>0.41514160136443401</v>
      </c>
      <c r="V3" s="13">
        <v>1.66056640545773</v>
      </c>
      <c r="W3" s="13">
        <v>6.6422656218309504</v>
      </c>
      <c r="X3" s="13">
        <v>26.569062487323801</v>
      </c>
      <c r="Y3" s="13">
        <v>106.27624994929501</v>
      </c>
      <c r="AA3" s="13">
        <v>0.103757048244818</v>
      </c>
      <c r="AB3" s="13">
        <v>0.14698858143442201</v>
      </c>
      <c r="AC3" s="13">
        <v>0.24910673933583599</v>
      </c>
      <c r="AD3" s="13">
        <v>0.37211833067852301</v>
      </c>
      <c r="AE3" s="13">
        <v>0.69718753395348498</v>
      </c>
      <c r="AF3" s="13">
        <v>2.7262605856567399</v>
      </c>
      <c r="AH3" s="1">
        <v>7</v>
      </c>
      <c r="AI3" s="1">
        <v>32</v>
      </c>
      <c r="AJ3" s="1">
        <v>148</v>
      </c>
      <c r="AK3" s="1">
        <v>475</v>
      </c>
      <c r="AL3" s="1">
        <v>1883</v>
      </c>
      <c r="AM3" s="1">
        <v>5866</v>
      </c>
      <c r="AP3" s="1" t="s">
        <v>129</v>
      </c>
      <c r="AQ3" s="38">
        <f>C51</f>
        <v>59.771359364921274</v>
      </c>
      <c r="AR3" s="60">
        <f>I51</f>
        <v>82.741708388046291</v>
      </c>
      <c r="AS3" s="60">
        <f>N51</f>
        <v>116.93261562323761</v>
      </c>
      <c r="AT3" s="60">
        <f>R51</f>
        <v>959.78668019866313</v>
      </c>
      <c r="AU3" s="60">
        <f>X51</f>
        <v>461.55729726895055</v>
      </c>
      <c r="AV3" s="60">
        <f>AC51</f>
        <v>108.37543690012475</v>
      </c>
      <c r="AW3" s="60">
        <f>AJ51</f>
        <v>88.079662396381281</v>
      </c>
      <c r="AX3" s="38">
        <f>AP51</f>
        <v>44.368440193823908</v>
      </c>
      <c r="AY3" s="33" cm="1">
        <f t="array" ref="AY3:AY5">N111:N113</f>
        <v>60.357871847966301</v>
      </c>
    </row>
    <row r="4" spans="1:56" x14ac:dyDescent="0.25">
      <c r="A4" s="1" t="s">
        <v>70</v>
      </c>
      <c r="B4" s="12">
        <v>99.999977324263</v>
      </c>
      <c r="C4" s="13">
        <v>1.7343593585544201E-2</v>
      </c>
      <c r="D4" s="13">
        <v>3.7541223526986601E-3</v>
      </c>
      <c r="E4" s="13">
        <v>3.5652204100954199E-3</v>
      </c>
      <c r="F4" s="13">
        <f t="shared" si="0"/>
        <v>0</v>
      </c>
      <c r="G4" s="13">
        <f t="shared" si="0"/>
        <v>3.0000006802722641E-2</v>
      </c>
      <c r="H4" s="13">
        <f t="shared" si="0"/>
        <v>0.17000003854876164</v>
      </c>
      <c r="I4" s="13">
        <f t="shared" si="0"/>
        <v>2.2100005011339015</v>
      </c>
      <c r="J4" s="13">
        <f t="shared" si="0"/>
        <v>29.650006723357546</v>
      </c>
      <c r="K4" s="13">
        <f t="shared" si="0"/>
        <v>148.97003378005306</v>
      </c>
      <c r="L4" s="1"/>
      <c r="M4" s="1">
        <v>0</v>
      </c>
      <c r="N4" s="13">
        <v>4.8899641067386798E-2</v>
      </c>
      <c r="O4" s="13">
        <v>0.137793372793407</v>
      </c>
      <c r="P4" s="13">
        <v>0.30126664954396598</v>
      </c>
      <c r="Q4" s="13">
        <v>0.96105532229085699</v>
      </c>
      <c r="R4" s="13">
        <v>3.84422128916342</v>
      </c>
      <c r="S4" s="13"/>
      <c r="T4" s="13"/>
      <c r="U4" s="13">
        <v>6.9374374342176998E-2</v>
      </c>
      <c r="V4" s="13">
        <v>0.27749749736870799</v>
      </c>
      <c r="W4" s="13">
        <v>1.10998998947483</v>
      </c>
      <c r="X4" s="13">
        <v>4.4399599578993296</v>
      </c>
      <c r="Y4" s="13">
        <v>17.759839831597301</v>
      </c>
      <c r="AA4" s="13"/>
      <c r="AB4" s="13">
        <v>4.8899641067386798E-2</v>
      </c>
      <c r="AC4" s="13">
        <v>0.11369963117038601</v>
      </c>
      <c r="AD4" s="13">
        <v>0.28479190741614602</v>
      </c>
      <c r="AE4" s="13">
        <v>0.91269642498442904</v>
      </c>
      <c r="AF4" s="13">
        <v>3.65078569993771</v>
      </c>
      <c r="AH4" s="1">
        <v>0</v>
      </c>
      <c r="AI4" s="1">
        <v>3</v>
      </c>
      <c r="AJ4" s="1">
        <v>17</v>
      </c>
      <c r="AK4" s="1">
        <v>221</v>
      </c>
      <c r="AL4" s="1">
        <v>2965</v>
      </c>
      <c r="AM4" s="1">
        <v>14897</v>
      </c>
      <c r="AP4" s="1" t="s">
        <v>44</v>
      </c>
      <c r="AQ4" s="38">
        <f>C52</f>
        <v>50.975827520846039</v>
      </c>
      <c r="AR4" s="60">
        <f>I52</f>
        <v>57.082656341455142</v>
      </c>
      <c r="AS4" s="60">
        <f>N52</f>
        <v>7581.9978725007923</v>
      </c>
      <c r="AT4" s="38">
        <f>R52</f>
        <v>30.408553062363779</v>
      </c>
      <c r="AU4" s="60">
        <f>X52</f>
        <v>260.23823703863144</v>
      </c>
      <c r="AV4" s="60">
        <f>AC52</f>
        <v>69.910590305413976</v>
      </c>
      <c r="AW4" s="60">
        <f>AJ52</f>
        <v>61.528280214030524</v>
      </c>
      <c r="AX4" s="38">
        <f>AP52</f>
        <v>30.874720248046778</v>
      </c>
      <c r="AY4">
        <v>51.699240848331911</v>
      </c>
    </row>
    <row r="5" spans="1:56" x14ac:dyDescent="0.25">
      <c r="A5" s="1" t="s">
        <v>71</v>
      </c>
      <c r="B5" s="12">
        <v>199.999977324263</v>
      </c>
      <c r="C5" s="13">
        <v>7.6130482621443903E-3</v>
      </c>
      <c r="D5" s="13">
        <v>4.6194348205836396E-3</v>
      </c>
      <c r="E5" s="13">
        <v>4.7748825034219702E-3</v>
      </c>
      <c r="F5" s="13">
        <f t="shared" si="0"/>
        <v>0</v>
      </c>
      <c r="G5" s="13">
        <f t="shared" si="0"/>
        <v>0</v>
      </c>
      <c r="H5" s="13">
        <f t="shared" si="0"/>
        <v>4.0000004535147911E-2</v>
      </c>
      <c r="I5" s="13">
        <f t="shared" si="0"/>
        <v>3.0800003492063892</v>
      </c>
      <c r="J5" s="13">
        <f t="shared" si="0"/>
        <v>51.075005790816995</v>
      </c>
      <c r="K5" s="13">
        <f t="shared" si="0"/>
        <v>148.6900168582786</v>
      </c>
      <c r="L5" s="1"/>
      <c r="M5" s="1">
        <v>0</v>
      </c>
      <c r="N5" s="1">
        <v>0</v>
      </c>
      <c r="O5" s="13">
        <v>8.7334190395029695E-2</v>
      </c>
      <c r="P5" s="13">
        <v>0.33191630848951997</v>
      </c>
      <c r="Q5" s="13">
        <v>1.1911345040895001</v>
      </c>
      <c r="R5" s="13">
        <v>4.7303012562776399</v>
      </c>
      <c r="S5" s="13"/>
      <c r="T5" s="13"/>
      <c r="U5" s="13"/>
      <c r="V5" s="13">
        <v>0.107860658537048</v>
      </c>
      <c r="W5" s="13">
        <v>0.48723508877724098</v>
      </c>
      <c r="X5" s="13">
        <v>1.9489403551089599</v>
      </c>
      <c r="Y5" s="13">
        <v>7.7957614204358503</v>
      </c>
      <c r="AA5" s="13"/>
      <c r="AB5" s="13"/>
      <c r="AC5" s="13">
        <v>8.4555204603017103E-2</v>
      </c>
      <c r="AD5" s="13">
        <v>0.332343247681325</v>
      </c>
      <c r="AE5" s="13">
        <v>1.22806705924614</v>
      </c>
      <c r="AF5" s="13">
        <v>4.8894796835041001</v>
      </c>
      <c r="AH5" s="1">
        <v>0</v>
      </c>
      <c r="AI5" s="1">
        <v>0</v>
      </c>
      <c r="AJ5" s="1">
        <v>8</v>
      </c>
      <c r="AK5" s="1">
        <v>616</v>
      </c>
      <c r="AL5" s="1">
        <v>10215</v>
      </c>
      <c r="AM5" s="1">
        <v>29738</v>
      </c>
      <c r="AP5" s="1" t="s">
        <v>45</v>
      </c>
      <c r="AQ5" s="38">
        <f>C53</f>
        <v>53.85962266604443</v>
      </c>
      <c r="AR5" s="60">
        <f>I53</f>
        <v>57.127047389855939</v>
      </c>
      <c r="AS5" s="69">
        <f>N53</f>
        <v>4783627911326143</v>
      </c>
      <c r="AT5" s="38">
        <f>R53</f>
        <v>38.717226786254329</v>
      </c>
      <c r="AU5" s="60">
        <f>X53</f>
        <v>121.74545904743421</v>
      </c>
      <c r="AV5" s="60">
        <f>AC53</f>
        <v>65.689050473140142</v>
      </c>
      <c r="AW5" s="60">
        <f>AJ53</f>
        <v>66.633604683020266</v>
      </c>
      <c r="AX5" s="38">
        <f>AP53</f>
        <v>35.883958869425982</v>
      </c>
      <c r="AY5">
        <v>55.198493565385419</v>
      </c>
    </row>
    <row r="6" spans="1:56" x14ac:dyDescent="0.25">
      <c r="A6" s="1" t="s">
        <v>72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 s="13">
        <v>9.5590751489404505E-2</v>
      </c>
      <c r="U6" s="13">
        <v>0.38236300595761802</v>
      </c>
      <c r="V6" s="13">
        <v>1.5294520238304701</v>
      </c>
      <c r="W6" s="13">
        <v>6.1178080953218803</v>
      </c>
      <c r="X6" s="13">
        <v>24.4712323812875</v>
      </c>
      <c r="Y6" s="13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68"/>
      <c r="AR6" s="60"/>
      <c r="AS6" s="60"/>
      <c r="AT6" s="60"/>
      <c r="AU6" s="60"/>
      <c r="AV6" s="60"/>
      <c r="AW6" s="60"/>
      <c r="AX6" s="60"/>
    </row>
    <row r="7" spans="1:56" x14ac:dyDescent="0.25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"/>
      <c r="AR7" s="1"/>
      <c r="AS7" s="1"/>
      <c r="AT7" s="1"/>
      <c r="AU7" s="1"/>
      <c r="AV7" s="1"/>
      <c r="AW7" s="1"/>
      <c r="AX7" s="1"/>
    </row>
    <row r="8" spans="1:56" x14ac:dyDescent="0.25">
      <c r="A8" s="1" t="s">
        <v>131</v>
      </c>
      <c r="B8" s="1" t="s">
        <v>73</v>
      </c>
      <c r="C8" s="1" t="s">
        <v>74</v>
      </c>
      <c r="D8" s="1" t="s">
        <v>75</v>
      </c>
      <c r="E8" s="1" t="s">
        <v>76</v>
      </c>
      <c r="F8" s="1" t="s">
        <v>97</v>
      </c>
      <c r="G8" s="1" t="s">
        <v>104</v>
      </c>
      <c r="H8" s="1" t="s">
        <v>105</v>
      </c>
      <c r="I8" s="1" t="s">
        <v>106</v>
      </c>
      <c r="J8" s="1" t="s">
        <v>107</v>
      </c>
      <c r="K8" s="1" t="s">
        <v>108</v>
      </c>
      <c r="M8" s="1" t="s">
        <v>31</v>
      </c>
      <c r="N8" s="1" t="s">
        <v>32</v>
      </c>
      <c r="O8" s="1" t="s">
        <v>33</v>
      </c>
      <c r="P8" s="1" t="s">
        <v>34</v>
      </c>
      <c r="Q8" s="1" t="s">
        <v>35</v>
      </c>
      <c r="R8" s="1" t="s">
        <v>36</v>
      </c>
      <c r="T8" t="s">
        <v>88</v>
      </c>
      <c r="U8" t="s">
        <v>89</v>
      </c>
      <c r="V8" t="s">
        <v>90</v>
      </c>
      <c r="W8" t="s">
        <v>91</v>
      </c>
      <c r="X8" t="s">
        <v>92</v>
      </c>
      <c r="Y8" t="s">
        <v>93</v>
      </c>
      <c r="AA8" s="1" t="s">
        <v>62</v>
      </c>
      <c r="AB8" s="1" t="s">
        <v>63</v>
      </c>
      <c r="AC8" s="1" t="s">
        <v>64</v>
      </c>
      <c r="AD8" s="1" t="s">
        <v>65</v>
      </c>
      <c r="AE8" s="1" t="s">
        <v>66</v>
      </c>
      <c r="AF8" s="1" t="s">
        <v>67</v>
      </c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R8" s="33"/>
    </row>
    <row r="9" spans="1:56" x14ac:dyDescent="0.25">
      <c r="A9" s="48" t="s">
        <v>132</v>
      </c>
      <c r="B9" s="49">
        <v>60</v>
      </c>
      <c r="C9" s="50">
        <v>1.0016323215471E-4</v>
      </c>
      <c r="D9" s="50">
        <v>9.6719568367751498E-5</v>
      </c>
      <c r="E9" s="50">
        <v>9.6709486732715302E-5</v>
      </c>
      <c r="F9" s="46">
        <f>AH9/$B9</f>
        <v>0</v>
      </c>
      <c r="G9" s="46">
        <f t="shared" si="0"/>
        <v>0</v>
      </c>
      <c r="H9" s="46">
        <f t="shared" si="0"/>
        <v>0</v>
      </c>
      <c r="I9" s="46">
        <f t="shared" si="0"/>
        <v>0</v>
      </c>
      <c r="J9" s="46">
        <f t="shared" si="0"/>
        <v>0</v>
      </c>
      <c r="K9" s="46">
        <f t="shared" si="0"/>
        <v>0</v>
      </c>
      <c r="L9" s="1"/>
      <c r="M9" s="48">
        <v>0</v>
      </c>
      <c r="N9" s="48">
        <v>0</v>
      </c>
      <c r="O9" s="48">
        <v>0</v>
      </c>
      <c r="P9" s="48">
        <v>0</v>
      </c>
      <c r="Q9" s="48">
        <v>0</v>
      </c>
      <c r="R9" s="48">
        <v>0</v>
      </c>
      <c r="S9" s="48"/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AA9" s="48">
        <v>0</v>
      </c>
      <c r="AB9" s="48">
        <v>0</v>
      </c>
      <c r="AC9" s="48">
        <v>0</v>
      </c>
      <c r="AD9" s="48">
        <v>0</v>
      </c>
      <c r="AE9" s="48">
        <v>0</v>
      </c>
      <c r="AF9" s="48">
        <v>0</v>
      </c>
      <c r="AH9" s="48">
        <v>0</v>
      </c>
      <c r="AI9" s="48">
        <v>0</v>
      </c>
      <c r="AJ9" s="48">
        <v>0</v>
      </c>
      <c r="AK9" s="48">
        <v>0</v>
      </c>
      <c r="AL9" s="48">
        <v>0</v>
      </c>
      <c r="AM9" s="48">
        <v>0</v>
      </c>
    </row>
    <row r="10" spans="1:56" x14ac:dyDescent="0.25">
      <c r="A10" s="36" t="s">
        <v>133</v>
      </c>
      <c r="B10" s="52">
        <v>60</v>
      </c>
      <c r="C10" s="58">
        <v>3.6342641577993003E-2</v>
      </c>
      <c r="D10" s="58">
        <v>3.4811107055907398E-2</v>
      </c>
      <c r="E10" s="58">
        <v>3.48162025725475E-2</v>
      </c>
      <c r="F10" s="37">
        <f>AH10/$B10</f>
        <v>0</v>
      </c>
      <c r="G10" s="37">
        <f t="shared" ref="G10" si="1">AI10/$B10</f>
        <v>0.18333333333333332</v>
      </c>
      <c r="H10" s="37">
        <f>AJ10/$B10</f>
        <v>3.3166666666666669</v>
      </c>
      <c r="I10" s="37">
        <f>AK10/$B10</f>
        <v>276.28333333333336</v>
      </c>
      <c r="J10" s="37">
        <f t="shared" ref="J10" si="2">AL10/$B10</f>
        <v>197.53333333333333</v>
      </c>
      <c r="K10" s="37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16577</v>
      </c>
      <c r="AL10" s="1">
        <v>11852</v>
      </c>
      <c r="AM10" s="1">
        <v>15119</v>
      </c>
    </row>
    <row r="11" spans="1:56" x14ac:dyDescent="0.25">
      <c r="A11" s="36" t="s">
        <v>134</v>
      </c>
      <c r="B11" s="52">
        <v>60</v>
      </c>
      <c r="C11" s="58">
        <v>1.03130225848837E-2</v>
      </c>
      <c r="D11" s="58">
        <v>7.7748894996124401E-3</v>
      </c>
      <c r="E11" s="58">
        <v>7.6956360133416798E-3</v>
      </c>
      <c r="F11" s="37">
        <f>AH11/$B11</f>
        <v>0</v>
      </c>
      <c r="G11" s="37">
        <f t="shared" si="0"/>
        <v>0</v>
      </c>
      <c r="H11" s="37">
        <f t="shared" si="0"/>
        <v>0.05</v>
      </c>
      <c r="I11" s="37">
        <f>AK11/$B11</f>
        <v>5.6</v>
      </c>
      <c r="J11" s="37">
        <f t="shared" si="0"/>
        <v>195.73333333333332</v>
      </c>
      <c r="K11" s="37">
        <f>AM11/$B11</f>
        <v>256.38333333333333</v>
      </c>
      <c r="M11" s="1">
        <v>0</v>
      </c>
      <c r="N11" s="1">
        <v>0</v>
      </c>
      <c r="O11" s="1">
        <v>0.15462933529162801</v>
      </c>
      <c r="P11" s="1">
        <v>0.50349909973876406</v>
      </c>
      <c r="Q11" s="1">
        <v>1.99037171190078</v>
      </c>
      <c r="R11" s="1">
        <v>7.9614868476031404</v>
      </c>
      <c r="T11" s="1">
        <v>0</v>
      </c>
      <c r="U11" s="1">
        <v>0</v>
      </c>
      <c r="V11" s="1">
        <v>0.15462933529162801</v>
      </c>
      <c r="W11" s="1">
        <v>0.66003344543256104</v>
      </c>
      <c r="X11" s="1">
        <v>2.6401337817302402</v>
      </c>
      <c r="Y11" s="1">
        <v>10.5605351269209</v>
      </c>
      <c r="Z11" s="1"/>
      <c r="AA11" s="1">
        <v>0</v>
      </c>
      <c r="AB11" s="1">
        <v>0</v>
      </c>
      <c r="AC11" s="1">
        <v>0.15462933529162801</v>
      </c>
      <c r="AD11" s="1">
        <v>0.49734210593101602</v>
      </c>
      <c r="AE11" s="1">
        <v>1.97008281941547</v>
      </c>
      <c r="AF11" s="1">
        <v>7.8803312776618801</v>
      </c>
      <c r="AG11" s="1"/>
      <c r="AH11" s="1">
        <v>0</v>
      </c>
      <c r="AI11" s="1">
        <v>0</v>
      </c>
      <c r="AJ11" s="1">
        <v>3</v>
      </c>
      <c r="AK11" s="1">
        <v>336</v>
      </c>
      <c r="AL11" s="1">
        <v>11744</v>
      </c>
      <c r="AM11" s="1">
        <v>15383</v>
      </c>
    </row>
    <row r="12" spans="1:56" x14ac:dyDescent="0.25">
      <c r="A12" s="36" t="s">
        <v>135</v>
      </c>
      <c r="B12" s="52">
        <v>60</v>
      </c>
      <c r="C12" s="58">
        <v>3.3894640450781402E-2</v>
      </c>
      <c r="D12" s="58">
        <v>2.45471667611072E-2</v>
      </c>
      <c r="E12" s="58">
        <v>2.45122321428459E-2</v>
      </c>
      <c r="F12" s="37">
        <f t="shared" ref="F12:F14" si="3">AH12/$B12</f>
        <v>0</v>
      </c>
      <c r="G12" s="37">
        <f t="shared" si="0"/>
        <v>3.3333333333333333E-2</v>
      </c>
      <c r="H12" s="37">
        <f t="shared" si="0"/>
        <v>1.95</v>
      </c>
      <c r="I12" s="37">
        <f t="shared" si="0"/>
        <v>82.25</v>
      </c>
      <c r="J12" s="37">
        <f t="shared" si="0"/>
        <v>171.48333333333332</v>
      </c>
      <c r="K12" s="37">
        <f>AM12/$B12</f>
        <v>176.46666666666667</v>
      </c>
      <c r="M12">
        <v>0</v>
      </c>
      <c r="N12">
        <v>0.10729609555229699</v>
      </c>
      <c r="O12">
        <v>0.40212515642043301</v>
      </c>
      <c r="P12">
        <v>1.5710186727108599</v>
      </c>
      <c r="Q12">
        <v>6.2840746908434504</v>
      </c>
      <c r="R12">
        <v>25.136298763373802</v>
      </c>
      <c r="T12">
        <v>0</v>
      </c>
      <c r="U12">
        <v>0.114178758147192</v>
      </c>
      <c r="V12">
        <v>0.54231424721250299</v>
      </c>
      <c r="W12">
        <v>2.1692569888500102</v>
      </c>
      <c r="X12">
        <v>8.6770279554000496</v>
      </c>
      <c r="Y12">
        <v>34.708111821600198</v>
      </c>
      <c r="Z12" s="1"/>
      <c r="AA12">
        <v>0</v>
      </c>
      <c r="AB12">
        <v>0.10729609555229699</v>
      </c>
      <c r="AC12">
        <v>0.39659577629574799</v>
      </c>
      <c r="AD12">
        <v>1.5687828571421401</v>
      </c>
      <c r="AE12">
        <v>6.2751314285685602</v>
      </c>
      <c r="AF12">
        <v>25.100525714274202</v>
      </c>
      <c r="AG12" s="1"/>
      <c r="AH12" s="1">
        <v>0</v>
      </c>
      <c r="AI12" s="1">
        <v>2</v>
      </c>
      <c r="AJ12" s="1">
        <v>117</v>
      </c>
      <c r="AK12" s="1">
        <v>4935</v>
      </c>
      <c r="AL12" s="1">
        <v>10289</v>
      </c>
      <c r="AM12" s="1">
        <v>10588</v>
      </c>
    </row>
    <row r="13" spans="1:56" x14ac:dyDescent="0.25">
      <c r="A13" s="36" t="s">
        <v>136</v>
      </c>
      <c r="B13" s="52">
        <v>60</v>
      </c>
      <c r="C13" s="13">
        <v>1.4897205278113701E-2</v>
      </c>
      <c r="D13" s="13">
        <v>8.0441004530797805E-3</v>
      </c>
      <c r="E13" s="13">
        <v>8.0763578503031796E-3</v>
      </c>
      <c r="F13" s="37">
        <f t="shared" si="3"/>
        <v>0</v>
      </c>
      <c r="G13" s="37">
        <f t="shared" si="0"/>
        <v>0</v>
      </c>
      <c r="H13" s="37">
        <f t="shared" si="0"/>
        <v>0.6</v>
      </c>
      <c r="I13" s="37">
        <f t="shared" si="0"/>
        <v>7.6833333333333336</v>
      </c>
      <c r="J13" s="37">
        <f t="shared" si="0"/>
        <v>111.16666666666667</v>
      </c>
      <c r="K13" s="37">
        <f t="shared" ref="K13:K15" si="4">AM13/$B13</f>
        <v>169.16666666666666</v>
      </c>
      <c r="M13">
        <v>0</v>
      </c>
      <c r="N13">
        <v>0</v>
      </c>
      <c r="O13">
        <v>0.17646182124931101</v>
      </c>
      <c r="P13">
        <v>0.51482242899710595</v>
      </c>
      <c r="Q13">
        <v>2.0592897159884198</v>
      </c>
      <c r="R13">
        <v>8.2371588639537006</v>
      </c>
      <c r="T13">
        <v>0</v>
      </c>
      <c r="U13">
        <v>0</v>
      </c>
      <c r="V13">
        <v>0.23835528444981899</v>
      </c>
      <c r="W13">
        <v>0.95342113779927895</v>
      </c>
      <c r="X13">
        <v>3.81368455119711</v>
      </c>
      <c r="Y13">
        <v>15.254738204788399</v>
      </c>
      <c r="Z13" s="1"/>
      <c r="AA13">
        <v>0</v>
      </c>
      <c r="AB13">
        <v>0</v>
      </c>
      <c r="AC13">
        <v>0.17646182124931101</v>
      </c>
      <c r="AD13">
        <v>0.51688690241940405</v>
      </c>
      <c r="AE13">
        <v>2.06754760967761</v>
      </c>
      <c r="AF13">
        <v>8.2701904387104594</v>
      </c>
      <c r="AG13" s="1"/>
      <c r="AH13" s="1">
        <v>0</v>
      </c>
      <c r="AI13" s="1">
        <v>0</v>
      </c>
      <c r="AJ13" s="1">
        <v>36</v>
      </c>
      <c r="AK13" s="1">
        <v>461</v>
      </c>
      <c r="AL13" s="1">
        <v>6670</v>
      </c>
      <c r="AM13" s="1">
        <v>10150</v>
      </c>
    </row>
    <row r="14" spans="1:56" x14ac:dyDescent="0.25">
      <c r="A14" s="36" t="s">
        <v>137</v>
      </c>
      <c r="B14" s="52">
        <v>60</v>
      </c>
      <c r="C14" s="5">
        <v>5.6741231058604902E-2</v>
      </c>
      <c r="D14" s="5">
        <v>3.5270738108725101E-2</v>
      </c>
      <c r="E14" s="5">
        <v>3.4439974703429702E-2</v>
      </c>
      <c r="F14" s="37">
        <f t="shared" si="3"/>
        <v>1.6666666666666666E-2</v>
      </c>
      <c r="G14" s="37">
        <f t="shared" si="0"/>
        <v>0.46666666666666667</v>
      </c>
      <c r="H14" s="37">
        <f t="shared" si="0"/>
        <v>10.766666666666667</v>
      </c>
      <c r="I14" s="37">
        <f t="shared" si="0"/>
        <v>120.21666666666667</v>
      </c>
      <c r="J14" s="37">
        <f t="shared" si="0"/>
        <v>173.03333333333333</v>
      </c>
      <c r="K14" s="37">
        <f t="shared" si="4"/>
        <v>139.68333333333334</v>
      </c>
      <c r="M14">
        <v>4.4300089970899799E-2</v>
      </c>
      <c r="N14">
        <v>0.15225238482678499</v>
      </c>
      <c r="O14">
        <v>0.56433180973960195</v>
      </c>
      <c r="P14">
        <v>2.25732723895841</v>
      </c>
      <c r="Q14">
        <v>9.0293089558336401</v>
      </c>
      <c r="R14">
        <v>36.117235823334497</v>
      </c>
      <c r="T14">
        <v>4.4300089970899799E-2</v>
      </c>
      <c r="U14">
        <v>0.22561108157867499</v>
      </c>
      <c r="V14">
        <v>0.90785969693767898</v>
      </c>
      <c r="W14">
        <v>3.6314387877507102</v>
      </c>
      <c r="X14">
        <v>14.5257551510028</v>
      </c>
      <c r="Y14">
        <v>58.103020604011398</v>
      </c>
      <c r="Z14" s="1"/>
      <c r="AA14">
        <v>4.4300089970899799E-2</v>
      </c>
      <c r="AB14">
        <v>0.14915841719692599</v>
      </c>
      <c r="AC14">
        <v>0.551039595254876</v>
      </c>
      <c r="AD14">
        <v>2.2041583810195</v>
      </c>
      <c r="AE14">
        <v>8.8166335240780196</v>
      </c>
      <c r="AF14">
        <v>35.2665340963121</v>
      </c>
      <c r="AG14" s="1"/>
      <c r="AH14" s="1">
        <v>1</v>
      </c>
      <c r="AI14" s="1">
        <v>28</v>
      </c>
      <c r="AJ14" s="1">
        <v>646</v>
      </c>
      <c r="AK14" s="1">
        <v>7213</v>
      </c>
      <c r="AL14" s="1">
        <v>10382</v>
      </c>
      <c r="AM14" s="1">
        <v>8381</v>
      </c>
    </row>
    <row r="15" spans="1:56" x14ac:dyDescent="0.25">
      <c r="A15" s="36" t="s">
        <v>138</v>
      </c>
      <c r="B15" s="52">
        <v>60</v>
      </c>
      <c r="C15" s="5">
        <v>0.12148791730821901</v>
      </c>
      <c r="D15" s="5">
        <v>6.33040571897725E-2</v>
      </c>
      <c r="E15" s="5">
        <v>5.8734947455230002E-2</v>
      </c>
      <c r="F15" s="37">
        <f>AH15/$B15</f>
        <v>3.3333333333333333E-2</v>
      </c>
      <c r="G15" s="37">
        <f t="shared" si="0"/>
        <v>2.1</v>
      </c>
      <c r="H15" s="37">
        <f t="shared" si="0"/>
        <v>34.25</v>
      </c>
      <c r="I15" s="37">
        <f t="shared" si="0"/>
        <v>161.33333333333334</v>
      </c>
      <c r="J15" s="37">
        <f t="shared" si="0"/>
        <v>152.44999999999999</v>
      </c>
      <c r="K15" s="37">
        <f t="shared" si="4"/>
        <v>154.5</v>
      </c>
      <c r="M15">
        <v>7.8997664635741496E-2</v>
      </c>
      <c r="N15">
        <v>0.26878015500851199</v>
      </c>
      <c r="O15">
        <v>1.01286491503636</v>
      </c>
      <c r="P15">
        <v>4.05145966014544</v>
      </c>
      <c r="Q15">
        <v>16.2058386405817</v>
      </c>
      <c r="R15">
        <v>64.823354562326998</v>
      </c>
      <c r="T15">
        <v>7.8997664635741496E-2</v>
      </c>
      <c r="U15">
        <v>0.48595166923287902</v>
      </c>
      <c r="V15">
        <v>1.9438066769315101</v>
      </c>
      <c r="W15">
        <v>7.7752267077260697</v>
      </c>
      <c r="X15">
        <v>31.100906830904201</v>
      </c>
      <c r="Y15">
        <v>124.403627323617</v>
      </c>
      <c r="Z15" s="1"/>
      <c r="AA15">
        <v>7.8997664635741496E-2</v>
      </c>
      <c r="AB15">
        <v>0.25332701569766197</v>
      </c>
      <c r="AC15">
        <v>0.93975915928368003</v>
      </c>
      <c r="AD15">
        <v>3.7590366371347201</v>
      </c>
      <c r="AE15">
        <v>15.036146548538801</v>
      </c>
      <c r="AF15">
        <v>60.144586194155501</v>
      </c>
      <c r="AG15" s="1"/>
      <c r="AH15" s="1">
        <v>2</v>
      </c>
      <c r="AI15" s="1">
        <v>126</v>
      </c>
      <c r="AJ15" s="1">
        <v>2055</v>
      </c>
      <c r="AK15" s="1">
        <v>9680</v>
      </c>
      <c r="AL15" s="1">
        <v>9147</v>
      </c>
      <c r="AM15" s="1">
        <v>9270</v>
      </c>
    </row>
    <row r="16" spans="1:56" x14ac:dyDescent="0.25">
      <c r="A16" s="1" t="s">
        <v>139</v>
      </c>
      <c r="B16" s="43">
        <v>60</v>
      </c>
      <c r="C16" s="44">
        <v>3.4809429886628E-3</v>
      </c>
      <c r="D16" s="44">
        <v>2.5348843493833199E-3</v>
      </c>
      <c r="E16" s="44">
        <v>2.51419995762145E-3</v>
      </c>
      <c r="F16" s="13">
        <f>AH16/$B16</f>
        <v>0</v>
      </c>
      <c r="G16" s="13">
        <f t="shared" si="0"/>
        <v>0</v>
      </c>
      <c r="H16" s="13">
        <f t="shared" si="0"/>
        <v>0</v>
      </c>
      <c r="I16" s="13">
        <f t="shared" si="0"/>
        <v>0</v>
      </c>
      <c r="J16" s="13">
        <f t="shared" si="0"/>
        <v>0</v>
      </c>
      <c r="K16" s="13">
        <f t="shared" si="0"/>
        <v>0</v>
      </c>
      <c r="M16" s="1"/>
      <c r="N16" s="1"/>
      <c r="O16" s="1"/>
      <c r="P16" s="16"/>
      <c r="Q16" s="16"/>
      <c r="R16" s="16"/>
      <c r="T16" s="1"/>
      <c r="U16" s="1"/>
      <c r="V16" s="1"/>
      <c r="W16" s="13"/>
      <c r="X16" s="13"/>
      <c r="Y16" s="13"/>
      <c r="AA16" s="1"/>
      <c r="AB16" s="1"/>
      <c r="AC16" s="1"/>
      <c r="AE16" s="43"/>
      <c r="AF16" s="43"/>
      <c r="AG16" s="1"/>
      <c r="AH16" s="43"/>
      <c r="AI16" s="43"/>
      <c r="AJ16" s="43"/>
      <c r="AK16" s="43"/>
      <c r="AL16" s="43"/>
      <c r="AM16" s="43"/>
    </row>
    <row r="17" spans="1:83" x14ac:dyDescent="0.25">
      <c r="A17" s="1" t="s">
        <v>140</v>
      </c>
      <c r="B17" s="43">
        <v>60</v>
      </c>
      <c r="C17" s="44">
        <v>4.1522864630391797E-3</v>
      </c>
      <c r="D17" s="5">
        <v>3.27815477715818E-3</v>
      </c>
      <c r="E17" s="5">
        <v>3.2409334377459199E-3</v>
      </c>
      <c r="F17" s="13">
        <f t="shared" si="0"/>
        <v>0</v>
      </c>
      <c r="G17" s="13">
        <f t="shared" si="0"/>
        <v>0</v>
      </c>
      <c r="H17" s="13">
        <f t="shared" si="0"/>
        <v>0</v>
      </c>
      <c r="I17" s="13">
        <f t="shared" si="0"/>
        <v>0</v>
      </c>
      <c r="J17" s="13">
        <f t="shared" si="0"/>
        <v>0</v>
      </c>
      <c r="K17" s="13">
        <f t="shared" si="0"/>
        <v>0</v>
      </c>
      <c r="M17" s="1"/>
      <c r="N17" s="1"/>
      <c r="O17" s="1"/>
      <c r="P17" s="16"/>
      <c r="Q17" s="16"/>
      <c r="R17" s="16"/>
      <c r="T17" s="1"/>
      <c r="U17" s="1"/>
      <c r="V17" s="1"/>
      <c r="W17" s="13"/>
      <c r="X17" s="13"/>
      <c r="Y17" s="13"/>
      <c r="AA17" s="1"/>
      <c r="AC17" s="1"/>
      <c r="AH17" s="1"/>
      <c r="AI17" s="1"/>
      <c r="AJ17" s="1"/>
      <c r="AK17" s="1"/>
      <c r="AL17" s="1"/>
      <c r="AM17" s="1"/>
    </row>
    <row r="18" spans="1:83" x14ac:dyDescent="0.25">
      <c r="A18" s="1" t="s">
        <v>141</v>
      </c>
      <c r="B18" s="43">
        <v>60</v>
      </c>
      <c r="C18" s="44">
        <v>8.1501124632268208E-3</v>
      </c>
      <c r="D18" s="5">
        <v>5.1433422305270397E-3</v>
      </c>
      <c r="E18" s="44">
        <v>4.9482416068898196E-3</v>
      </c>
      <c r="F18" s="13">
        <f t="shared" ref="F18:K19" si="5">AH18/$B18</f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M18" s="1"/>
      <c r="N18" s="1"/>
      <c r="O18" s="16"/>
      <c r="P18" s="16"/>
      <c r="Q18" s="16"/>
      <c r="R18" s="16"/>
      <c r="T18" s="1"/>
      <c r="U18" s="1"/>
      <c r="V18" s="13"/>
      <c r="W18" s="13"/>
      <c r="X18" s="13"/>
      <c r="Y18" s="13"/>
      <c r="AA18" s="1"/>
      <c r="AC18" s="1"/>
      <c r="AH18" s="1"/>
      <c r="AI18" s="1"/>
      <c r="AJ18" s="1"/>
      <c r="AK18" s="1"/>
      <c r="AL18" s="1"/>
      <c r="AM18" s="1"/>
    </row>
    <row r="19" spans="1:83" x14ac:dyDescent="0.25">
      <c r="A19" s="1" t="s">
        <v>142</v>
      </c>
      <c r="B19" s="43">
        <v>60</v>
      </c>
      <c r="C19" s="5">
        <v>1.8290475754508401E-2</v>
      </c>
      <c r="D19" s="5">
        <v>5.7655917494690003E-3</v>
      </c>
      <c r="E19" s="5">
        <v>5.3058324795391097E-3</v>
      </c>
      <c r="F19" s="13">
        <f t="shared" si="5"/>
        <v>0</v>
      </c>
      <c r="G19" s="13">
        <f t="shared" si="5"/>
        <v>0</v>
      </c>
      <c r="H19" s="13">
        <f t="shared" si="5"/>
        <v>0</v>
      </c>
      <c r="I19" s="13">
        <f t="shared" si="5"/>
        <v>0</v>
      </c>
      <c r="J19" s="13">
        <f t="shared" si="5"/>
        <v>0</v>
      </c>
      <c r="K19" s="13">
        <f t="shared" si="5"/>
        <v>0</v>
      </c>
      <c r="M19" s="1"/>
      <c r="N19" s="16"/>
      <c r="O19" s="16"/>
      <c r="P19" s="16"/>
      <c r="Q19" s="16"/>
      <c r="R19" s="16"/>
      <c r="T19" s="1"/>
      <c r="U19" s="13"/>
      <c r="V19" s="13"/>
      <c r="W19" s="13"/>
      <c r="X19" s="13"/>
      <c r="Y19" s="13"/>
      <c r="AA19" s="1"/>
      <c r="AH19" s="1"/>
      <c r="AI19" s="1"/>
      <c r="AJ19" s="43"/>
      <c r="AK19" s="43"/>
      <c r="AL19" s="43"/>
      <c r="AM19" s="43"/>
    </row>
    <row r="20" spans="1:83" x14ac:dyDescent="0.25">
      <c r="G20" s="13"/>
      <c r="S20" s="1"/>
      <c r="AA20" s="1"/>
    </row>
    <row r="21" spans="1:83" x14ac:dyDescent="0.25">
      <c r="B21" s="54" t="s">
        <v>87</v>
      </c>
      <c r="C21" s="54"/>
      <c r="D21" s="54"/>
      <c r="E21" s="54"/>
      <c r="G21" s="54" t="s">
        <v>87</v>
      </c>
      <c r="H21" s="54"/>
      <c r="I21" s="54"/>
      <c r="J21" s="54"/>
      <c r="L21" s="54" t="s">
        <v>114</v>
      </c>
      <c r="M21" s="54"/>
      <c r="N21" s="54"/>
      <c r="O21" s="54"/>
      <c r="Q21" s="54" t="s">
        <v>114</v>
      </c>
      <c r="R21" s="54"/>
      <c r="S21" s="54"/>
      <c r="T21" s="54"/>
      <c r="V21" s="55" t="s">
        <v>114</v>
      </c>
      <c r="W21" s="55"/>
      <c r="X21" s="55"/>
      <c r="AA21" s="1"/>
      <c r="AB21" t="s">
        <v>114</v>
      </c>
      <c r="AH21" s="54" t="s">
        <v>114</v>
      </c>
      <c r="AI21" s="54"/>
      <c r="AJ21" s="54"/>
      <c r="AK21" s="54"/>
      <c r="AN21" s="54" t="s">
        <v>114</v>
      </c>
      <c r="AO21" s="54"/>
      <c r="AP21" s="54"/>
      <c r="AQ21" s="54"/>
      <c r="AU21" t="s">
        <v>143</v>
      </c>
      <c r="AY21" t="s">
        <v>147</v>
      </c>
      <c r="BD21" t="s">
        <v>144</v>
      </c>
      <c r="BH21" t="s">
        <v>147</v>
      </c>
      <c r="BN21" t="s">
        <v>146</v>
      </c>
      <c r="BR21" t="s">
        <v>147</v>
      </c>
      <c r="BW21" t="s">
        <v>145</v>
      </c>
      <c r="CA21" t="s">
        <v>147</v>
      </c>
    </row>
    <row r="22" spans="1:83" ht="35.25" customHeight="1" x14ac:dyDescent="0.25">
      <c r="A22" s="14" t="s">
        <v>77</v>
      </c>
      <c r="B22" s="15" t="s">
        <v>78</v>
      </c>
      <c r="C22" s="23" t="s">
        <v>82</v>
      </c>
      <c r="D22" s="23" t="s">
        <v>79</v>
      </c>
      <c r="E22" s="23" t="s">
        <v>81</v>
      </c>
      <c r="G22" s="30"/>
      <c r="H22" s="23" t="s">
        <v>95</v>
      </c>
      <c r="I22" s="23" t="s">
        <v>80</v>
      </c>
      <c r="J22" s="23" t="s">
        <v>94</v>
      </c>
      <c r="K22" s="15"/>
      <c r="L22" s="35" t="s">
        <v>112</v>
      </c>
      <c r="M22" s="23" t="s">
        <v>109</v>
      </c>
      <c r="N22" s="23" t="s">
        <v>110</v>
      </c>
      <c r="O22" s="23" t="s">
        <v>111</v>
      </c>
      <c r="P22" s="15"/>
      <c r="Q22" s="35" t="s">
        <v>113</v>
      </c>
      <c r="R22" s="23" t="s">
        <v>109</v>
      </c>
      <c r="S22" s="23" t="s">
        <v>110</v>
      </c>
      <c r="T22" s="23" t="s">
        <v>111</v>
      </c>
      <c r="U22" s="15"/>
      <c r="V22" s="35" t="s">
        <v>115</v>
      </c>
      <c r="W22" s="23" t="s">
        <v>109</v>
      </c>
      <c r="X22" s="23" t="s">
        <v>110</v>
      </c>
      <c r="Y22" s="23" t="s">
        <v>111</v>
      </c>
      <c r="Z22" s="15"/>
      <c r="AA22" s="1"/>
      <c r="AB22" s="35" t="s">
        <v>116</v>
      </c>
      <c r="AC22" s="23" t="s">
        <v>109</v>
      </c>
      <c r="AD22" s="23" t="s">
        <v>110</v>
      </c>
      <c r="AE22" s="23" t="s">
        <v>111</v>
      </c>
      <c r="AF22" s="15"/>
      <c r="AH22" s="35" t="s">
        <v>117</v>
      </c>
      <c r="AI22" s="23" t="s">
        <v>109</v>
      </c>
      <c r="AJ22" s="23" t="s">
        <v>110</v>
      </c>
      <c r="AK22" s="23" t="s">
        <v>111</v>
      </c>
      <c r="AM22" s="39"/>
      <c r="AN22" s="35" t="s">
        <v>118</v>
      </c>
      <c r="AO22" s="23" t="s">
        <v>109</v>
      </c>
      <c r="AP22" s="23" t="s">
        <v>110</v>
      </c>
      <c r="AQ22" s="23" t="s">
        <v>111</v>
      </c>
      <c r="AR22" s="15"/>
      <c r="AU22" s="39" t="s">
        <v>78</v>
      </c>
      <c r="AV22" s="41" t="s">
        <v>84</v>
      </c>
      <c r="AW22" s="42" t="s">
        <v>119</v>
      </c>
      <c r="AX22" s="42" t="s">
        <v>120</v>
      </c>
      <c r="AY22" s="42" t="s">
        <v>121</v>
      </c>
      <c r="AZ22" s="42" t="s">
        <v>122</v>
      </c>
      <c r="BA22" s="42" t="s">
        <v>123</v>
      </c>
      <c r="BB22" s="42" t="s">
        <v>124</v>
      </c>
      <c r="BD22" s="39" t="s">
        <v>78</v>
      </c>
      <c r="BE22" s="41" t="s">
        <v>84</v>
      </c>
      <c r="BF22" s="42" t="s">
        <v>119</v>
      </c>
      <c r="BG22" s="42" t="s">
        <v>120</v>
      </c>
      <c r="BH22" s="42" t="s">
        <v>121</v>
      </c>
      <c r="BI22" s="42" t="s">
        <v>122</v>
      </c>
      <c r="BJ22" s="42" t="s">
        <v>123</v>
      </c>
      <c r="BK22" s="42" t="s">
        <v>124</v>
      </c>
      <c r="BN22" s="39" t="s">
        <v>78</v>
      </c>
      <c r="BO22" s="41" t="s">
        <v>84</v>
      </c>
      <c r="BP22" s="42" t="s">
        <v>119</v>
      </c>
      <c r="BQ22" s="42" t="s">
        <v>120</v>
      </c>
      <c r="BR22" s="42" t="s">
        <v>121</v>
      </c>
      <c r="BS22" s="42" t="s">
        <v>122</v>
      </c>
      <c r="BT22" s="42" t="s">
        <v>123</v>
      </c>
      <c r="BU22" s="42" t="s">
        <v>124</v>
      </c>
      <c r="BW22" s="39" t="s">
        <v>78</v>
      </c>
      <c r="BX22" s="41" t="s">
        <v>84</v>
      </c>
      <c r="BY22" s="42" t="s">
        <v>119</v>
      </c>
      <c r="BZ22" s="42" t="s">
        <v>120</v>
      </c>
      <c r="CA22" s="42" t="s">
        <v>121</v>
      </c>
      <c r="CB22" s="42" t="s">
        <v>122</v>
      </c>
      <c r="CC22" s="42" t="s">
        <v>123</v>
      </c>
      <c r="CD22" s="42" t="s">
        <v>124</v>
      </c>
    </row>
    <row r="23" spans="1:83" x14ac:dyDescent="0.25">
      <c r="A23" s="1" t="s">
        <v>69</v>
      </c>
      <c r="B23" s="1">
        <v>90</v>
      </c>
      <c r="C23" s="24">
        <f>(C3+0.0087)/0.0009</f>
        <v>124.98377815678667</v>
      </c>
      <c r="D23" s="24">
        <f>C3*637.85+31.496</f>
        <v>97.695517607575738</v>
      </c>
      <c r="E23" s="24">
        <f>339.46*C3^0.5407</f>
        <v>99.727167764153535</v>
      </c>
      <c r="G23" s="31" t="s">
        <v>69</v>
      </c>
      <c r="H23" s="24">
        <f>($D3-0.0009)/0.0002</f>
        <v>42.048842752516052</v>
      </c>
      <c r="I23" s="32">
        <f>3353.9*D3+16.246</f>
        <v>47.470032741532719</v>
      </c>
      <c r="J23" s="32">
        <f>1994.7*(D3^0.8093)</f>
        <v>45.304341949768059</v>
      </c>
      <c r="K23" s="13"/>
      <c r="L23" s="31" t="s">
        <v>69</v>
      </c>
      <c r="M23" s="16">
        <f>(K3-205.04)/-0.4563</f>
        <v>192.24182948416956</v>
      </c>
      <c r="N23" s="16">
        <f>-1.6001*K3 + 344.62</f>
        <v>156.89618286448186</v>
      </c>
      <c r="O23" s="63">
        <f>1000000000000*K3-4.601</f>
        <v>117320053206368.84</v>
      </c>
      <c r="P23" s="16"/>
      <c r="Q23" s="31" t="s">
        <v>69</v>
      </c>
      <c r="R23" s="45">
        <f>(J3-60.122)/0.0841</f>
        <v>-267.08659834277222</v>
      </c>
      <c r="S23" s="16">
        <f>0.5169*J3+27.545</f>
        <v>47.011462828327836</v>
      </c>
      <c r="T23" s="16">
        <f t="shared" ref="T23:T25" si="6">1.1518*J3^0.9191</f>
        <v>32.342147494732167</v>
      </c>
      <c r="U23" s="16"/>
      <c r="V23" s="31" t="s">
        <v>69</v>
      </c>
      <c r="W23" s="16">
        <f>(I3-3.8633)/0.2077</f>
        <v>27.138682274395688</v>
      </c>
      <c r="X23" s="13">
        <f>2.8315*I3 + 14.308</f>
        <v>41.207262199211904</v>
      </c>
      <c r="Y23" s="16">
        <f t="shared" ref="Y23:Y25" si="7">8.9277*I3^0.6763</f>
        <v>40.923634346381888</v>
      </c>
      <c r="Z23" s="13"/>
      <c r="AA23" s="1"/>
      <c r="AB23" s="31" t="s">
        <v>69</v>
      </c>
      <c r="AC23" s="16">
        <f>(H3+0.1561)/0.0915</f>
        <v>34.055752376002616</v>
      </c>
      <c r="AD23" s="16">
        <f t="shared" ref="AD23:AD25" si="8">6.3569*H3+ 26.624</f>
        <v>45.44043253352951</v>
      </c>
      <c r="AE23" s="16">
        <f t="shared" ref="AE23:AE25" si="9" xml:space="preserve"> 32.273*H3^0.3897</f>
        <v>49.260837883196288</v>
      </c>
      <c r="AF23" s="16"/>
      <c r="AH23" s="31" t="s">
        <v>69</v>
      </c>
      <c r="AI23" s="16">
        <f>(G3+0.0678)/0.0239</f>
        <v>29.615074905839549</v>
      </c>
      <c r="AJ23" s="16">
        <f xml:space="preserve"> 15.463*G3 + 39.702</f>
        <v>49.598324488129023</v>
      </c>
      <c r="AK23" s="16">
        <f>34.915*EXP(0.2946*G3)</f>
        <v>42.159524335536283</v>
      </c>
      <c r="AM23" s="1"/>
      <c r="AN23" s="31" t="s">
        <v>69</v>
      </c>
      <c r="AO23" s="16">
        <f>(F3+0.168)/0.0069</f>
        <v>44.637690361172815</v>
      </c>
      <c r="AP23" s="16">
        <f>70.576*F3 + 43.217</f>
        <v>53.097644481017909</v>
      </c>
      <c r="AQ23" s="16">
        <f>38.631*EXP(1.2111*F3)</f>
        <v>45.769097662017188</v>
      </c>
      <c r="AR23" s="16"/>
      <c r="AT23" s="1" t="s">
        <v>69</v>
      </c>
      <c r="AU23" s="1">
        <f>B23</f>
        <v>90</v>
      </c>
      <c r="AV23" s="42" t="s">
        <v>69</v>
      </c>
      <c r="AW23" s="16">
        <f>0.6229*Y3 + 31.496</f>
        <v>97.695476093415863</v>
      </c>
      <c r="AX23" s="16">
        <f t="shared" ref="AX23:AX25" si="10">2.4916*X3 + 31.496</f>
        <v>97.695476093415976</v>
      </c>
      <c r="AY23" s="16">
        <f t="shared" ref="AY23:AY25" si="11">9.9664*W3 + 31.496</f>
        <v>97.695476093415976</v>
      </c>
      <c r="AZ23" s="16">
        <f t="shared" ref="AZ23:AZ25" si="12" xml:space="preserve"> 39.864*V3 + 31.499</f>
        <v>97.695819187166947</v>
      </c>
      <c r="BA23" s="16">
        <f t="shared" ref="BA23:BA25" si="13" xml:space="preserve"> 153.68*U3 + 33.411</f>
        <v>97.20996129768622</v>
      </c>
      <c r="BB23" s="13">
        <f xml:space="preserve"> 341.18*T3 + 59.342</f>
        <v>94.751502888379235</v>
      </c>
      <c r="BD23" s="1">
        <f>AU23</f>
        <v>90</v>
      </c>
      <c r="BE23" s="42" t="s">
        <v>69</v>
      </c>
      <c r="BF23" s="16">
        <f>7.9979*Y3^0.5407</f>
        <v>99.694232599765229</v>
      </c>
      <c r="BG23" s="16">
        <f t="shared" ref="BG23:BG25" si="14" xml:space="preserve"> 16.925*X3^0.5407</f>
        <v>99.698564460136211</v>
      </c>
      <c r="BH23" s="16">
        <f t="shared" ref="BH23:BH25" si="15" xml:space="preserve"> 35.818*W3^0.5407</f>
        <v>99.707475964800153</v>
      </c>
      <c r="BI23" s="16">
        <f t="shared" ref="BI23:BI25" si="16" xml:space="preserve"> 75.792*V3^0.5402</f>
        <v>99.679486561846588</v>
      </c>
      <c r="BJ23" s="16">
        <f t="shared" ref="BJ23:BJ25" si="17">162.76*U3^0.5531</f>
        <v>100.08569989084388</v>
      </c>
      <c r="BK23" s="16">
        <f t="shared" ref="BK23:BK25" si="18">200.69*T3^0.333</f>
        <v>94.384158724984758</v>
      </c>
      <c r="BN23" s="1">
        <f>B23</f>
        <v>90</v>
      </c>
      <c r="BO23" s="42" t="s">
        <v>69</v>
      </c>
      <c r="BP23" s="16">
        <f xml:space="preserve"> 3.2753*Y3 + 16.246</f>
        <v>364.33260145892592</v>
      </c>
      <c r="BQ23" s="16">
        <f t="shared" ref="BQ23:BQ25" si="19" xml:space="preserve"> 13.101*X3 + 16.246</f>
        <v>364.32728764642911</v>
      </c>
      <c r="BR23" s="16">
        <f t="shared" ref="BR23:BR25" si="20" xml:space="preserve"> 45.439*W3 + 18.146</f>
        <v>319.96390759037655</v>
      </c>
      <c r="BS23" s="16">
        <f t="shared" ref="BS23:BS25" si="21" xml:space="preserve"> 129.75*V3 + 19.261</f>
        <v>234.71949110814046</v>
      </c>
      <c r="BT23" s="16">
        <f t="shared" ref="BT23:BT25" si="22">408.35*U3 + 18.101</f>
        <v>187.62407291716664</v>
      </c>
      <c r="BU23" s="16">
        <f t="shared" ref="BU23:BU25" si="23">268.12*T3 + 67.995</f>
        <v>95.821941539457882</v>
      </c>
      <c r="BW23" s="1">
        <f>BD23</f>
        <v>90</v>
      </c>
      <c r="BX23" s="42" t="s">
        <v>69</v>
      </c>
      <c r="BY23" s="16">
        <f xml:space="preserve"> 7.3072*Y3^0.8093</f>
        <v>318.9670548214167</v>
      </c>
      <c r="BZ23" s="16">
        <f t="shared" ref="BZ23:BZ25" si="24">22.438*X3^0.8093</f>
        <v>318.95677155946009</v>
      </c>
      <c r="CA23" s="16">
        <f t="shared" ref="CA23:CA25" si="25" xml:space="preserve"> 63.923*W3^0.7897</f>
        <v>285.12827241806099</v>
      </c>
      <c r="CB23" s="16">
        <f t="shared" ref="CB23:CB25" si="26">144.46*V3^0.7684</f>
        <v>213.30081318545697</v>
      </c>
      <c r="CC23" s="16">
        <f t="shared" ref="CC23:CC25" si="27">377.35*U3^0.8162</f>
        <v>184.12643250004979</v>
      </c>
      <c r="CD23" s="16">
        <f t="shared" ref="CD23:CD25" si="28" xml:space="preserve"> 193.76*T3^0.3028</f>
        <v>97.577612296617161</v>
      </c>
      <c r="CE23" s="1"/>
    </row>
    <row r="24" spans="1:83" x14ac:dyDescent="0.25">
      <c r="A24" s="1" t="s">
        <v>70</v>
      </c>
      <c r="B24" s="1">
        <v>45</v>
      </c>
      <c r="C24" s="24">
        <f>(C4+0.0087)/0.0009</f>
        <v>28.937326206160222</v>
      </c>
      <c r="D24" s="24">
        <f t="shared" ref="D24:D25" si="29">C4*637.85+31.496</f>
        <v>42.558611168539372</v>
      </c>
      <c r="E24" s="24">
        <f t="shared" ref="E24:E25" si="30">339.46*C4^0.5407</f>
        <v>37.904529640463622</v>
      </c>
      <c r="G24" s="31" t="s">
        <v>70</v>
      </c>
      <c r="H24" s="24">
        <f t="shared" ref="H24:H26" si="31">($D4-0.0009)/0.0002</f>
        <v>14.270611763493299</v>
      </c>
      <c r="I24" s="32">
        <f>3353.9*D4+16.246</f>
        <v>28.836950958716034</v>
      </c>
      <c r="J24" s="32">
        <f>1994.7*(D4^0.8093)</f>
        <v>21.723372749373084</v>
      </c>
      <c r="K24" s="13"/>
      <c r="L24" s="31" t="s">
        <v>70</v>
      </c>
      <c r="M24" s="16">
        <f t="shared" ref="M24:M26" si="32">(K4-205.04)/-0.4563</f>
        <v>122.8796103877864</v>
      </c>
      <c r="N24" s="16">
        <f t="shared" ref="N24:N25" si="33">-1.6001*K4 + 344.62</f>
        <v>106.2530489485371</v>
      </c>
      <c r="O24" s="63">
        <f t="shared" ref="O24:O25" si="34">1000000000000*K4-4.601</f>
        <v>148970033780048.47</v>
      </c>
      <c r="P24" s="16"/>
      <c r="Q24" s="31" t="s">
        <v>70</v>
      </c>
      <c r="R24" s="45">
        <f t="shared" ref="R24:R26" si="35">(J4-60.122)/0.0841</f>
        <v>-362.33047891370342</v>
      </c>
      <c r="S24" s="16">
        <f t="shared" ref="S24:S25" si="36">0.5169*J4+27.545</f>
        <v>42.871088475303516</v>
      </c>
      <c r="T24" s="16">
        <f t="shared" si="6"/>
        <v>25.960620247950711</v>
      </c>
      <c r="U24" s="16"/>
      <c r="V24" s="31" t="s">
        <v>70</v>
      </c>
      <c r="W24" s="45">
        <f>(I4-3.8633)/0.2077</f>
        <v>-7.9600361043143897</v>
      </c>
      <c r="X24" s="13">
        <f>2.8315*I4 + 14.308</f>
        <v>20.565616418960641</v>
      </c>
      <c r="Y24" s="16">
        <f t="shared" si="7"/>
        <v>15.263430355503798</v>
      </c>
      <c r="Z24" s="46"/>
      <c r="AA24" s="1"/>
      <c r="AB24" s="31" t="s">
        <v>70</v>
      </c>
      <c r="AC24" s="16">
        <f t="shared" ref="AC24:AC26" si="37">(H4+0.1561)/0.0915</f>
        <v>3.5639348475274497</v>
      </c>
      <c r="AD24" s="16">
        <f t="shared" si="8"/>
        <v>27.704673245050621</v>
      </c>
      <c r="AE24" s="16">
        <f t="shared" si="9"/>
        <v>16.178763293074105</v>
      </c>
      <c r="AF24" s="16"/>
      <c r="AH24" s="31" t="s">
        <v>70</v>
      </c>
      <c r="AI24" s="16">
        <f t="shared" ref="AI24:AI26" si="38">(G4+0.0678)/0.0239</f>
        <v>4.0920504938377666</v>
      </c>
      <c r="AJ24" s="16">
        <f xml:space="preserve"> 15.463*G4 + 39.702</f>
        <v>40.165890105190499</v>
      </c>
      <c r="AK24" s="16">
        <f t="shared" ref="AK24:AK26" si="39">34.915*EXP(0.2946*G4)</f>
        <v>35.224946476263852</v>
      </c>
      <c r="AM24" s="1"/>
      <c r="AN24" s="31" t="s">
        <v>70</v>
      </c>
      <c r="AO24" s="16">
        <f t="shared" ref="AO24:AO25" si="40">(F4+0.168)/0.0069</f>
        <v>24.347826086956523</v>
      </c>
      <c r="AP24" s="16">
        <f t="shared" ref="AP24:AP25" si="41">70.576*F4 + 43.217</f>
        <v>43.216999999999999</v>
      </c>
      <c r="AQ24" s="16">
        <f t="shared" ref="AQ24:AQ26" si="42">38.631*EXP(1.2111*F4)</f>
        <v>38.631</v>
      </c>
      <c r="AR24" s="16"/>
      <c r="AT24" s="1" t="s">
        <v>70</v>
      </c>
      <c r="AU24" s="1">
        <f t="shared" ref="AU24:AU32" si="43">B24</f>
        <v>45</v>
      </c>
      <c r="AV24" s="42" t="s">
        <v>70</v>
      </c>
      <c r="AW24" s="16">
        <f t="shared" ref="AW24:AW25" si="44">0.6229*Y4 + 31.496</f>
        <v>42.55860423110196</v>
      </c>
      <c r="AX24" s="16">
        <f t="shared" si="10"/>
        <v>42.558604231101967</v>
      </c>
      <c r="AY24" s="16">
        <f t="shared" si="11"/>
        <v>42.558604231101945</v>
      </c>
      <c r="AZ24" s="16">
        <f t="shared" si="12"/>
        <v>42.561160235106172</v>
      </c>
      <c r="BA24" s="16">
        <f t="shared" si="13"/>
        <v>44.072453848905766</v>
      </c>
      <c r="BB24" s="13">
        <f t="shared" ref="BB24:BB25" si="45" xml:space="preserve"> 341.18*T4 + 59.342</f>
        <v>59.341999999999999</v>
      </c>
      <c r="BD24" s="1">
        <f t="shared" ref="BD24:BD32" si="46">AU24</f>
        <v>45</v>
      </c>
      <c r="BE24" s="42" t="s">
        <v>70</v>
      </c>
      <c r="BF24" s="16">
        <f t="shared" ref="BF24:BF25" si="47">7.9979*Y4^0.5407</f>
        <v>37.892011567978848</v>
      </c>
      <c r="BG24" s="16">
        <f t="shared" si="14"/>
        <v>37.89365803135999</v>
      </c>
      <c r="BH24" s="16">
        <f t="shared" si="15"/>
        <v>37.897045136401111</v>
      </c>
      <c r="BI24" s="16">
        <f t="shared" si="16"/>
        <v>37.920313348849398</v>
      </c>
      <c r="BJ24" s="16">
        <f t="shared" si="17"/>
        <v>37.206163654402346</v>
      </c>
      <c r="BK24" s="16">
        <f>200.69*T4^0.333</f>
        <v>0</v>
      </c>
      <c r="BN24" s="1">
        <f t="shared" ref="BN24:BN32" si="48">B24</f>
        <v>45</v>
      </c>
      <c r="BO24" s="42" t="s">
        <v>70</v>
      </c>
      <c r="BP24" s="16">
        <f t="shared" ref="BP24:BP25" si="49" xml:space="preserve"> 3.2753*Y4 + 16.246</f>
        <v>74.414803400430642</v>
      </c>
      <c r="BQ24" s="16">
        <f t="shared" si="19"/>
        <v>74.413915408439124</v>
      </c>
      <c r="BR24" s="16">
        <f t="shared" si="20"/>
        <v>68.582835131746805</v>
      </c>
      <c r="BS24" s="16">
        <f t="shared" si="21"/>
        <v>55.266300283589857</v>
      </c>
      <c r="BT24" s="16">
        <f t="shared" si="22"/>
        <v>46.430025762627977</v>
      </c>
      <c r="BU24" s="16">
        <f t="shared" si="23"/>
        <v>67.995000000000005</v>
      </c>
      <c r="BW24" s="1">
        <f t="shared" ref="BW24:BW32" si="50">BD24</f>
        <v>45</v>
      </c>
      <c r="BX24" s="42" t="s">
        <v>70</v>
      </c>
      <c r="BY24" s="16">
        <f t="shared" ref="BY24:BY25" si="51" xml:space="preserve"> 7.3072*Y4^0.8093</f>
        <v>74.975956194233888</v>
      </c>
      <c r="BZ24" s="16">
        <f t="shared" si="24"/>
        <v>74.973539024854261</v>
      </c>
      <c r="CA24" s="16">
        <f t="shared" si="25"/>
        <v>69.413766763516179</v>
      </c>
      <c r="CB24" s="16">
        <f t="shared" si="26"/>
        <v>53.94458799502717</v>
      </c>
      <c r="CC24" s="16">
        <f t="shared" si="27"/>
        <v>42.749500333993886</v>
      </c>
      <c r="CD24" s="16">
        <f t="shared" si="28"/>
        <v>0</v>
      </c>
      <c r="CE24" s="1"/>
    </row>
    <row r="25" spans="1:83" x14ac:dyDescent="0.25">
      <c r="A25" s="1" t="s">
        <v>71</v>
      </c>
      <c r="B25" s="1">
        <v>64</v>
      </c>
      <c r="C25" s="24">
        <f>(C5+0.0087)/0.0009</f>
        <v>18.125609180160435</v>
      </c>
      <c r="D25" s="24">
        <f t="shared" si="29"/>
        <v>36.351982834008801</v>
      </c>
      <c r="E25" s="24">
        <f t="shared" si="30"/>
        <v>24.285515845279502</v>
      </c>
      <c r="G25" s="31" t="s">
        <v>71</v>
      </c>
      <c r="H25" s="24">
        <f t="shared" si="31"/>
        <v>18.597174102918199</v>
      </c>
      <c r="I25" s="32">
        <f>3353.9*D5+16.246</f>
        <v>31.739122444755466</v>
      </c>
      <c r="J25" s="32">
        <f>1994.7*(D5^0.8093)</f>
        <v>25.693859138130588</v>
      </c>
      <c r="K25" s="13"/>
      <c r="L25" s="31" t="s">
        <v>71</v>
      </c>
      <c r="M25" s="16">
        <f t="shared" si="32"/>
        <v>123.49327885540521</v>
      </c>
      <c r="N25" s="16">
        <f t="shared" si="33"/>
        <v>106.70110402506842</v>
      </c>
      <c r="O25" s="63">
        <f t="shared" si="34"/>
        <v>148690016858274</v>
      </c>
      <c r="P25" s="16"/>
      <c r="Q25" s="31" t="s">
        <v>71</v>
      </c>
      <c r="R25" s="45">
        <f t="shared" si="35"/>
        <v>-107.57424743380506</v>
      </c>
      <c r="S25" s="16">
        <f t="shared" si="36"/>
        <v>53.945670493273312</v>
      </c>
      <c r="T25" s="16">
        <f t="shared" si="6"/>
        <v>42.794842976188278</v>
      </c>
      <c r="U25" s="16"/>
      <c r="V25" s="31" t="s">
        <v>71</v>
      </c>
      <c r="W25" s="45">
        <f t="shared" ref="W25:W26" si="52">(I5-3.8633)/0.2077</f>
        <v>-3.7713030851883054</v>
      </c>
      <c r="X25" s="13">
        <f t="shared" ref="X25" si="53">2.8315*I5 + 14.308</f>
        <v>23.029020988777891</v>
      </c>
      <c r="Y25" s="16">
        <f t="shared" si="7"/>
        <v>19.104974879697991</v>
      </c>
      <c r="Z25" s="13"/>
      <c r="AA25" s="1"/>
      <c r="AB25" s="31" t="s">
        <v>71</v>
      </c>
      <c r="AC25" s="16">
        <f t="shared" si="37"/>
        <v>2.1431694484715615</v>
      </c>
      <c r="AD25" s="16">
        <f t="shared" si="8"/>
        <v>26.878276028829479</v>
      </c>
      <c r="AE25" s="16">
        <f t="shared" si="9"/>
        <v>9.2058127259320273</v>
      </c>
      <c r="AF25" s="45"/>
      <c r="AH25" s="31" t="s">
        <v>71</v>
      </c>
      <c r="AI25" s="16">
        <f t="shared" si="38"/>
        <v>2.8368200836820083</v>
      </c>
      <c r="AJ25" s="16">
        <f xml:space="preserve"> 15.463*G5 + 39.702</f>
        <v>39.701999999999998</v>
      </c>
      <c r="AK25" s="16">
        <f t="shared" si="39"/>
        <v>34.914999999999999</v>
      </c>
      <c r="AM25" s="1"/>
      <c r="AN25" s="31" t="s">
        <v>71</v>
      </c>
      <c r="AO25" s="16">
        <f t="shared" si="40"/>
        <v>24.347826086956523</v>
      </c>
      <c r="AP25" s="16">
        <f t="shared" si="41"/>
        <v>43.216999999999999</v>
      </c>
      <c r="AQ25" s="16">
        <f t="shared" si="42"/>
        <v>38.631</v>
      </c>
      <c r="AR25" s="16"/>
      <c r="AT25" s="1" t="s">
        <v>71</v>
      </c>
      <c r="AU25" s="1">
        <f t="shared" si="43"/>
        <v>64</v>
      </c>
      <c r="AV25" s="42" t="s">
        <v>71</v>
      </c>
      <c r="AW25" s="16">
        <f t="shared" si="44"/>
        <v>36.351979788789492</v>
      </c>
      <c r="AX25" s="16">
        <f t="shared" si="10"/>
        <v>36.351979788789485</v>
      </c>
      <c r="AY25" s="16">
        <f t="shared" si="11"/>
        <v>36.351979788789492</v>
      </c>
      <c r="AZ25" s="16">
        <f t="shared" si="12"/>
        <v>35.798757291920879</v>
      </c>
      <c r="BA25" s="16">
        <f t="shared" si="13"/>
        <v>33.411000000000001</v>
      </c>
      <c r="BB25" s="13">
        <f t="shared" si="45"/>
        <v>59.341999999999999</v>
      </c>
      <c r="BD25" s="1">
        <f t="shared" si="46"/>
        <v>64</v>
      </c>
      <c r="BE25" s="42" t="s">
        <v>71</v>
      </c>
      <c r="BF25" s="16">
        <f t="shared" si="47"/>
        <v>24.277495488594788</v>
      </c>
      <c r="BG25" s="16">
        <f t="shared" si="14"/>
        <v>24.278550381318947</v>
      </c>
      <c r="BH25" s="16">
        <f t="shared" si="15"/>
        <v>24.280720506998595</v>
      </c>
      <c r="BI25" s="16">
        <f t="shared" si="16"/>
        <v>22.760195936132316</v>
      </c>
      <c r="BJ25" s="16">
        <f t="shared" si="17"/>
        <v>0</v>
      </c>
      <c r="BK25" s="16">
        <f t="shared" si="18"/>
        <v>0</v>
      </c>
      <c r="BN25" s="1">
        <f t="shared" si="48"/>
        <v>64</v>
      </c>
      <c r="BO25" s="42" t="s">
        <v>71</v>
      </c>
      <c r="BP25" s="16">
        <f t="shared" si="49"/>
        <v>41.779457380353541</v>
      </c>
      <c r="BQ25" s="16">
        <f t="shared" si="19"/>
        <v>41.779067592282487</v>
      </c>
      <c r="BR25" s="16">
        <f t="shared" si="20"/>
        <v>40.285475198949058</v>
      </c>
      <c r="BS25" s="16">
        <f t="shared" si="21"/>
        <v>33.255920445181978</v>
      </c>
      <c r="BT25" s="16">
        <f t="shared" si="22"/>
        <v>18.100999999999999</v>
      </c>
      <c r="BU25" s="16">
        <f t="shared" si="23"/>
        <v>67.995000000000005</v>
      </c>
      <c r="BW25" s="1">
        <f t="shared" si="50"/>
        <v>64</v>
      </c>
      <c r="BX25" s="42" t="s">
        <v>71</v>
      </c>
      <c r="BY25" s="16">
        <f t="shared" si="51"/>
        <v>38.506328399357002</v>
      </c>
      <c r="BZ25" s="16">
        <f t="shared" si="24"/>
        <v>38.5050869838065</v>
      </c>
      <c r="CA25" s="16">
        <f t="shared" si="25"/>
        <v>36.229662410963577</v>
      </c>
      <c r="CB25" s="16">
        <f t="shared" si="26"/>
        <v>26.097541183844328</v>
      </c>
      <c r="CC25" s="16">
        <f t="shared" si="27"/>
        <v>0</v>
      </c>
      <c r="CD25" s="16">
        <f t="shared" si="28"/>
        <v>0</v>
      </c>
      <c r="CE25" s="1"/>
    </row>
    <row r="26" spans="1:83" x14ac:dyDescent="0.25">
      <c r="A26" s="1" t="s">
        <v>72</v>
      </c>
      <c r="B26" s="1">
        <v>90</v>
      </c>
      <c r="C26" s="24">
        <f>(C6+0.0087)/0.0009</f>
        <v>115.87861276600501</v>
      </c>
      <c r="D26" s="24">
        <f>C6*637.85+31.496</f>
        <v>92.468560837516662</v>
      </c>
      <c r="E26" s="24">
        <f>339.46*C6^0.5407</f>
        <v>95.389258082839561</v>
      </c>
      <c r="G26" s="31" t="s">
        <v>72</v>
      </c>
      <c r="H26" s="24">
        <f t="shared" si="31"/>
        <v>16.375086362494351</v>
      </c>
      <c r="I26" s="32">
        <f>3353.9*D6+16.246</f>
        <v>30.248590430233961</v>
      </c>
      <c r="J26" s="32">
        <f>1994.7*(D6^0.8093)</f>
        <v>23.674255529249351</v>
      </c>
      <c r="K26" s="13"/>
      <c r="L26" s="31" t="s">
        <v>72</v>
      </c>
      <c r="M26" s="16">
        <f t="shared" si="32"/>
        <v>140.49231944235979</v>
      </c>
      <c r="N26" s="16">
        <f>-1.6001*K6 + 344.62</f>
        <v>119.1125392430142</v>
      </c>
      <c r="O26" s="63">
        <f>1000000000000*K6-4.601</f>
        <v>140933354638446.63</v>
      </c>
      <c r="P26" s="16"/>
      <c r="Q26" s="31" t="s">
        <v>72</v>
      </c>
      <c r="R26" s="45">
        <f t="shared" si="35"/>
        <v>-339.38163170036603</v>
      </c>
      <c r="S26" s="16">
        <f>0.5169*J6+27.545</f>
        <v>43.868704467680203</v>
      </c>
      <c r="T26" s="16">
        <f>1.1518*J6^0.9191</f>
        <v>27.509761120953833</v>
      </c>
      <c r="U26" s="16"/>
      <c r="V26" s="31" t="s">
        <v>72</v>
      </c>
      <c r="W26" s="45">
        <f t="shared" si="52"/>
        <v>-8.1686711882275436</v>
      </c>
      <c r="X26" s="13">
        <f>2.8315*I6 + 14.308</f>
        <v>20.442917594091853</v>
      </c>
      <c r="Y26" s="16">
        <f>8.9277*I6^0.6763</f>
        <v>15.060376567986314</v>
      </c>
      <c r="Z26" s="46"/>
      <c r="AA26" s="1"/>
      <c r="AB26" s="31" t="s">
        <v>72</v>
      </c>
      <c r="AC26" s="16">
        <f t="shared" si="37"/>
        <v>4.8389804371860778</v>
      </c>
      <c r="AD26" s="16">
        <f>6.3569*H6+ 26.624</f>
        <v>28.446311608815058</v>
      </c>
      <c r="AE26" s="16">
        <f xml:space="preserve"> 32.273*H6^0.3897</f>
        <v>19.832581929011742</v>
      </c>
      <c r="AF26" s="16"/>
      <c r="AH26" s="31" t="s">
        <v>72</v>
      </c>
      <c r="AI26" s="16">
        <f t="shared" si="38"/>
        <v>4.7894005741147057</v>
      </c>
      <c r="AJ26" s="16">
        <f xml:space="preserve"> 15.463*G6 + 39.702</f>
        <v>40.4236067757531</v>
      </c>
      <c r="AK26" s="16">
        <f t="shared" si="39"/>
        <v>35.398326265143709</v>
      </c>
      <c r="AM26" s="1"/>
      <c r="AN26" s="31" t="s">
        <v>72</v>
      </c>
      <c r="AO26" s="16">
        <f>(F6+0.168)/0.0069</f>
        <v>28.212560970711511</v>
      </c>
      <c r="AP26" s="16">
        <f>70.576*F6 + 43.217</f>
        <v>45.099026951175652</v>
      </c>
      <c r="AQ26" s="16">
        <f t="shared" si="42"/>
        <v>39.898992296177823</v>
      </c>
      <c r="AR26" s="16"/>
      <c r="AT26" s="1" t="s">
        <v>72</v>
      </c>
      <c r="AU26" s="1">
        <f t="shared" si="43"/>
        <v>90</v>
      </c>
      <c r="AV26" s="42" t="s">
        <v>72</v>
      </c>
      <c r="AW26" s="16">
        <f>0.6229*Y6 + 31.496</f>
        <v>92.468522601216051</v>
      </c>
      <c r="AX26" s="16">
        <f>2.4916*X6 + 31.496</f>
        <v>92.468522601215938</v>
      </c>
      <c r="AY26" s="16">
        <f>9.9664*W6 + 31.496</f>
        <v>92.468522601215994</v>
      </c>
      <c r="AZ26" s="16">
        <f xml:space="preserve"> 39.864*V6 + 31.499</f>
        <v>92.469075477977853</v>
      </c>
      <c r="BA26" s="16">
        <f xml:space="preserve"> 153.68*U6 + 33.411</f>
        <v>92.172546755566742</v>
      </c>
      <c r="BB26" s="13">
        <f xml:space="preserve"> 341.18*T6 + 59.342</f>
        <v>91.955652593155037</v>
      </c>
      <c r="BD26" s="1">
        <f t="shared" si="46"/>
        <v>90</v>
      </c>
      <c r="BE26" s="42" t="s">
        <v>72</v>
      </c>
      <c r="BF26" s="16">
        <f>7.9979*Y6^0.5407</f>
        <v>95.357755524747361</v>
      </c>
      <c r="BG26" s="16">
        <f xml:space="preserve"> 16.925*X6^0.5407</f>
        <v>95.361898958840129</v>
      </c>
      <c r="BH26" s="16">
        <f xml:space="preserve"> 35.818*W6^0.5407</f>
        <v>95.37042283289928</v>
      </c>
      <c r="BI26" s="16">
        <f xml:space="preserve"> 75.792*V6^0.5402</f>
        <v>95.347571958453543</v>
      </c>
      <c r="BJ26" s="16">
        <f>162.76*U6^0.5531</f>
        <v>95.634608274952342</v>
      </c>
      <c r="BK26" s="16">
        <f>200.69*T6^0.333</f>
        <v>91.834151906724713</v>
      </c>
      <c r="BN26" s="1">
        <f t="shared" si="48"/>
        <v>90</v>
      </c>
      <c r="BO26" s="42" t="s">
        <v>72</v>
      </c>
      <c r="BP26" s="16">
        <f xml:space="preserve"> 3.2753*Y6 + 16.246</f>
        <v>336.84850967372444</v>
      </c>
      <c r="BQ26" s="16">
        <f xml:space="preserve"> 13.101*X6 + 16.246</f>
        <v>336.84361542724753</v>
      </c>
      <c r="BR26" s="16">
        <f xml:space="preserve"> 45.439*W6 + 18.146</f>
        <v>296.13308204333094</v>
      </c>
      <c r="BS26" s="16">
        <f xml:space="preserve"> 129.75*V6 + 19.261</f>
        <v>217.7074000920035</v>
      </c>
      <c r="BT26" s="16">
        <f>408.35*U6 + 18.101</f>
        <v>174.23893348279333</v>
      </c>
      <c r="BU26" s="16">
        <f>268.12*T6 + 67.995</f>
        <v>93.62479228933914</v>
      </c>
      <c r="BW26" s="1">
        <f t="shared" si="50"/>
        <v>90</v>
      </c>
      <c r="BX26" s="42" t="s">
        <v>72</v>
      </c>
      <c r="BY26" s="16">
        <f xml:space="preserve"> 7.3072*Y6^0.8093</f>
        <v>298.42645328901642</v>
      </c>
      <c r="BZ26" s="16">
        <f>22.438*X6^0.8093</f>
        <v>298.41683224086142</v>
      </c>
      <c r="CA26" s="16">
        <f xml:space="preserve"> 63.923*W6^0.7897</f>
        <v>267.19719303270881</v>
      </c>
      <c r="CB26" s="16">
        <f>144.46*V6^0.7684</f>
        <v>200.23729242898125</v>
      </c>
      <c r="CC26" s="16">
        <f>377.35*U6^0.8162</f>
        <v>172.17145795622451</v>
      </c>
      <c r="CD26" s="16">
        <f xml:space="preserve"> 193.76*T6^0.3028</f>
        <v>95.177447376366999</v>
      </c>
      <c r="CE26" s="1"/>
    </row>
    <row r="27" spans="1:83" x14ac:dyDescent="0.25">
      <c r="A27" s="1" t="s">
        <v>133</v>
      </c>
      <c r="B27" s="1">
        <v>128</v>
      </c>
      <c r="C27" s="24">
        <f t="shared" ref="C27:C32" si="54">(C10+0.0087)/0.0009</f>
        <v>50.047379531103338</v>
      </c>
      <c r="D27" s="24">
        <f t="shared" ref="D27:D32" si="55">C10*637.85+31.496</f>
        <v>54.677153930522834</v>
      </c>
      <c r="E27" s="24">
        <f t="shared" ref="E27:E32" si="56">339.46*C10^0.5407</f>
        <v>56.546509704584764</v>
      </c>
      <c r="G27" s="31" t="s">
        <v>133</v>
      </c>
      <c r="H27" s="24">
        <f>($D10-0.0009)/0.0002</f>
        <v>169.555535279537</v>
      </c>
      <c r="I27" s="32">
        <f t="shared" ref="I27:I32" si="57">3353.9*D10+16.246</f>
        <v>132.99897195480781</v>
      </c>
      <c r="J27" s="32">
        <f t="shared" ref="J27:J32" si="58">1994.7*(D10^0.8093)</f>
        <v>131.73155894777705</v>
      </c>
      <c r="K27" s="46"/>
      <c r="L27" s="31" t="s">
        <v>133</v>
      </c>
      <c r="M27" s="45">
        <f>(K10-205.04)/-0.4563</f>
        <v>-102.87822339104389</v>
      </c>
      <c r="N27" s="45">
        <f>-1.6001*AM10 + 344.62</f>
        <v>-23847.291900000004</v>
      </c>
      <c r="O27" s="63">
        <f>1000000000000*AM10-4.601</f>
        <v>1.5118999999999996E+16</v>
      </c>
      <c r="P27" s="16"/>
      <c r="Q27" s="31" t="s">
        <v>133</v>
      </c>
      <c r="R27" s="45">
        <f>(J10-60.122)/0.0841</f>
        <v>1633.9040824415381</v>
      </c>
      <c r="S27" s="16">
        <f>0.5169*J10+27.545</f>
        <v>129.64998</v>
      </c>
      <c r="T27" s="16">
        <f t="shared" ref="T27:T32" si="59">1.1518*J10^0.9191</f>
        <v>148.35430688486392</v>
      </c>
      <c r="U27" s="45"/>
      <c r="V27" s="31" t="s">
        <v>133</v>
      </c>
      <c r="W27" s="45">
        <f>(I10-3.8633)/0.2077</f>
        <v>1311.6034344407001</v>
      </c>
      <c r="X27" s="13">
        <f t="shared" ref="X27:X32" si="60">2.8315*I10 + 14.308</f>
        <v>796.60425833333341</v>
      </c>
      <c r="Y27" s="16">
        <f>8.9277*I10^0.6763</f>
        <v>399.78616697995858</v>
      </c>
      <c r="Z27" s="46"/>
      <c r="AB27" s="31" t="s">
        <v>133</v>
      </c>
      <c r="AC27" s="16">
        <f>(H10+0.1561)/0.0915</f>
        <v>37.953734061930788</v>
      </c>
      <c r="AD27" s="16">
        <f t="shared" ref="AD27:AD32" si="61">6.3569*H10+ 26.624</f>
        <v>47.707718333333332</v>
      </c>
      <c r="AE27" s="16">
        <f t="shared" ref="AE27:AE32" si="62" xml:space="preserve"> 32.273*H10^0.3897</f>
        <v>51.494025006246446</v>
      </c>
      <c r="AF27" s="45"/>
      <c r="AH27" s="31" t="s">
        <v>133</v>
      </c>
      <c r="AI27" s="16">
        <f>(G10+0.0678)/0.0239</f>
        <v>10.507670850767084</v>
      </c>
      <c r="AJ27" s="16">
        <f t="shared" ref="AJ27:AJ32" si="63" xml:space="preserve"> 15.463*G10 + 39.702</f>
        <v>42.536883333333328</v>
      </c>
      <c r="AK27" s="16">
        <f t="shared" ref="AK27:AK32" si="64">34.915*EXP(0.2946*G10)</f>
        <v>36.852613408536079</v>
      </c>
      <c r="AM27" s="1"/>
      <c r="AN27" s="31" t="s">
        <v>133</v>
      </c>
      <c r="AO27" s="16">
        <f>(F10+0.168)/0.0069</f>
        <v>24.347826086956523</v>
      </c>
      <c r="AP27" s="16">
        <f>70.576*F10 + 43.217</f>
        <v>43.216999999999999</v>
      </c>
      <c r="AQ27" s="16">
        <f>38.631*EXP(1.2111*F10)</f>
        <v>38.631</v>
      </c>
      <c r="AR27" s="16"/>
      <c r="AT27" s="1" t="s">
        <v>133</v>
      </c>
      <c r="AU27" s="1">
        <f t="shared" si="43"/>
        <v>128</v>
      </c>
      <c r="AV27" s="47" t="s">
        <v>133</v>
      </c>
      <c r="AW27" s="16">
        <f>0.6229*Y10 + 31.496</f>
        <v>54.677139393466177</v>
      </c>
      <c r="AX27" s="16">
        <f t="shared" ref="AX27:AX32" si="65">2.4916*X10 + 31.496</f>
        <v>54.677139393466206</v>
      </c>
      <c r="AY27" s="16">
        <f t="shared" ref="AY27:AY32" si="66">9.9664*W10 + 31.496</f>
        <v>54.677139393466177</v>
      </c>
      <c r="AZ27" s="16">
        <f t="shared" ref="AZ27:AZ32" si="67" xml:space="preserve"> 39.864*V10 + 31.499</f>
        <v>48.784451257564484</v>
      </c>
      <c r="BA27" s="16">
        <f t="shared" ref="BA27:BA32" si="68" xml:space="preserve"> 153.68*U10 + 33.411</f>
        <v>50.070317612774126</v>
      </c>
      <c r="BB27" s="13">
        <f t="shared" ref="BB27:BB31" si="69" xml:space="preserve"> 341.18*T10 + 59.342</f>
        <v>59.341999999999999</v>
      </c>
      <c r="BD27" s="1">
        <f t="shared" si="46"/>
        <v>128</v>
      </c>
      <c r="BE27" s="47" t="s">
        <v>133</v>
      </c>
      <c r="BF27" s="16">
        <f>7.9979*Y10^0.5407</f>
        <v>56.527835068229642</v>
      </c>
      <c r="BG27" s="16">
        <f t="shared" ref="BG27:BG32" si="70" xml:space="preserve"> 16.925*X10^0.5407</f>
        <v>56.530291285426998</v>
      </c>
      <c r="BH27" s="16">
        <f t="shared" ref="BH27:BH32" si="71" xml:space="preserve"> 35.818*W10^0.5407</f>
        <v>56.535344216300857</v>
      </c>
      <c r="BI27" s="16">
        <f t="shared" ref="BI27:BI32" si="72" xml:space="preserve"> 75.792*V10^0.5402</f>
        <v>48.259709693663041</v>
      </c>
      <c r="BJ27" s="16">
        <f t="shared" ref="BJ27:BJ32" si="73">162.76*U10^0.5531</f>
        <v>47.624258373941231</v>
      </c>
      <c r="BK27" s="16">
        <f t="shared" ref="BK27:BK32" si="74">200.69*T10^0.333</f>
        <v>0</v>
      </c>
      <c r="BN27" s="1">
        <f t="shared" si="48"/>
        <v>128</v>
      </c>
      <c r="BO27" s="47" t="s">
        <v>133</v>
      </c>
      <c r="BP27" s="16">
        <f t="shared" ref="BP27:BP32" si="75" xml:space="preserve"> 3.2753*Y10 + 16.246</f>
        <v>138.13584725544999</v>
      </c>
      <c r="BQ27" s="16">
        <f t="shared" ref="BQ27:BQ32" si="76" xml:space="preserve"> 13.101*X10 + 16.246</f>
        <v>138.13398651220135</v>
      </c>
      <c r="BR27" s="16">
        <f t="shared" ref="BR27:BR32" si="77" xml:space="preserve"> 45.439*W10 + 18.146</f>
        <v>123.83389060239504</v>
      </c>
      <c r="BS27" s="16">
        <f t="shared" ref="BS27:BS32" si="78" xml:space="preserve"> 129.75*V10 + 19.261</f>
        <v>75.521969814092728</v>
      </c>
      <c r="BT27" s="16">
        <f t="shared" ref="BT27:BT32" si="79">408.35*U10 + 18.101</f>
        <v>62.367217771839627</v>
      </c>
      <c r="BU27" s="16">
        <f t="shared" ref="BU27:BU32" si="80">268.12*T10 + 67.995</f>
        <v>67.995000000000005</v>
      </c>
      <c r="BW27" s="1">
        <f t="shared" si="50"/>
        <v>128</v>
      </c>
      <c r="BX27" s="47" t="s">
        <v>133</v>
      </c>
      <c r="BY27" s="16">
        <f t="shared" ref="BY27:BY32" si="81" xml:space="preserve"> 7.3072*Y10^0.8093</f>
        <v>136.43689124312615</v>
      </c>
      <c r="BZ27" s="16">
        <f t="shared" ref="BZ27:BZ32" si="82">22.438*X10^0.8093</f>
        <v>136.43249261865367</v>
      </c>
      <c r="CA27" s="16">
        <f t="shared" ref="CA27:CA32" si="83" xml:space="preserve"> 63.923*W10^0.7897</f>
        <v>124.49685404636813</v>
      </c>
      <c r="CB27" s="16">
        <f t="shared" ref="CB27:CB32" si="84">144.46*V10^0.7684</f>
        <v>76.014270757012255</v>
      </c>
      <c r="CC27" s="16">
        <f t="shared" ref="CC27:CC32" si="85">377.35*U10^0.8162</f>
        <v>61.538071923627697</v>
      </c>
      <c r="CD27" s="16">
        <f t="shared" ref="CD27:CD32" si="86" xml:space="preserve"> 193.76*T10^0.3028</f>
        <v>0</v>
      </c>
      <c r="CE27" s="1"/>
    </row>
    <row r="28" spans="1:83" x14ac:dyDescent="0.25">
      <c r="A28" s="1" t="s">
        <v>134</v>
      </c>
      <c r="B28" s="1">
        <v>128</v>
      </c>
      <c r="C28" s="24">
        <f t="shared" si="54"/>
        <v>21.125580649870781</v>
      </c>
      <c r="D28" s="24">
        <f t="shared" si="55"/>
        <v>38.074161455768063</v>
      </c>
      <c r="E28" s="24">
        <f t="shared" si="56"/>
        <v>28.617151338616932</v>
      </c>
      <c r="G28" s="31" t="s">
        <v>134</v>
      </c>
      <c r="H28" s="24">
        <f t="shared" ref="H28:H32" si="87">($D11-0.0009)/0.0002</f>
        <v>34.374447498062203</v>
      </c>
      <c r="I28" s="32">
        <f t="shared" si="57"/>
        <v>42.322201892750158</v>
      </c>
      <c r="J28" s="32">
        <f t="shared" si="58"/>
        <v>39.157632327795177</v>
      </c>
      <c r="K28" s="46"/>
      <c r="L28" s="31" t="s">
        <v>134</v>
      </c>
      <c r="M28" s="45">
        <f t="shared" ref="M28:M31" si="88">(K11-205.04)/-0.4563</f>
        <v>-112.52100226459201</v>
      </c>
      <c r="N28" s="45">
        <f t="shared" ref="N28:N32" si="89">-1.6001*K11 + 344.62</f>
        <v>-65.618971666666653</v>
      </c>
      <c r="O28" s="63">
        <f t="shared" ref="O28:O32" si="90">1000000000000*K11-4.601</f>
        <v>256383333333328.72</v>
      </c>
      <c r="P28" s="16"/>
      <c r="Q28" s="31" t="s">
        <v>134</v>
      </c>
      <c r="R28" s="45">
        <f>(J11-60.122)/0.0841</f>
        <v>1612.5009908838686</v>
      </c>
      <c r="S28" s="16">
        <f t="shared" ref="S28:S32" si="91">0.5169*J11+27.545</f>
        <v>128.71956</v>
      </c>
      <c r="T28" s="16">
        <f t="shared" si="59"/>
        <v>147.11135128513553</v>
      </c>
      <c r="U28" s="45"/>
      <c r="V28" s="31" t="s">
        <v>134</v>
      </c>
      <c r="W28" s="45">
        <f t="shared" ref="W28:W32" si="92">(I11-3.8633)/0.2077</f>
        <v>8.3615792007703398</v>
      </c>
      <c r="X28" s="13">
        <f t="shared" si="60"/>
        <v>30.164400000000001</v>
      </c>
      <c r="Y28" s="16">
        <f>8.9277*I11^0.6763</f>
        <v>28.624581823342357</v>
      </c>
      <c r="Z28" s="46"/>
      <c r="AB28" s="31" t="s">
        <v>134</v>
      </c>
      <c r="AC28" s="16">
        <f>(H11+0.1561)/0.0915</f>
        <v>2.2524590163934426</v>
      </c>
      <c r="AD28" s="16">
        <f t="shared" si="61"/>
        <v>26.941844999999997</v>
      </c>
      <c r="AE28" s="16">
        <f t="shared" si="62"/>
        <v>10.042178776596568</v>
      </c>
      <c r="AF28" s="45"/>
      <c r="AH28" s="31" t="s">
        <v>134</v>
      </c>
      <c r="AI28" s="16">
        <f>(G11+0.0678)/0.0239</f>
        <v>2.8368200836820083</v>
      </c>
      <c r="AJ28" s="16">
        <f t="shared" si="63"/>
        <v>39.701999999999998</v>
      </c>
      <c r="AK28" s="16">
        <f t="shared" si="64"/>
        <v>34.914999999999999</v>
      </c>
      <c r="AM28" s="1"/>
      <c r="AN28" s="31" t="s">
        <v>134</v>
      </c>
      <c r="AO28" s="16">
        <f t="shared" ref="AO28:AO32" si="93">(F11+0.168)/0.0069</f>
        <v>24.347826086956523</v>
      </c>
      <c r="AP28" s="16">
        <f t="shared" ref="AP28:AP32" si="94">70.576*F11 + 43.217</f>
        <v>43.216999999999999</v>
      </c>
      <c r="AQ28" s="16">
        <f t="shared" ref="AQ28:AQ31" si="95">38.631*EXP(1.2111*F11)</f>
        <v>38.631</v>
      </c>
      <c r="AR28" s="16"/>
      <c r="AT28" s="1" t="s">
        <v>134</v>
      </c>
      <c r="AU28" s="1">
        <f t="shared" si="43"/>
        <v>128</v>
      </c>
      <c r="AV28" s="47" t="s">
        <v>134</v>
      </c>
      <c r="AW28" s="16">
        <f t="shared" ref="AW28:AW31" si="96">0.6229*Y11 + 31.496</f>
        <v>38.074157330559025</v>
      </c>
      <c r="AX28" s="16">
        <f t="shared" si="65"/>
        <v>38.074157330559068</v>
      </c>
      <c r="AY28" s="16">
        <f t="shared" si="66"/>
        <v>38.074157330559075</v>
      </c>
      <c r="AZ28" s="16">
        <f t="shared" si="67"/>
        <v>37.663143822065457</v>
      </c>
      <c r="BA28" s="16">
        <f t="shared" si="68"/>
        <v>33.411000000000001</v>
      </c>
      <c r="BB28" s="13">
        <f t="shared" si="69"/>
        <v>59.341999999999999</v>
      </c>
      <c r="BD28" s="1">
        <f t="shared" si="46"/>
        <v>128</v>
      </c>
      <c r="BE28" s="47" t="s">
        <v>134</v>
      </c>
      <c r="BF28" s="16">
        <f t="shared" ref="BF28:BF31" si="97">7.9979*Y11^0.5407</f>
        <v>28.607700447703241</v>
      </c>
      <c r="BG28" s="16">
        <f t="shared" si="70"/>
        <v>28.608943494172923</v>
      </c>
      <c r="BH28" s="16">
        <f t="shared" si="71"/>
        <v>28.611500689803187</v>
      </c>
      <c r="BI28" s="16">
        <f t="shared" si="72"/>
        <v>27.648962903321891</v>
      </c>
      <c r="BJ28" s="16">
        <f t="shared" si="73"/>
        <v>0</v>
      </c>
      <c r="BK28" s="16">
        <f t="shared" si="74"/>
        <v>0</v>
      </c>
      <c r="BN28" s="1">
        <f t="shared" si="48"/>
        <v>128</v>
      </c>
      <c r="BO28" s="47" t="s">
        <v>134</v>
      </c>
      <c r="BP28" s="16">
        <f t="shared" si="75"/>
        <v>50.834920701204027</v>
      </c>
      <c r="BQ28" s="16">
        <f t="shared" si="76"/>
        <v>50.834392674447884</v>
      </c>
      <c r="BR28" s="16">
        <f t="shared" si="77"/>
        <v>48.137259727010147</v>
      </c>
      <c r="BS28" s="16">
        <f t="shared" si="78"/>
        <v>39.324156254088734</v>
      </c>
      <c r="BT28" s="16">
        <f t="shared" si="79"/>
        <v>18.100999999999999</v>
      </c>
      <c r="BU28" s="16">
        <f t="shared" si="80"/>
        <v>67.995000000000005</v>
      </c>
      <c r="BW28" s="1">
        <f t="shared" si="50"/>
        <v>128</v>
      </c>
      <c r="BX28" s="47" t="s">
        <v>134</v>
      </c>
      <c r="BY28" s="16">
        <f t="shared" si="81"/>
        <v>49.228886624186863</v>
      </c>
      <c r="BZ28" s="16">
        <f t="shared" si="82"/>
        <v>49.227299521289261</v>
      </c>
      <c r="CA28" s="16">
        <f t="shared" si="83"/>
        <v>46.043504745447692</v>
      </c>
      <c r="CB28" s="16">
        <f t="shared" si="84"/>
        <v>34.419099043102484</v>
      </c>
      <c r="CC28" s="16">
        <f t="shared" si="85"/>
        <v>0</v>
      </c>
      <c r="CD28" s="16">
        <f t="shared" si="86"/>
        <v>0</v>
      </c>
      <c r="CE28" s="1"/>
    </row>
    <row r="29" spans="1:83" x14ac:dyDescent="0.25">
      <c r="A29" s="1" t="s">
        <v>135</v>
      </c>
      <c r="B29" s="1">
        <v>64</v>
      </c>
      <c r="C29" s="24">
        <f>(C12+0.0087)/0.0009</f>
        <v>47.327378278646002</v>
      </c>
      <c r="D29" s="24">
        <f t="shared" si="55"/>
        <v>53.115696411530919</v>
      </c>
      <c r="E29" s="24">
        <f t="shared" si="56"/>
        <v>54.454083821996328</v>
      </c>
      <c r="G29" s="31" t="s">
        <v>135</v>
      </c>
      <c r="H29" s="24">
        <f t="shared" si="87"/>
        <v>118.23583380553599</v>
      </c>
      <c r="I29" s="32">
        <f t="shared" si="57"/>
        <v>98.574742600077442</v>
      </c>
      <c r="J29" s="32">
        <f>1994.7*(D12^0.8093)</f>
        <v>99.290043013447303</v>
      </c>
      <c r="K29" s="46"/>
      <c r="L29" s="31" t="s">
        <v>135</v>
      </c>
      <c r="M29" s="16">
        <f>(K12-205.04)/-0.4563</f>
        <v>62.619621593980547</v>
      </c>
      <c r="N29" s="64">
        <f t="shared" si="89"/>
        <v>62.255686666666634</v>
      </c>
      <c r="O29" s="63">
        <f t="shared" si="90"/>
        <v>176466666666662.06</v>
      </c>
      <c r="P29" s="16"/>
      <c r="Q29" s="31" t="s">
        <v>135</v>
      </c>
      <c r="R29" s="45">
        <f t="shared" ref="R29:R32" si="98">(J12-60.122)/0.0841</f>
        <v>1324.1537851763774</v>
      </c>
      <c r="S29" s="16">
        <f t="shared" si="91"/>
        <v>116.184735</v>
      </c>
      <c r="T29" s="16">
        <f t="shared" si="59"/>
        <v>130.27180720268166</v>
      </c>
      <c r="U29" s="45"/>
      <c r="V29" s="31" t="s">
        <v>135</v>
      </c>
      <c r="W29" s="45">
        <f>(I12-3.8633)/0.2077</f>
        <v>377.4034665382764</v>
      </c>
      <c r="X29" s="13">
        <f t="shared" si="60"/>
        <v>247.19887500000002</v>
      </c>
      <c r="Y29" s="16">
        <f t="shared" ref="Y29:Y32" si="99">8.9277*I12^0.6763</f>
        <v>176.17569838163556</v>
      </c>
      <c r="Z29" s="46"/>
      <c r="AB29" s="31" t="s">
        <v>135</v>
      </c>
      <c r="AC29" s="16">
        <f t="shared" ref="AC29:AC31" si="100">(H12+0.1561)/0.0915</f>
        <v>23.017486338797816</v>
      </c>
      <c r="AD29" s="16">
        <f t="shared" si="61"/>
        <v>39.019954999999996</v>
      </c>
      <c r="AE29" s="16">
        <f t="shared" si="62"/>
        <v>41.866420008767221</v>
      </c>
      <c r="AF29" s="45"/>
      <c r="AH29" s="31" t="s">
        <v>135</v>
      </c>
      <c r="AI29" s="16">
        <f t="shared" ref="AI29:AI32" si="101">(G12+0.0678)/0.0239</f>
        <v>4.2315202231520219</v>
      </c>
      <c r="AJ29" s="16">
        <f t="shared" si="63"/>
        <v>40.217433333333332</v>
      </c>
      <c r="AK29" s="16">
        <f t="shared" si="64"/>
        <v>35.259554292731977</v>
      </c>
      <c r="AM29" s="1"/>
      <c r="AN29" s="31" t="s">
        <v>135</v>
      </c>
      <c r="AO29" s="16">
        <f t="shared" si="93"/>
        <v>24.347826086956523</v>
      </c>
      <c r="AP29" s="16">
        <f t="shared" si="94"/>
        <v>43.216999999999999</v>
      </c>
      <c r="AQ29" s="16">
        <f t="shared" si="95"/>
        <v>38.631</v>
      </c>
      <c r="AR29" s="16"/>
      <c r="AT29" s="1" t="s">
        <v>135</v>
      </c>
      <c r="AU29" s="1">
        <f t="shared" si="43"/>
        <v>64</v>
      </c>
      <c r="AV29" s="47" t="s">
        <v>135</v>
      </c>
      <c r="AW29" s="16">
        <f t="shared" si="96"/>
        <v>53.115682853674762</v>
      </c>
      <c r="AX29" s="16">
        <f t="shared" si="65"/>
        <v>53.115682853674762</v>
      </c>
      <c r="AY29" s="16">
        <f t="shared" si="66"/>
        <v>53.115682853674741</v>
      </c>
      <c r="AZ29" s="16">
        <f t="shared" si="67"/>
        <v>53.117815150879217</v>
      </c>
      <c r="BA29" s="16">
        <f t="shared" si="68"/>
        <v>50.95799155206047</v>
      </c>
      <c r="BB29" s="13">
        <f xml:space="preserve"> 341.18*T12 + 59.342</f>
        <v>59.341999999999999</v>
      </c>
      <c r="BD29" s="1">
        <f t="shared" si="46"/>
        <v>64</v>
      </c>
      <c r="BE29" s="47" t="s">
        <v>135</v>
      </c>
      <c r="BF29" s="16">
        <f t="shared" si="97"/>
        <v>54.43610021489598</v>
      </c>
      <c r="BG29" s="16">
        <f t="shared" si="70"/>
        <v>54.438465543151352</v>
      </c>
      <c r="BH29" s="16">
        <f t="shared" si="71"/>
        <v>54.443331497262228</v>
      </c>
      <c r="BI29" s="16">
        <f t="shared" si="72"/>
        <v>54.458511303586427</v>
      </c>
      <c r="BJ29" s="16">
        <f t="shared" si="73"/>
        <v>49.011514068214645</v>
      </c>
      <c r="BK29" s="16">
        <f t="shared" si="74"/>
        <v>0</v>
      </c>
      <c r="BN29" s="1">
        <f t="shared" si="48"/>
        <v>64</v>
      </c>
      <c r="BO29" s="47" t="s">
        <v>135</v>
      </c>
      <c r="BP29" s="16">
        <f t="shared" si="75"/>
        <v>129.92547864928713</v>
      </c>
      <c r="BQ29" s="16">
        <f t="shared" si="76"/>
        <v>129.92374324369607</v>
      </c>
      <c r="BR29" s="16">
        <f t="shared" si="77"/>
        <v>116.71486831635562</v>
      </c>
      <c r="BS29" s="16">
        <f t="shared" si="78"/>
        <v>89.626273575822253</v>
      </c>
      <c r="BT29" s="16">
        <f t="shared" si="79"/>
        <v>64.725895889405848</v>
      </c>
      <c r="BU29" s="16">
        <f t="shared" si="80"/>
        <v>67.995000000000005</v>
      </c>
      <c r="BW29" s="1">
        <f t="shared" si="50"/>
        <v>64</v>
      </c>
      <c r="BX29" s="47" t="s">
        <v>135</v>
      </c>
      <c r="BY29" s="16">
        <f t="shared" si="81"/>
        <v>128.95013253278273</v>
      </c>
      <c r="BZ29" s="16">
        <f t="shared" si="82"/>
        <v>128.94597527587422</v>
      </c>
      <c r="CA29" s="16">
        <f t="shared" si="83"/>
        <v>117.82622122727562</v>
      </c>
      <c r="CB29" s="16">
        <f t="shared" si="84"/>
        <v>90.270550237634694</v>
      </c>
      <c r="CC29" s="16">
        <f t="shared" si="85"/>
        <v>64.201546348510718</v>
      </c>
      <c r="CD29" s="16">
        <f t="shared" si="86"/>
        <v>0</v>
      </c>
      <c r="CE29" s="1"/>
    </row>
    <row r="30" spans="1:83" x14ac:dyDescent="0.25">
      <c r="A30" s="1" t="s">
        <v>136</v>
      </c>
      <c r="B30" s="1">
        <v>128</v>
      </c>
      <c r="C30" s="24">
        <f>(C13+0.0087)/0.0009</f>
        <v>26.219116975681892</v>
      </c>
      <c r="D30" s="24">
        <f t="shared" si="55"/>
        <v>40.998182386644821</v>
      </c>
      <c r="E30" s="24">
        <f t="shared" si="56"/>
        <v>34.912936092268282</v>
      </c>
      <c r="G30" s="31" t="s">
        <v>136</v>
      </c>
      <c r="H30" s="24">
        <f t="shared" si="87"/>
        <v>35.720502265398899</v>
      </c>
      <c r="I30" s="32">
        <f t="shared" si="57"/>
        <v>43.225108509584274</v>
      </c>
      <c r="J30" s="32">
        <f t="shared" si="58"/>
        <v>40.251356089000254</v>
      </c>
      <c r="K30" s="46"/>
      <c r="L30" s="31" t="s">
        <v>136</v>
      </c>
      <c r="M30" s="16">
        <f t="shared" si="88"/>
        <v>78.617868361458108</v>
      </c>
      <c r="N30" s="64">
        <f t="shared" si="89"/>
        <v>73.936416666666673</v>
      </c>
      <c r="O30" s="63">
        <f t="shared" si="90"/>
        <v>169166666666662.06</v>
      </c>
      <c r="P30" s="16"/>
      <c r="Q30" s="31" t="s">
        <v>136</v>
      </c>
      <c r="R30" s="45">
        <f>(J13-60.122)/0.0841</f>
        <v>606.95204122076905</v>
      </c>
      <c r="S30" s="16">
        <f t="shared" si="91"/>
        <v>85.007050000000007</v>
      </c>
      <c r="T30" s="16">
        <f t="shared" si="59"/>
        <v>87.464599916915816</v>
      </c>
      <c r="U30" s="16"/>
      <c r="V30" s="31" t="s">
        <v>136</v>
      </c>
      <c r="W30" s="45">
        <f t="shared" si="92"/>
        <v>18.392071898571658</v>
      </c>
      <c r="X30" s="13">
        <f t="shared" si="60"/>
        <v>36.063358333333333</v>
      </c>
      <c r="Y30" s="16">
        <f t="shared" si="99"/>
        <v>35.451681043177459</v>
      </c>
      <c r="Z30" s="46"/>
      <c r="AB30" s="31" t="s">
        <v>136</v>
      </c>
      <c r="AC30" s="16">
        <f t="shared" si="100"/>
        <v>8.2633879781420774</v>
      </c>
      <c r="AD30" s="16">
        <f t="shared" si="61"/>
        <v>30.438139999999997</v>
      </c>
      <c r="AE30" s="16">
        <f t="shared" si="62"/>
        <v>26.447515495202428</v>
      </c>
      <c r="AF30" s="45"/>
      <c r="AH30" s="31" t="s">
        <v>136</v>
      </c>
      <c r="AI30" s="16">
        <f t="shared" si="101"/>
        <v>2.8368200836820083</v>
      </c>
      <c r="AJ30" s="16">
        <f t="shared" si="63"/>
        <v>39.701999999999998</v>
      </c>
      <c r="AK30" s="16">
        <f t="shared" si="64"/>
        <v>34.914999999999999</v>
      </c>
      <c r="AM30" s="1"/>
      <c r="AN30" s="31" t="s">
        <v>136</v>
      </c>
      <c r="AO30" s="16">
        <f t="shared" si="93"/>
        <v>24.347826086956523</v>
      </c>
      <c r="AP30" s="16">
        <f t="shared" si="94"/>
        <v>43.216999999999999</v>
      </c>
      <c r="AQ30" s="16">
        <f t="shared" si="95"/>
        <v>38.631</v>
      </c>
      <c r="AR30" s="16"/>
      <c r="AT30" s="1" t="s">
        <v>136</v>
      </c>
      <c r="AU30" s="1">
        <f t="shared" si="43"/>
        <v>128</v>
      </c>
      <c r="AV30" s="47" t="s">
        <v>136</v>
      </c>
      <c r="AW30" s="16">
        <f t="shared" si="96"/>
        <v>40.998176427762694</v>
      </c>
      <c r="AX30" s="16">
        <f t="shared" si="65"/>
        <v>40.998176427762715</v>
      </c>
      <c r="AY30" s="16">
        <f t="shared" si="66"/>
        <v>40.998176427762729</v>
      </c>
      <c r="AZ30" s="16">
        <f t="shared" si="67"/>
        <v>41.000795059307585</v>
      </c>
      <c r="BA30" s="16">
        <f t="shared" si="68"/>
        <v>33.411000000000001</v>
      </c>
      <c r="BB30" s="13">
        <f t="shared" si="69"/>
        <v>59.341999999999999</v>
      </c>
      <c r="BD30" s="1">
        <f t="shared" si="46"/>
        <v>128</v>
      </c>
      <c r="BE30" s="47" t="s">
        <v>136</v>
      </c>
      <c r="BF30" s="16">
        <f t="shared" si="97"/>
        <v>34.90140600156915</v>
      </c>
      <c r="BG30" s="16">
        <f t="shared" si="70"/>
        <v>34.902922518759851</v>
      </c>
      <c r="BH30" s="16">
        <f t="shared" si="71"/>
        <v>34.906042298452746</v>
      </c>
      <c r="BI30" s="16">
        <f t="shared" si="72"/>
        <v>34.930129534914791</v>
      </c>
      <c r="BJ30" s="16">
        <f t="shared" si="73"/>
        <v>0</v>
      </c>
      <c r="BK30" s="16">
        <f t="shared" si="74"/>
        <v>0</v>
      </c>
      <c r="BN30" s="1">
        <f t="shared" si="48"/>
        <v>128</v>
      </c>
      <c r="BO30" s="47" t="s">
        <v>136</v>
      </c>
      <c r="BP30" s="16">
        <f t="shared" si="75"/>
        <v>66.209844042143445</v>
      </c>
      <c r="BQ30" s="16">
        <f t="shared" si="76"/>
        <v>66.20908130523334</v>
      </c>
      <c r="BR30" s="16">
        <f t="shared" si="77"/>
        <v>61.468503080461439</v>
      </c>
      <c r="BS30" s="16">
        <f t="shared" si="78"/>
        <v>50.187598157364015</v>
      </c>
      <c r="BT30" s="16">
        <f t="shared" si="79"/>
        <v>18.100999999999999</v>
      </c>
      <c r="BU30" s="16">
        <f t="shared" si="80"/>
        <v>67.995000000000005</v>
      </c>
      <c r="BW30" s="1">
        <f t="shared" si="50"/>
        <v>128</v>
      </c>
      <c r="BX30" s="47" t="s">
        <v>136</v>
      </c>
      <c r="BY30" s="16">
        <f t="shared" si="81"/>
        <v>66.294952780660694</v>
      </c>
      <c r="BZ30" s="16">
        <f t="shared" si="82"/>
        <v>66.292815480411207</v>
      </c>
      <c r="CA30" s="16">
        <f t="shared" si="83"/>
        <v>61.559961087008617</v>
      </c>
      <c r="CB30" s="16">
        <f t="shared" si="84"/>
        <v>47.996231039517724</v>
      </c>
      <c r="CC30" s="16">
        <f t="shared" si="85"/>
        <v>0</v>
      </c>
      <c r="CD30" s="16">
        <f t="shared" si="86"/>
        <v>0</v>
      </c>
      <c r="CE30" s="1"/>
    </row>
    <row r="31" spans="1:83" x14ac:dyDescent="0.25">
      <c r="A31" s="1" t="s">
        <v>137</v>
      </c>
      <c r="B31" s="1">
        <v>128</v>
      </c>
      <c r="C31" s="24">
        <f t="shared" si="54"/>
        <v>72.712478954005448</v>
      </c>
      <c r="D31" s="24">
        <f t="shared" si="55"/>
        <v>67.688394230731134</v>
      </c>
      <c r="E31" s="24">
        <f t="shared" si="56"/>
        <v>71.948486596817986</v>
      </c>
      <c r="G31" s="31" t="s">
        <v>137</v>
      </c>
      <c r="H31" s="24">
        <f t="shared" si="87"/>
        <v>171.8536905436255</v>
      </c>
      <c r="I31" s="32">
        <f t="shared" si="57"/>
        <v>134.54052854285311</v>
      </c>
      <c r="J31" s="32">
        <f t="shared" si="58"/>
        <v>133.13743373735352</v>
      </c>
      <c r="K31" s="13"/>
      <c r="L31" s="31" t="s">
        <v>137</v>
      </c>
      <c r="M31" s="16">
        <f t="shared" si="88"/>
        <v>143.23179194974065</v>
      </c>
      <c r="N31" s="64">
        <f t="shared" si="89"/>
        <v>121.11269833333333</v>
      </c>
      <c r="O31" s="63">
        <f t="shared" si="90"/>
        <v>139683333333328.75</v>
      </c>
      <c r="P31" s="16"/>
      <c r="Q31" s="31" t="s">
        <v>137</v>
      </c>
      <c r="R31" s="45">
        <f t="shared" si="98"/>
        <v>1342.584225128815</v>
      </c>
      <c r="S31" s="16">
        <f t="shared" si="91"/>
        <v>116.98593000000001</v>
      </c>
      <c r="T31" s="16">
        <f t="shared" si="59"/>
        <v>131.35365131305872</v>
      </c>
      <c r="U31" s="16"/>
      <c r="V31" s="31" t="s">
        <v>137</v>
      </c>
      <c r="W31" s="16">
        <f t="shared" si="92"/>
        <v>560.1991654630076</v>
      </c>
      <c r="X31" s="13">
        <f t="shared" si="60"/>
        <v>354.7014916666667</v>
      </c>
      <c r="Y31" s="16">
        <f t="shared" si="99"/>
        <v>227.72971489098444</v>
      </c>
      <c r="Z31" s="13"/>
      <c r="AB31" s="31" t="s">
        <v>137</v>
      </c>
      <c r="AC31" s="16">
        <f t="shared" si="100"/>
        <v>119.37449908925321</v>
      </c>
      <c r="AD31" s="16">
        <f t="shared" si="61"/>
        <v>95.066623333333339</v>
      </c>
      <c r="AE31" s="16">
        <f t="shared" si="62"/>
        <v>81.478196599739903</v>
      </c>
      <c r="AF31" s="16"/>
      <c r="AH31" s="31" t="s">
        <v>137</v>
      </c>
      <c r="AI31" s="16">
        <f t="shared" si="101"/>
        <v>22.362622036262202</v>
      </c>
      <c r="AJ31" s="16">
        <f t="shared" si="63"/>
        <v>46.918066666666661</v>
      </c>
      <c r="AK31" s="16">
        <f t="shared" si="64"/>
        <v>40.060729341415872</v>
      </c>
      <c r="AM31" s="1"/>
      <c r="AN31" s="31" t="s">
        <v>137</v>
      </c>
      <c r="AO31" s="16">
        <f t="shared" si="93"/>
        <v>26.763285024154591</v>
      </c>
      <c r="AP31" s="16">
        <f t="shared" si="94"/>
        <v>44.393266666666662</v>
      </c>
      <c r="AQ31" s="16">
        <f t="shared" si="95"/>
        <v>39.418689749666562</v>
      </c>
      <c r="AR31" s="16"/>
      <c r="AT31" s="1" t="s">
        <v>137</v>
      </c>
      <c r="AU31" s="1">
        <f t="shared" si="43"/>
        <v>128</v>
      </c>
      <c r="AV31" s="47" t="s">
        <v>137</v>
      </c>
      <c r="AW31" s="16">
        <f t="shared" si="96"/>
        <v>67.688371534238698</v>
      </c>
      <c r="AX31" s="16">
        <f t="shared" si="65"/>
        <v>67.68837153423857</v>
      </c>
      <c r="AY31" s="16">
        <f t="shared" si="66"/>
        <v>67.688371534238684</v>
      </c>
      <c r="AZ31" s="16">
        <f t="shared" si="67"/>
        <v>67.689918958723638</v>
      </c>
      <c r="BA31" s="16">
        <f t="shared" si="68"/>
        <v>68.082911017010773</v>
      </c>
      <c r="BB31" s="13">
        <f t="shared" si="69"/>
        <v>74.456304696271587</v>
      </c>
      <c r="BD31" s="1">
        <f t="shared" si="46"/>
        <v>128</v>
      </c>
      <c r="BE31" s="47" t="s">
        <v>137</v>
      </c>
      <c r="BF31" s="16">
        <f t="shared" si="97"/>
        <v>71.924725416322232</v>
      </c>
      <c r="BG31" s="16">
        <f t="shared" si="70"/>
        <v>71.927850650947946</v>
      </c>
      <c r="BH31" s="16">
        <f t="shared" si="71"/>
        <v>71.934279884708971</v>
      </c>
      <c r="BI31" s="16">
        <f t="shared" si="72"/>
        <v>71.93580184996776</v>
      </c>
      <c r="BJ31" s="16">
        <f t="shared" si="73"/>
        <v>71.431757180459684</v>
      </c>
      <c r="BK31" s="16">
        <f t="shared" si="74"/>
        <v>71.085081799274192</v>
      </c>
      <c r="BN31" s="1">
        <f t="shared" si="48"/>
        <v>128</v>
      </c>
      <c r="BO31" s="47" t="s">
        <v>137</v>
      </c>
      <c r="BP31" s="16">
        <f t="shared" si="75"/>
        <v>206.55082338431853</v>
      </c>
      <c r="BQ31" s="16">
        <f t="shared" si="76"/>
        <v>206.5479182332877</v>
      </c>
      <c r="BR31" s="16">
        <f t="shared" si="77"/>
        <v>183.15494707660451</v>
      </c>
      <c r="BS31" s="16">
        <f t="shared" si="78"/>
        <v>137.05579567766384</v>
      </c>
      <c r="BT31" s="16">
        <f t="shared" si="79"/>
        <v>110.22928516265193</v>
      </c>
      <c r="BU31" s="16">
        <f t="shared" si="80"/>
        <v>79.872740122997655</v>
      </c>
      <c r="BW31" s="1">
        <f t="shared" si="50"/>
        <v>128</v>
      </c>
      <c r="BX31" s="47" t="s">
        <v>137</v>
      </c>
      <c r="BY31" s="16">
        <f t="shared" si="81"/>
        <v>195.66674067824201</v>
      </c>
      <c r="BZ31" s="16">
        <f t="shared" si="82"/>
        <v>195.66043252722616</v>
      </c>
      <c r="CA31" s="16">
        <f t="shared" si="83"/>
        <v>176.99105596955152</v>
      </c>
      <c r="CB31" s="16">
        <f t="shared" si="84"/>
        <v>134.11866065202094</v>
      </c>
      <c r="CC31" s="16">
        <f t="shared" si="85"/>
        <v>111.93274007846223</v>
      </c>
      <c r="CD31" s="16">
        <f t="shared" si="86"/>
        <v>75.404183420842529</v>
      </c>
      <c r="CE31" s="1"/>
    </row>
    <row r="32" spans="1:83" x14ac:dyDescent="0.25">
      <c r="A32" s="1" t="s">
        <v>138</v>
      </c>
      <c r="B32" s="1">
        <v>128</v>
      </c>
      <c r="C32" s="24">
        <f t="shared" si="54"/>
        <v>144.65324145357667</v>
      </c>
      <c r="D32" s="24">
        <f t="shared" si="55"/>
        <v>108.98706805504749</v>
      </c>
      <c r="E32" s="24">
        <f t="shared" si="56"/>
        <v>108.59145369385539</v>
      </c>
      <c r="G32" s="31" t="s">
        <v>138</v>
      </c>
      <c r="H32" s="24">
        <f t="shared" si="87"/>
        <v>312.02028594886252</v>
      </c>
      <c r="I32" s="32">
        <f t="shared" si="57"/>
        <v>228.56147740877799</v>
      </c>
      <c r="J32" s="32">
        <f t="shared" si="58"/>
        <v>213.73524192239634</v>
      </c>
      <c r="K32" s="13"/>
      <c r="L32" s="31" t="s">
        <v>138</v>
      </c>
      <c r="M32" s="16">
        <f>(K15-205.04)/-0.4563</f>
        <v>110.76046460661844</v>
      </c>
      <c r="N32" s="64">
        <f t="shared" si="89"/>
        <v>97.40455</v>
      </c>
      <c r="O32" s="63">
        <f t="shared" si="90"/>
        <v>154499999999995.41</v>
      </c>
      <c r="P32" s="16"/>
      <c r="Q32" s="31" t="s">
        <v>138</v>
      </c>
      <c r="R32" s="45">
        <f t="shared" si="98"/>
        <v>1097.8359096313911</v>
      </c>
      <c r="S32" s="16">
        <f t="shared" si="91"/>
        <v>106.346405</v>
      </c>
      <c r="T32" s="16">
        <f t="shared" si="59"/>
        <v>116.92018501445042</v>
      </c>
      <c r="U32" s="16"/>
      <c r="V32" s="31" t="s">
        <v>138</v>
      </c>
      <c r="W32" s="16">
        <f t="shared" si="92"/>
        <v>758.16096934681434</v>
      </c>
      <c r="X32" s="13">
        <f t="shared" si="60"/>
        <v>471.12333333333339</v>
      </c>
      <c r="Y32" s="16">
        <f t="shared" si="99"/>
        <v>277.85831750426343</v>
      </c>
      <c r="Z32" s="13"/>
      <c r="AB32" s="31" t="s">
        <v>138</v>
      </c>
      <c r="AC32" s="16">
        <f>(H15+0.1561)/0.0915</f>
        <v>376.02295081967219</v>
      </c>
      <c r="AD32" s="16">
        <f t="shared" si="61"/>
        <v>244.347825</v>
      </c>
      <c r="AE32" s="16">
        <f t="shared" si="62"/>
        <v>127.90766310578329</v>
      </c>
      <c r="AF32" s="16"/>
      <c r="AH32" s="31" t="s">
        <v>138</v>
      </c>
      <c r="AI32" s="16">
        <f t="shared" si="101"/>
        <v>90.702928870292894</v>
      </c>
      <c r="AJ32" s="16">
        <f t="shared" si="63"/>
        <v>72.174299999999988</v>
      </c>
      <c r="AK32" s="16">
        <f t="shared" si="64"/>
        <v>64.817558833022787</v>
      </c>
      <c r="AM32" s="1"/>
      <c r="AN32" s="31" t="s">
        <v>138</v>
      </c>
      <c r="AO32" s="16">
        <f t="shared" si="93"/>
        <v>29.178743961352659</v>
      </c>
      <c r="AP32" s="16">
        <f t="shared" si="94"/>
        <v>45.569533333333332</v>
      </c>
      <c r="AQ32" s="16">
        <f>38.631*EXP(1.2111*F15)</f>
        <v>40.222440567949768</v>
      </c>
      <c r="AR32" s="16"/>
      <c r="AT32" s="1" t="s">
        <v>138</v>
      </c>
      <c r="AU32" s="1">
        <f t="shared" si="43"/>
        <v>128</v>
      </c>
      <c r="AV32" s="47" t="s">
        <v>138</v>
      </c>
      <c r="AW32" s="16">
        <f>0.6229*Y15 + 31.496</f>
        <v>108.98701945988103</v>
      </c>
      <c r="AX32" s="16">
        <f t="shared" si="65"/>
        <v>108.9870194598809</v>
      </c>
      <c r="AY32" s="16">
        <f t="shared" si="66"/>
        <v>108.9870194598811</v>
      </c>
      <c r="AZ32" s="16">
        <f t="shared" si="67"/>
        <v>108.9869093691977</v>
      </c>
      <c r="BA32" s="16">
        <f t="shared" si="68"/>
        <v>108.09205252770886</v>
      </c>
      <c r="BB32" s="13">
        <f xml:space="preserve"> 341.18*T15 + 59.342</f>
        <v>86.294423220422289</v>
      </c>
      <c r="BD32" s="1">
        <f t="shared" si="46"/>
        <v>128</v>
      </c>
      <c r="BE32" s="47" t="s">
        <v>138</v>
      </c>
      <c r="BF32" s="16">
        <f>7.9979*Y15^0.5407</f>
        <v>108.55559107528565</v>
      </c>
      <c r="BG32" s="16">
        <f t="shared" si="70"/>
        <v>108.56030797465634</v>
      </c>
      <c r="BH32" s="16">
        <f t="shared" si="71"/>
        <v>108.57001158168504</v>
      </c>
      <c r="BI32" s="16">
        <f t="shared" si="72"/>
        <v>108.53098774822755</v>
      </c>
      <c r="BJ32" s="16">
        <f t="shared" si="73"/>
        <v>109.19488940307023</v>
      </c>
      <c r="BK32" s="16">
        <f t="shared" si="74"/>
        <v>86.184919258950003</v>
      </c>
      <c r="BN32" s="1">
        <f t="shared" si="48"/>
        <v>128</v>
      </c>
      <c r="BO32" s="47" t="s">
        <v>138</v>
      </c>
      <c r="BP32" s="16">
        <f t="shared" si="75"/>
        <v>423.70520057304276</v>
      </c>
      <c r="BQ32" s="16">
        <f t="shared" si="76"/>
        <v>423.69898039167595</v>
      </c>
      <c r="BR32" s="16">
        <f t="shared" si="77"/>
        <v>371.44452637236492</v>
      </c>
      <c r="BS32" s="16">
        <f t="shared" si="78"/>
        <v>271.46991633186343</v>
      </c>
      <c r="BT32" s="16">
        <f t="shared" si="79"/>
        <v>216.53936413124617</v>
      </c>
      <c r="BU32" s="16">
        <f t="shared" si="80"/>
        <v>89.175853842135012</v>
      </c>
      <c r="BW32" s="1">
        <f t="shared" si="50"/>
        <v>128</v>
      </c>
      <c r="BX32" s="47" t="s">
        <v>138</v>
      </c>
      <c r="BY32" s="16">
        <f t="shared" si="81"/>
        <v>362.32589731034267</v>
      </c>
      <c r="BZ32" s="16">
        <f t="shared" si="82"/>
        <v>362.31421619136893</v>
      </c>
      <c r="CA32" s="16">
        <f t="shared" si="83"/>
        <v>322.88900229882751</v>
      </c>
      <c r="CB32" s="16">
        <f t="shared" si="84"/>
        <v>240.74020676375775</v>
      </c>
      <c r="CC32" s="16">
        <f t="shared" si="85"/>
        <v>209.38309970162845</v>
      </c>
      <c r="CD32" s="16">
        <f t="shared" si="86"/>
        <v>89.838340603076603</v>
      </c>
      <c r="CE32" s="1"/>
    </row>
    <row r="36" spans="2:75" x14ac:dyDescent="0.25">
      <c r="BB36" t="s">
        <v>130</v>
      </c>
    </row>
    <row r="37" spans="2:75" x14ac:dyDescent="0.25">
      <c r="BB37" s="25" t="s">
        <v>83</v>
      </c>
      <c r="BC37" s="1" t="s">
        <v>44</v>
      </c>
      <c r="BD37" s="1" t="s">
        <v>45</v>
      </c>
      <c r="BU37" s="25" t="s">
        <v>83</v>
      </c>
      <c r="BV37" s="1" t="s">
        <v>44</v>
      </c>
      <c r="BW37" s="1" t="s">
        <v>45</v>
      </c>
    </row>
    <row r="38" spans="2:75" x14ac:dyDescent="0.25">
      <c r="BB38" s="26" t="s">
        <v>119</v>
      </c>
      <c r="BC38" s="19" cm="1">
        <f t="array" ref="BC38">SQRT(SUMSQ($AU23:$AU32-AW23:AW32)/COUNTA($AU23:$AU32-AW23:AW32))</f>
        <v>50.975835530394846</v>
      </c>
      <c r="BD38" s="19" cm="1">
        <f t="array" ref="BD38">SQRT(SUMSQ($BD23:$BD32-BF23:BF32)/COUNTA($BD23:$BD32-BF23:BF32))</f>
        <v>53.86977071247648</v>
      </c>
      <c r="BU38" s="26" t="s">
        <v>119</v>
      </c>
      <c r="BV38" s="19" cm="1">
        <f t="array" ref="BV38">SQRT(SUMSQ($BN23:$BN32-BP23:BP32)/COUNTA($BN23:$BN32-BP23:BP32))</f>
        <v>156.64760470440177</v>
      </c>
      <c r="BW38" s="19" cm="1">
        <f t="array" ref="BW38">SQRT(SUMSQ($BW23:$BW26-BY23:BY26)/COUNTA($BW23:$BW26-BY23:BY26))</f>
        <v>156.05766872031012</v>
      </c>
    </row>
    <row r="39" spans="2:75" x14ac:dyDescent="0.25">
      <c r="BB39" s="27" t="s">
        <v>120</v>
      </c>
      <c r="BC39" s="19" cm="1">
        <f t="array" ref="BC39">SQRT(SUMSQ($AU23:$AU32-AX23:AX32)/COUNTA($AU23:$AU32-AX23:AX32))</f>
        <v>50.975835530394853</v>
      </c>
      <c r="BD39" s="19" cm="1">
        <f t="array" ref="BD39">SQRT(SUMSQ($BD23:$BD32-BG23:BG32)/COUNTA($BD23:$BD32-BG23:BG32))</f>
        <v>53.868435545769721</v>
      </c>
      <c r="BU39" s="27" t="s">
        <v>120</v>
      </c>
      <c r="BV39" s="19" cm="1">
        <f t="array" ref="BV39">SQRT(SUMSQ($BN23:$BN32-BQ23:BQ32)/COUNTA($BN23:$BN32-BQ23:BQ32))</f>
        <v>156.64454287902262</v>
      </c>
      <c r="BW39" s="19" cm="1">
        <f t="array" ref="BW39">SQRT(SUMSQ($BD23:$BD26-BZ23:BZ26)/COUNTA($BD23:$BD26-BZ23:BZ26))</f>
        <v>156.05061905966915</v>
      </c>
    </row>
    <row r="40" spans="2:75" x14ac:dyDescent="0.25">
      <c r="BB40" s="28" t="s">
        <v>121</v>
      </c>
      <c r="BC40" s="19" cm="1">
        <f t="array" ref="BC40">SQRT(SUMSQ($AU23:$AU32-AY23:AY32)/COUNTA($AU23:$AU32-AY23:AY32))</f>
        <v>50.975835530394832</v>
      </c>
      <c r="BD40" s="19" cm="1">
        <f t="array" ref="BD40">SQRT(SUMSQ($BD23:$BD32-BH23:BH32)/COUNTA($BD23:$BD32-BH23:BH32))</f>
        <v>53.865689245618185</v>
      </c>
      <c r="BU40" s="28" t="s">
        <v>121</v>
      </c>
      <c r="BV40" s="19" cm="1">
        <f t="array" ref="BV40">SQRT(SUMSQ($BN23:$BN32-BR23:BR32)/COUNTA($BN23:$BN32-BR23:BR32))</f>
        <v>131.30148205156937</v>
      </c>
      <c r="BW40" s="19" cm="1">
        <f t="array" ref="BW40">SQRT(SUMSQ($BD23:$BD26-CA23:CA26)/COUNTA($BD23:$BD26-CA23:CA26))</f>
        <v>133.07996803888301</v>
      </c>
    </row>
    <row r="41" spans="2:75" x14ac:dyDescent="0.25">
      <c r="BB41" s="29" t="s">
        <v>122</v>
      </c>
      <c r="BC41" s="19" cm="1">
        <f t="array" ref="BC41">SQRT(SUMSQ($AU23:$AU32-AZ23:AZ32)/COUNTA($AU23:$AU32-AZ23:AZ32))</f>
        <v>51.950474339487791</v>
      </c>
      <c r="BD41" s="19" cm="1">
        <f t="array" ref="BD41">SQRT(SUMSQ($BD23:$BD32-BI23:BI32)/COUNTA($BD23:$BD32-BI23:BI32))</f>
        <v>55.296703771537345</v>
      </c>
      <c r="BU41" s="29" t="s">
        <v>122</v>
      </c>
      <c r="BV41" s="19" cm="1">
        <f t="array" ref="BV41">SQRT(SUMSQ($BN23:$BN32-BS23:BS32)/COUNTA($BN23:$BN32-BS23:BS32))</f>
        <v>87.348700915249168</v>
      </c>
      <c r="BW41" s="19" cm="1">
        <f t="array" ref="BW41">SQRT(SUMSQ($BD23:$BD26-CB23:CB26)/COUNTA($BD23:$BD26-CB23:CB26))</f>
        <v>84.958744713211914</v>
      </c>
    </row>
    <row r="42" spans="2:75" x14ac:dyDescent="0.25">
      <c r="BB42" s="25" t="s">
        <v>123</v>
      </c>
      <c r="BC42" s="19" cm="1">
        <f t="array" ref="BC42">SQRT(SUMSQ($AU23:$AU32-BA23:BA32)/COUNTA($AU23:$AU32-BA23:BA32))</f>
        <v>53.960098139520326</v>
      </c>
      <c r="BD42" s="19" cm="1">
        <f t="array" ref="BD42">SQRT(SUMSQ($BD23:$BD32-BJ23:BJ32)/COUNTA($BD23:$BD32-BJ23:BJ32))</f>
        <v>68.772615822289183</v>
      </c>
      <c r="BU42" s="25" t="s">
        <v>123</v>
      </c>
      <c r="BV42" s="19" cm="1">
        <f t="array" ref="BV42">SQRT(SUMSQ($BN23:$BN32-BT23:BT32)/COUNTA($BN23:$BN32-BT23:BT32))</f>
        <v>74.400408223600266</v>
      </c>
      <c r="BW42" s="19" cm="1">
        <f t="array" ref="BW42">SQRT(SUMSQ($BD23:$BD26-CC23:CC26)/COUNTA($BD23:$BD26-CC23:CC26))</f>
        <v>70.201493122626488</v>
      </c>
    </row>
    <row r="43" spans="2:75" x14ac:dyDescent="0.25">
      <c r="BB43" s="25" t="s">
        <v>124</v>
      </c>
      <c r="BC43" s="40" cm="1">
        <f t="array" ref="BC43">SQRT(SUMSQ($AU23:$AU32-BB23:BB32)/COUNTA($AU23:$AU32-BB23:BB32))</f>
        <v>43.615975951546872</v>
      </c>
      <c r="BD43" s="19" cm="1">
        <f t="array" ref="BD43">SQRT(SUMSQ($BD23:$BD32-BK23:BK32)/COUNTA($BD23:$BD32-BK23:BK32))</f>
        <v>80.236770780059842</v>
      </c>
      <c r="BU43" s="25" t="s">
        <v>124</v>
      </c>
      <c r="BV43" s="40" cm="1">
        <f t="array" ref="BV43">SQRT(SUMSQ($BN23:$BN32-BU23:BU32)/COUNTA($BN23:$BN32-BU23:BU32))</f>
        <v>39.029567946091205</v>
      </c>
      <c r="BW43" s="19" cm="1">
        <f t="array" ref="BW43">SQRT(SUMSQ($BD23:$BD26-CD23:CD26)/COUNTA($BD23:$BD26-CD23:CD26))</f>
        <v>39.386628979429346</v>
      </c>
    </row>
    <row r="44" spans="2:75" x14ac:dyDescent="0.25">
      <c r="B44">
        <v>0</v>
      </c>
      <c r="C44">
        <v>0</v>
      </c>
    </row>
    <row r="45" spans="2:75" x14ac:dyDescent="0.25">
      <c r="B45">
        <v>150</v>
      </c>
      <c r="C45">
        <v>150</v>
      </c>
    </row>
    <row r="50" spans="2:81" x14ac:dyDescent="0.25">
      <c r="B50" s="1" t="s">
        <v>83</v>
      </c>
      <c r="C50" s="1" t="s">
        <v>84</v>
      </c>
      <c r="H50" s="25" t="s">
        <v>83</v>
      </c>
      <c r="I50" s="1" t="s">
        <v>96</v>
      </c>
      <c r="M50" s="25" t="s">
        <v>83</v>
      </c>
      <c r="N50" s="1" t="s">
        <v>119</v>
      </c>
      <c r="Q50" s="25" t="s">
        <v>83</v>
      </c>
      <c r="R50" s="1" t="s">
        <v>120</v>
      </c>
      <c r="W50" s="25" t="s">
        <v>83</v>
      </c>
      <c r="X50" s="1" t="s">
        <v>121</v>
      </c>
      <c r="AB50" s="25" t="s">
        <v>83</v>
      </c>
      <c r="AC50" s="1" t="s">
        <v>122</v>
      </c>
      <c r="AI50" s="25" t="s">
        <v>83</v>
      </c>
      <c r="AJ50" s="1" t="s">
        <v>123</v>
      </c>
      <c r="AO50" s="25" t="s">
        <v>83</v>
      </c>
      <c r="AP50" s="1" t="s">
        <v>124</v>
      </c>
    </row>
    <row r="51" spans="2:81" x14ac:dyDescent="0.25">
      <c r="B51" s="18">
        <v>1</v>
      </c>
      <c r="C51" s="19" cm="1">
        <f t="array" ref="C51">SQRT(SUMSQ(B23:B32-C23:C32)/COUNTA(B23:B32-C23:C32))</f>
        <v>59.771359364921274</v>
      </c>
      <c r="H51" s="26">
        <v>1</v>
      </c>
      <c r="I51" s="19" cm="1">
        <f t="array" ref="I51">SQRT(SUMSQ($B23:$B32-H23:H32)/COUNTA($B23:$B32-H23:H32))</f>
        <v>82.741708388046291</v>
      </c>
      <c r="M51" s="26">
        <v>1</v>
      </c>
      <c r="N51" s="19" cm="1">
        <f t="array" ref="N51">SQRT(SUMSQ($B23:$B32-M23:M32)/COUNTA($B23:$B32-M23:M32))</f>
        <v>116.93261562323761</v>
      </c>
      <c r="Q51" s="26">
        <v>1</v>
      </c>
      <c r="R51" s="19" cm="1">
        <f t="array" ref="R51">SQRT(SUMSQ($B23:$B32-R23:R32)/COUNTA($B23:$B32-R23:R32))</f>
        <v>959.78668019866313</v>
      </c>
      <c r="W51" s="26">
        <v>1</v>
      </c>
      <c r="X51" s="19" cm="1">
        <f t="array" ref="X51">SQRT(SUMSQ($B23:$B32-W23:W32)/COUNTA($B23:$B32-W23:W32))</f>
        <v>461.55729726895055</v>
      </c>
      <c r="AB51" s="26">
        <v>1</v>
      </c>
      <c r="AC51" s="19" cm="1">
        <f t="array" ref="AC51">SQRT(SUMSQ($B23:$B32-AC23:AC32)/COUNTA($B23:$B32-AC23:AC32))</f>
        <v>108.37543690012475</v>
      </c>
      <c r="AI51" s="26">
        <v>1</v>
      </c>
      <c r="AJ51" s="19" cm="1">
        <f t="array" ref="AJ51">SQRT(SUMSQ($B23:$B32-AI23:AI32)/COUNTA($B23:$B32-AI23:AI32))</f>
        <v>88.079662396381281</v>
      </c>
      <c r="AO51" s="26">
        <v>1</v>
      </c>
      <c r="AP51" s="19" cm="1">
        <f t="array" ref="AP51">SQRT(SUMSQ($B23:$B26-AO23:AO26)/COUNTA($B23:$B26-AO23:AO26))</f>
        <v>44.368440193823908</v>
      </c>
      <c r="BQ51" s="1"/>
      <c r="BR51" s="1"/>
      <c r="BS51" s="1"/>
      <c r="BT51" s="1"/>
      <c r="BU51" s="1"/>
      <c r="BV51" s="1"/>
      <c r="BW51" s="1"/>
      <c r="CC51" s="1"/>
    </row>
    <row r="52" spans="2:81" x14ac:dyDescent="0.25">
      <c r="B52" s="20">
        <v>2</v>
      </c>
      <c r="C52" s="62" cm="1">
        <f t="array" ref="C52">SQRT(SUMSQ(B23:B32-D23:D32)/COUNTA(B23:B32-D23:D32))</f>
        <v>50.975827520846039</v>
      </c>
      <c r="D52" t="s">
        <v>85</v>
      </c>
      <c r="H52" s="27">
        <v>2</v>
      </c>
      <c r="I52" s="62" cm="1">
        <f t="array" ref="I52">SQRT(SUMSQ($B23:$B32-I23:I32)/COUNTA($B23:$B32-I23:I32))</f>
        <v>57.082656341455142</v>
      </c>
      <c r="J52" t="s">
        <v>85</v>
      </c>
      <c r="M52" s="27">
        <v>2</v>
      </c>
      <c r="N52" s="21" cm="1">
        <f t="array" ref="N52">SQRT(SUMSQ($B23:$B32-N23:N32)/COUNTA($B23:$B32-N23:N32))</f>
        <v>7581.9978725007923</v>
      </c>
      <c r="O52" t="s">
        <v>85</v>
      </c>
      <c r="Q52" s="27">
        <v>2</v>
      </c>
      <c r="R52" s="62" cm="1">
        <f t="array" ref="R52">SQRT(SUMSQ($B23:$B32-S23:S32)/COUNTA($B23:$B32-S23:S32))</f>
        <v>30.408553062363779</v>
      </c>
      <c r="S52" t="s">
        <v>85</v>
      </c>
      <c r="W52" s="27">
        <v>2</v>
      </c>
      <c r="X52" s="21" cm="1">
        <f t="array" ref="X52">SQRT(SUMSQ($B23:$B32-X23:X32)/COUNTA($B23:$B32-X23:X32))</f>
        <v>260.23823703863144</v>
      </c>
      <c r="Y52" t="s">
        <v>85</v>
      </c>
      <c r="AB52" s="27">
        <v>2</v>
      </c>
      <c r="AC52" s="21" cm="1">
        <f t="array" ref="AC52">SQRT(SUMSQ($B23:$B32-AD23:AD32)/COUNTA($B23:$B32-AD23:AD32))</f>
        <v>69.910590305413976</v>
      </c>
      <c r="AD52" t="s">
        <v>85</v>
      </c>
      <c r="AI52" s="27">
        <v>2</v>
      </c>
      <c r="AJ52" s="21" cm="1">
        <f t="array" ref="AJ52">SQRT(SUMSQ($B23:$B32-AJ23:AJ32)/COUNTA($B23:$B32-AJ23:AJ32))</f>
        <v>61.528280214030524</v>
      </c>
      <c r="AK52" t="s">
        <v>85</v>
      </c>
      <c r="AO52" s="27">
        <v>2</v>
      </c>
      <c r="AP52" s="21" cm="1">
        <f t="array" ref="AP52">SQRT(SUMSQ($B23:$B26-AP23:AP26)/COUNTA($B23:$B26-AP23:AP26))</f>
        <v>30.874720248046778</v>
      </c>
      <c r="AQ52" t="s">
        <v>85</v>
      </c>
      <c r="BQ52" s="1"/>
      <c r="BR52" s="53"/>
      <c r="BS52" s="53"/>
      <c r="BT52" s="53"/>
      <c r="BU52" s="53"/>
      <c r="BV52" s="53"/>
      <c r="BW52" s="53"/>
      <c r="CC52" s="16"/>
    </row>
    <row r="53" spans="2:81" x14ac:dyDescent="0.25">
      <c r="B53" s="22">
        <v>3</v>
      </c>
      <c r="C53" s="17" cm="1">
        <f t="array" ref="C53">SQRT(SUMSQ(B23:B32-E23:E32)/COUNTA(B23:B32-E23:E32))</f>
        <v>53.85962266604443</v>
      </c>
      <c r="D53" t="s">
        <v>86</v>
      </c>
      <c r="H53" s="28">
        <v>3</v>
      </c>
      <c r="I53" s="17" cm="1">
        <f t="array" ref="I53">SQRT(SUMSQ($B23:$B32-J23:J32)/COUNTA($B23:$B32-J23:J32))</f>
        <v>57.127047389855939</v>
      </c>
      <c r="J53" t="s">
        <v>86</v>
      </c>
      <c r="M53" s="28">
        <v>3</v>
      </c>
      <c r="N53" s="34" cm="1">
        <f t="array" ref="N53">SQRT(SUMSQ($B23:$B32-O23:O32)/COUNTA($B23:$B32-O23:O32))</f>
        <v>4783627911326143</v>
      </c>
      <c r="O53" t="s">
        <v>86</v>
      </c>
      <c r="Q53" s="28">
        <v>3</v>
      </c>
      <c r="R53" s="17" cm="1">
        <f t="array" ref="R53">SQRT(SUMSQ($B23:$B32-T23:T32)/COUNTA($B23:$B32-T23:T32))</f>
        <v>38.717226786254329</v>
      </c>
      <c r="S53" t="s">
        <v>86</v>
      </c>
      <c r="W53" s="28">
        <v>3</v>
      </c>
      <c r="X53" s="65" cm="1">
        <f t="array" ref="X53">SQRT(SUMSQ($B23:$B32-Y23:Y32)/COUNTA($B23:$B32-Y23:Y32))</f>
        <v>121.74545904743421</v>
      </c>
      <c r="Y53" t="s">
        <v>86</v>
      </c>
      <c r="AB53" s="28">
        <v>3</v>
      </c>
      <c r="AC53" s="17" cm="1">
        <f t="array" ref="AC53">SQRT(SUMSQ($B23:$B32-AE23:AE32)/COUNTA($B23:$B32-AE23:AE32))</f>
        <v>65.689050473140142</v>
      </c>
      <c r="AD53" t="s">
        <v>86</v>
      </c>
      <c r="AI53" s="28">
        <v>3</v>
      </c>
      <c r="AJ53" s="17" cm="1">
        <f t="array" ref="AJ53">SQRT(SUMSQ($B23:$B32-AK23:AK32)/COUNTA($B23:$B32-AK23:AK32))</f>
        <v>66.633604683020266</v>
      </c>
      <c r="AK53" t="s">
        <v>86</v>
      </c>
      <c r="AO53" s="28">
        <v>3</v>
      </c>
      <c r="AP53" s="17" cm="1">
        <f t="array" ref="AP53">SQRT(SUMSQ($B23:$B26-AQ23:AQ26)/COUNTA($B23:$B26-AQ23:AQ26))</f>
        <v>35.883958869425982</v>
      </c>
      <c r="AQ53" t="s">
        <v>86</v>
      </c>
      <c r="BQ53" s="1"/>
      <c r="BR53" s="53"/>
      <c r="BS53" s="53"/>
      <c r="BT53" s="53"/>
      <c r="BU53" s="53"/>
      <c r="BV53" s="53"/>
      <c r="BW53" s="53"/>
      <c r="CC53" s="16"/>
    </row>
    <row r="54" spans="2:81" x14ac:dyDescent="0.25">
      <c r="D54" s="1"/>
      <c r="E54" s="16"/>
      <c r="H54" s="25"/>
      <c r="I54" s="16"/>
      <c r="M54" s="59"/>
      <c r="N54" s="60"/>
      <c r="O54" s="61"/>
      <c r="V54" s="16"/>
      <c r="W54" s="25"/>
      <c r="X54" s="16"/>
      <c r="AG54" s="25"/>
      <c r="AH54" s="16"/>
      <c r="AI54" s="25"/>
      <c r="AJ54" s="16"/>
      <c r="AO54" s="25"/>
      <c r="AP54" s="16"/>
      <c r="BQ54" s="1"/>
      <c r="BR54" s="53"/>
      <c r="BS54" s="53"/>
      <c r="BT54" s="53"/>
      <c r="BU54" s="53"/>
      <c r="BV54" s="53"/>
      <c r="BW54" s="53"/>
      <c r="CC54" s="16"/>
    </row>
    <row r="55" spans="2:81" x14ac:dyDescent="0.25">
      <c r="BQ55" s="1"/>
      <c r="BR55" s="53"/>
      <c r="BS55" s="53"/>
      <c r="BT55" s="53"/>
      <c r="BU55" s="53"/>
      <c r="BV55" s="53"/>
      <c r="BW55" s="53"/>
      <c r="CC55" s="16"/>
    </row>
    <row r="56" spans="2:81" x14ac:dyDescent="0.25">
      <c r="BQ56" s="1"/>
      <c r="BR56" s="53"/>
      <c r="BS56" s="53"/>
      <c r="BT56" s="53"/>
      <c r="BU56" s="53"/>
      <c r="BV56" s="53"/>
      <c r="BW56" s="53"/>
      <c r="CC56" s="16"/>
    </row>
    <row r="57" spans="2:81" x14ac:dyDescent="0.25">
      <c r="CC57" s="16"/>
    </row>
    <row r="78" spans="2:37" s="30" customFormat="1" x14ac:dyDescent="0.25"/>
    <row r="80" spans="2:37" x14ac:dyDescent="0.25">
      <c r="B80" s="54" t="s">
        <v>148</v>
      </c>
      <c r="C80" s="54"/>
      <c r="D80" s="54"/>
      <c r="E80" s="54"/>
      <c r="F80" s="54"/>
      <c r="G80" s="54"/>
      <c r="L80" s="54" t="s">
        <v>148</v>
      </c>
      <c r="M80" s="54"/>
      <c r="N80" s="54"/>
      <c r="O80" s="54"/>
      <c r="Q80" s="54" t="s">
        <v>148</v>
      </c>
      <c r="R80" s="54"/>
      <c r="S80" s="54"/>
      <c r="T80" s="54"/>
      <c r="V80" s="54" t="s">
        <v>148</v>
      </c>
      <c r="W80" s="54"/>
      <c r="X80" s="54"/>
      <c r="Y80" s="54"/>
      <c r="AB80" s="54" t="s">
        <v>148</v>
      </c>
      <c r="AC80" s="54"/>
      <c r="AD80" s="54"/>
      <c r="AE80" s="54"/>
      <c r="AH80" s="54" t="s">
        <v>148</v>
      </c>
      <c r="AI80" s="54"/>
      <c r="AJ80" s="54"/>
      <c r="AK80" s="54"/>
    </row>
    <row r="81" spans="1:37" ht="45" x14ac:dyDescent="0.25">
      <c r="A81" s="1" t="s">
        <v>153</v>
      </c>
      <c r="B81" s="1" t="s">
        <v>60</v>
      </c>
      <c r="C81" s="1" t="s">
        <v>59</v>
      </c>
      <c r="D81" s="1" t="s">
        <v>58</v>
      </c>
      <c r="E81" s="1" t="s">
        <v>57</v>
      </c>
      <c r="F81" s="1" t="s">
        <v>56</v>
      </c>
      <c r="G81" s="1" t="s">
        <v>55</v>
      </c>
      <c r="K81" s="15" t="s">
        <v>78</v>
      </c>
      <c r="L81" s="35" t="s">
        <v>112</v>
      </c>
      <c r="M81" s="23" t="s">
        <v>150</v>
      </c>
      <c r="N81" s="23" t="s">
        <v>151</v>
      </c>
      <c r="O81" s="23" t="s">
        <v>152</v>
      </c>
      <c r="Q81" s="35" t="s">
        <v>113</v>
      </c>
      <c r="R81" s="23" t="s">
        <v>150</v>
      </c>
      <c r="S81" s="23" t="s">
        <v>151</v>
      </c>
      <c r="T81" s="23" t="s">
        <v>152</v>
      </c>
      <c r="V81" s="35" t="s">
        <v>115</v>
      </c>
      <c r="W81" s="23" t="s">
        <v>150</v>
      </c>
      <c r="X81" s="23" t="s">
        <v>151</v>
      </c>
      <c r="Y81" s="23" t="s">
        <v>152</v>
      </c>
      <c r="AB81" s="35" t="s">
        <v>116</v>
      </c>
      <c r="AC81" s="23" t="s">
        <v>150</v>
      </c>
      <c r="AD81" s="23" t="s">
        <v>151</v>
      </c>
      <c r="AE81" s="23" t="s">
        <v>152</v>
      </c>
      <c r="AH81" s="35" t="s">
        <v>117</v>
      </c>
      <c r="AI81" s="23" t="s">
        <v>150</v>
      </c>
      <c r="AJ81" s="23" t="s">
        <v>151</v>
      </c>
      <c r="AK81" s="23" t="s">
        <v>152</v>
      </c>
    </row>
    <row r="82" spans="1:37" x14ac:dyDescent="0.25">
      <c r="A82" s="1" t="s">
        <v>69</v>
      </c>
      <c r="B82" s="16">
        <f>F3/$C3</f>
        <v>1.3489379337744893</v>
      </c>
      <c r="C82" s="16">
        <f>G3/$C3</f>
        <v>6.1665734115405222</v>
      </c>
      <c r="D82" s="16">
        <f>H3/$C3</f>
        <v>28.520402028374914</v>
      </c>
      <c r="E82" s="16">
        <f>I3/$C3</f>
        <v>91.535074077554626</v>
      </c>
      <c r="F82" s="16">
        <f>J3/$C3</f>
        <v>362.86430418533763</v>
      </c>
      <c r="G82" s="16">
        <f>K3/$C3</f>
        <v>1130.4099885030221</v>
      </c>
      <c r="K82" s="1">
        <v>90</v>
      </c>
      <c r="L82" s="31" t="s">
        <v>69</v>
      </c>
      <c r="M82" s="16">
        <f>(G82-21263)/-199.81</f>
        <v>100.75867079473988</v>
      </c>
      <c r="N82" s="16">
        <f>-0.0025*G82+83.506</f>
        <v>80.679975028742447</v>
      </c>
      <c r="O82" s="70">
        <f>3958.4*G82^(-0.501)</f>
        <v>116.90913542084283</v>
      </c>
      <c r="Q82" s="31" t="s">
        <v>69</v>
      </c>
      <c r="R82" s="16">
        <f>(F82-6090.7)/-53.02</f>
        <v>108.03160497575749</v>
      </c>
      <c r="S82" s="16">
        <f>-0.0109*F82+92.242</f>
        <v>88.28677908437983</v>
      </c>
      <c r="T82" s="71">
        <f>3564.9*F82^(-0.554)</f>
        <v>136.12849358890662</v>
      </c>
      <c r="V82" s="31" t="s">
        <v>69</v>
      </c>
      <c r="W82" s="16"/>
      <c r="X82" s="16"/>
      <c r="Y82" s="70"/>
      <c r="AB82" s="31" t="s">
        <v>69</v>
      </c>
      <c r="AC82" s="16"/>
      <c r="AD82" s="16"/>
      <c r="AE82" s="16"/>
      <c r="AH82" s="31" t="s">
        <v>69</v>
      </c>
      <c r="AI82" s="16"/>
      <c r="AJ82" s="16"/>
      <c r="AK82" s="16"/>
    </row>
    <row r="83" spans="1:37" x14ac:dyDescent="0.25">
      <c r="A83" s="1" t="s">
        <v>70</v>
      </c>
      <c r="B83" s="16">
        <f>F4/$C4</f>
        <v>0</v>
      </c>
      <c r="C83" s="16">
        <f>G4/$C4</f>
        <v>1.729745721655257</v>
      </c>
      <c r="D83" s="16">
        <f>H4/$C4</f>
        <v>9.8018924227131237</v>
      </c>
      <c r="E83" s="16">
        <f>I4/$C4</f>
        <v>127.42460149527062</v>
      </c>
      <c r="F83" s="16">
        <f>J4/$C4</f>
        <v>1709.5653549026126</v>
      </c>
      <c r="G83" s="16">
        <f>K4/$C4</f>
        <v>8589.3406718327878</v>
      </c>
      <c r="K83" s="1">
        <v>45</v>
      </c>
      <c r="L83" s="31" t="s">
        <v>70</v>
      </c>
      <c r="M83" s="16">
        <f>(G83-21263)/-199.81</f>
        <v>63.428553766914632</v>
      </c>
      <c r="N83" s="16">
        <f>-0.0025*G83+83.506</f>
        <v>62.032648320418033</v>
      </c>
      <c r="O83" s="70">
        <f>3958.4*G83^(-0.501)</f>
        <v>42.325861261741807</v>
      </c>
      <c r="Q83" s="31" t="s">
        <v>70</v>
      </c>
      <c r="R83" s="16">
        <f t="shared" ref="R83:R91" si="102">(F83-6090.7)/-53.02</f>
        <v>82.631736044839428</v>
      </c>
      <c r="S83" s="16">
        <f t="shared" ref="S83:S91" si="103">-0.0109*F83+92.242</f>
        <v>73.60773763156152</v>
      </c>
      <c r="T83" s="71">
        <f t="shared" ref="T83:T91" si="104">3564.9*F83^(-0.554)</f>
        <v>57.680453938178793</v>
      </c>
      <c r="V83" s="31" t="s">
        <v>70</v>
      </c>
      <c r="W83" s="16"/>
      <c r="X83" s="16"/>
      <c r="Y83" s="70"/>
      <c r="AB83" s="31" t="s">
        <v>70</v>
      </c>
      <c r="AC83" s="16"/>
      <c r="AD83" s="16"/>
      <c r="AE83" s="16"/>
      <c r="AH83" s="31" t="s">
        <v>70</v>
      </c>
      <c r="AI83" s="16"/>
      <c r="AJ83" s="16"/>
      <c r="AK83" s="16"/>
    </row>
    <row r="84" spans="1:37" x14ac:dyDescent="0.25">
      <c r="A84" s="1" t="s">
        <v>71</v>
      </c>
      <c r="B84" s="16">
        <f>F5/$C5</f>
        <v>0</v>
      </c>
      <c r="C84" s="16">
        <f>G5/$C5</f>
        <v>0</v>
      </c>
      <c r="D84" s="16">
        <f>H5/$C5</f>
        <v>5.2541377852609319</v>
      </c>
      <c r="E84" s="16">
        <f>I5/$C5</f>
        <v>404.56860946509175</v>
      </c>
      <c r="F84" s="16">
        <f>J5/$C5</f>
        <v>6708.8771845550527</v>
      </c>
      <c r="G84" s="16">
        <f>K5/$C5</f>
        <v>19530.943682261201</v>
      </c>
      <c r="K84" s="1">
        <v>64</v>
      </c>
      <c r="L84" s="31" t="s">
        <v>71</v>
      </c>
      <c r="M84" s="16">
        <f>(G84-21263)/-199.81</f>
        <v>8.6685166795395592</v>
      </c>
      <c r="N84" s="16">
        <f>-0.0025*G84+83.506</f>
        <v>34.678640794346997</v>
      </c>
      <c r="O84" s="70">
        <f>3958.4*G84^(-0.501)</f>
        <v>28.045768239683728</v>
      </c>
      <c r="Q84" s="31" t="s">
        <v>71</v>
      </c>
      <c r="R84" s="45">
        <f>(F84-6090.7)/-53.02</f>
        <v>-11.659320719635097</v>
      </c>
      <c r="S84" s="16">
        <f t="shared" si="103"/>
        <v>19.115238688349933</v>
      </c>
      <c r="T84" s="71">
        <f t="shared" si="104"/>
        <v>27.04477294163275</v>
      </c>
      <c r="V84" s="31" t="s">
        <v>71</v>
      </c>
      <c r="W84" s="16"/>
      <c r="X84" s="16"/>
      <c r="Y84" s="70"/>
      <c r="AB84" s="31" t="s">
        <v>71</v>
      </c>
      <c r="AC84" s="16"/>
      <c r="AD84" s="16"/>
      <c r="AE84" s="16"/>
      <c r="AH84" s="31" t="s">
        <v>71</v>
      </c>
      <c r="AI84" s="16"/>
      <c r="AJ84" s="16"/>
      <c r="AK84" s="16"/>
    </row>
    <row r="85" spans="1:37" x14ac:dyDescent="0.25">
      <c r="A85" s="1" t="s">
        <v>72</v>
      </c>
      <c r="B85" s="16">
        <f>F6/$C6</f>
        <v>0.27896705782112408</v>
      </c>
      <c r="C85" s="16">
        <f>G6/$C6</f>
        <v>0.48819235118696713</v>
      </c>
      <c r="D85" s="16">
        <f>H6/$C6</f>
        <v>2.9988958715770839</v>
      </c>
      <c r="E85" s="16">
        <f>I6/$C6</f>
        <v>22.66607344796633</v>
      </c>
      <c r="F85" s="16">
        <f>J6/$C6</f>
        <v>330.36673822466616</v>
      </c>
      <c r="G85" s="16">
        <f>K6/$C6</f>
        <v>1474.3409005846406</v>
      </c>
      <c r="K85" s="1">
        <v>90</v>
      </c>
      <c r="L85" s="31" t="s">
        <v>72</v>
      </c>
      <c r="M85" s="16">
        <f>(G85-21263)/-199.81</f>
        <v>99.037381009035386</v>
      </c>
      <c r="N85" s="16">
        <f>-0.0025*G85+83.506</f>
        <v>79.820147748538403</v>
      </c>
      <c r="O85" s="70">
        <f>3958.4*G85^(-0.501)</f>
        <v>102.3415813265044</v>
      </c>
      <c r="Q85" s="31" t="s">
        <v>72</v>
      </c>
      <c r="R85" s="16">
        <f t="shared" si="102"/>
        <v>108.64453530319376</v>
      </c>
      <c r="S85" s="16">
        <f t="shared" si="103"/>
        <v>88.641002553351143</v>
      </c>
      <c r="T85" s="71">
        <f t="shared" si="104"/>
        <v>143.39149511170848</v>
      </c>
      <c r="V85" s="31" t="s">
        <v>72</v>
      </c>
      <c r="W85" s="16"/>
      <c r="X85" s="16"/>
      <c r="Y85" s="70"/>
      <c r="AB85" s="31" t="s">
        <v>72</v>
      </c>
      <c r="AC85" s="16"/>
      <c r="AD85" s="16"/>
      <c r="AE85" s="16"/>
      <c r="AH85" s="31" t="s">
        <v>72</v>
      </c>
      <c r="AI85" s="16"/>
      <c r="AJ85" s="16"/>
      <c r="AK85" s="16"/>
    </row>
    <row r="86" spans="1:37" x14ac:dyDescent="0.25">
      <c r="A86" s="67" t="s">
        <v>133</v>
      </c>
      <c r="B86" s="12">
        <f>F10/$C10</f>
        <v>0</v>
      </c>
      <c r="C86" s="12">
        <f>G10/$C10</f>
        <v>5.0445791877811477</v>
      </c>
      <c r="D86" s="12">
        <f>H10/$C10</f>
        <v>91.261023488040777</v>
      </c>
      <c r="E86" s="12">
        <f>I10/$C10</f>
        <v>7602.1808359861916</v>
      </c>
      <c r="F86" s="12">
        <f>J10/$C10</f>
        <v>5435.3047757801969</v>
      </c>
      <c r="G86" s="12">
        <f>K10/$C10</f>
        <v>6933.5447945511978</v>
      </c>
      <c r="K86" s="1">
        <v>128</v>
      </c>
      <c r="L86" s="31" t="s">
        <v>133</v>
      </c>
      <c r="M86" s="16">
        <f>(G86-21263)/-199.81</f>
        <v>71.715405662623496</v>
      </c>
      <c r="N86" s="16">
        <f>-0.0025*G86+83.506</f>
        <v>66.172138013622003</v>
      </c>
      <c r="O86" s="70">
        <f>3958.4*G86^(-0.501)</f>
        <v>47.119541924859419</v>
      </c>
      <c r="Q86" s="31" t="s">
        <v>133</v>
      </c>
      <c r="R86" s="16">
        <f t="shared" si="102"/>
        <v>12.361282991697527</v>
      </c>
      <c r="S86" s="16">
        <f t="shared" si="103"/>
        <v>32.997177943995858</v>
      </c>
      <c r="T86" s="71">
        <f t="shared" si="104"/>
        <v>30.390182661816421</v>
      </c>
      <c r="V86" s="31" t="s">
        <v>133</v>
      </c>
      <c r="W86" s="16"/>
      <c r="X86" s="16"/>
      <c r="Y86" s="70"/>
      <c r="AB86" s="31" t="s">
        <v>133</v>
      </c>
      <c r="AC86" s="16"/>
      <c r="AD86" s="16"/>
      <c r="AE86" s="16"/>
      <c r="AH86" s="31" t="s">
        <v>133</v>
      </c>
      <c r="AI86" s="16"/>
      <c r="AJ86" s="16"/>
      <c r="AK86" s="16"/>
    </row>
    <row r="87" spans="1:37" x14ac:dyDescent="0.25">
      <c r="A87" s="67" t="s">
        <v>134</v>
      </c>
      <c r="B87" s="12">
        <f>F11/$C11</f>
        <v>0</v>
      </c>
      <c r="C87" s="12">
        <f>G11/$C11</f>
        <v>0</v>
      </c>
      <c r="D87" s="12">
        <f>H11/$C11</f>
        <v>4.8482391644606153</v>
      </c>
      <c r="E87" s="12">
        <f>I11/$C11</f>
        <v>543.0027864195888</v>
      </c>
      <c r="F87" s="12">
        <f>J11/$C11</f>
        <v>18979.240249141818</v>
      </c>
      <c r="G87" s="12">
        <f>K11/$C11</f>
        <v>24860.154355632545</v>
      </c>
      <c r="K87" s="1">
        <v>128</v>
      </c>
      <c r="L87" s="31" t="s">
        <v>134</v>
      </c>
      <c r="M87" s="45">
        <f>(G87-21263)/-199.81</f>
        <v>-18.002874508946224</v>
      </c>
      <c r="N87" s="16">
        <f>-0.0025*G87+83.506</f>
        <v>21.355614110918637</v>
      </c>
      <c r="O87" s="70">
        <f>3958.4*G87^(-0.501)</f>
        <v>24.852624821980118</v>
      </c>
      <c r="Q87" s="31" t="s">
        <v>134</v>
      </c>
      <c r="R87" s="45">
        <f t="shared" si="102"/>
        <v>-243.08827327691091</v>
      </c>
      <c r="S87" s="45">
        <f t="shared" si="103"/>
        <v>-114.63171871564582</v>
      </c>
      <c r="T87" s="71">
        <f t="shared" si="104"/>
        <v>15.201305381216619</v>
      </c>
      <c r="V87" s="31" t="s">
        <v>134</v>
      </c>
      <c r="W87" s="45"/>
      <c r="X87" s="16"/>
      <c r="Y87" s="70"/>
      <c r="AB87" s="31" t="s">
        <v>134</v>
      </c>
      <c r="AC87" s="16"/>
      <c r="AD87" s="16"/>
      <c r="AE87" s="16"/>
      <c r="AH87" s="31" t="s">
        <v>134</v>
      </c>
      <c r="AI87" s="16"/>
      <c r="AJ87" s="16"/>
      <c r="AK87" s="16"/>
    </row>
    <row r="88" spans="1:37" x14ac:dyDescent="0.25">
      <c r="A88" s="67" t="s">
        <v>135</v>
      </c>
      <c r="B88" s="12">
        <f>F12/$C12</f>
        <v>0</v>
      </c>
      <c r="C88" s="12">
        <f>G12/$C12</f>
        <v>0.98343964975043341</v>
      </c>
      <c r="D88" s="12">
        <f>H12/$C12</f>
        <v>57.531219510400348</v>
      </c>
      <c r="E88" s="12">
        <f>I12/$C12</f>
        <v>2426.6373357591942</v>
      </c>
      <c r="F88" s="12">
        <f>J12/$C12</f>
        <v>5059.3052781411043</v>
      </c>
      <c r="G88" s="12">
        <f>K12/$C12</f>
        <v>5206.3295057787946</v>
      </c>
      <c r="K88" s="1">
        <v>64</v>
      </c>
      <c r="L88" s="31" t="s">
        <v>135</v>
      </c>
      <c r="M88" s="16">
        <f>(G88-21263)/-199.81</f>
        <v>80.359694180577577</v>
      </c>
      <c r="N88" s="16">
        <f>-0.0025*G88+83.506</f>
        <v>70.490176235553008</v>
      </c>
      <c r="O88" s="70">
        <f>3958.4*G88^(-0.501)</f>
        <v>54.392287140951076</v>
      </c>
      <c r="Q88" s="31" t="s">
        <v>135</v>
      </c>
      <c r="R88" s="16">
        <f t="shared" si="102"/>
        <v>19.45293703996408</v>
      </c>
      <c r="S88" s="16">
        <f t="shared" si="103"/>
        <v>37.09557246826197</v>
      </c>
      <c r="T88" s="71">
        <f t="shared" si="104"/>
        <v>31.621393256387424</v>
      </c>
      <c r="V88" s="31" t="s">
        <v>135</v>
      </c>
      <c r="W88" s="16"/>
      <c r="X88" s="16"/>
      <c r="Y88" s="70"/>
      <c r="AB88" s="31" t="s">
        <v>135</v>
      </c>
      <c r="AC88" s="16"/>
      <c r="AD88" s="16"/>
      <c r="AE88" s="16"/>
      <c r="AH88" s="31" t="s">
        <v>135</v>
      </c>
      <c r="AI88" s="16"/>
      <c r="AJ88" s="16"/>
      <c r="AK88" s="16"/>
    </row>
    <row r="89" spans="1:37" x14ac:dyDescent="0.25">
      <c r="A89" s="67" t="s">
        <v>136</v>
      </c>
      <c r="B89" s="12">
        <f>F13/$C13</f>
        <v>0</v>
      </c>
      <c r="C89" s="12">
        <f>G13/$C13</f>
        <v>0</v>
      </c>
      <c r="D89" s="12">
        <f>H13/$C13</f>
        <v>40.276010754949645</v>
      </c>
      <c r="E89" s="12">
        <f>I13/$C13</f>
        <v>515.75669327866069</v>
      </c>
      <c r="F89" s="12">
        <f>J13/$C13</f>
        <v>7462.249770430948</v>
      </c>
      <c r="G89" s="12">
        <f>K13/$C13</f>
        <v>11355.597476742745</v>
      </c>
      <c r="K89" s="1">
        <v>128</v>
      </c>
      <c r="L89" s="31" t="s">
        <v>136</v>
      </c>
      <c r="M89" s="16">
        <f>(G89-21263)/-199.81</f>
        <v>49.584117527937813</v>
      </c>
      <c r="N89" s="16">
        <f>-0.0025*G89+83.506</f>
        <v>55.117006308143132</v>
      </c>
      <c r="O89" s="70">
        <f>3958.4*G89^(-0.501)</f>
        <v>36.800987556080862</v>
      </c>
      <c r="Q89" s="31" t="s">
        <v>136</v>
      </c>
      <c r="R89" s="45">
        <f t="shared" si="102"/>
        <v>-25.868535843661792</v>
      </c>
      <c r="S89" s="16">
        <f t="shared" si="103"/>
        <v>10.903477502302664</v>
      </c>
      <c r="T89" s="71">
        <f t="shared" si="104"/>
        <v>25.496319515348361</v>
      </c>
      <c r="V89" s="31" t="s">
        <v>136</v>
      </c>
      <c r="W89" s="16"/>
      <c r="X89" s="16"/>
      <c r="Y89" s="70"/>
      <c r="AB89" s="31" t="s">
        <v>136</v>
      </c>
      <c r="AC89" s="16"/>
      <c r="AD89" s="16"/>
      <c r="AE89" s="16"/>
      <c r="AH89" s="31" t="s">
        <v>136</v>
      </c>
      <c r="AI89" s="16"/>
      <c r="AJ89" s="16"/>
      <c r="AK89" s="16"/>
    </row>
    <row r="90" spans="1:37" x14ac:dyDescent="0.25">
      <c r="A90" s="67" t="s">
        <v>137</v>
      </c>
      <c r="B90" s="12">
        <f>F14/$C14</f>
        <v>0.29373114322198229</v>
      </c>
      <c r="C90" s="12">
        <f>G14/$C14</f>
        <v>8.2244720102155053</v>
      </c>
      <c r="D90" s="12">
        <f>H14/$C14</f>
        <v>189.75031852140057</v>
      </c>
      <c r="E90" s="12">
        <f>I14/$C14</f>
        <v>2118.6827360601583</v>
      </c>
      <c r="F90" s="12">
        <f>J14/$C14</f>
        <v>3049.51672893062</v>
      </c>
      <c r="G90" s="12">
        <f>K14/$C14</f>
        <v>2461.7607113434337</v>
      </c>
      <c r="K90" s="1">
        <v>128</v>
      </c>
      <c r="L90" s="31" t="s">
        <v>137</v>
      </c>
      <c r="M90" s="16">
        <f>(G90-21263)/-199.81</f>
        <v>94.095587251171438</v>
      </c>
      <c r="N90" s="16">
        <f>-0.0025*G90+83.506</f>
        <v>77.35159822164141</v>
      </c>
      <c r="O90" s="70">
        <f>3958.4*G90^(-0.501)</f>
        <v>79.159950504487711</v>
      </c>
      <c r="Q90" s="31" t="s">
        <v>137</v>
      </c>
      <c r="R90" s="16">
        <f t="shared" si="102"/>
        <v>57.359171464907199</v>
      </c>
      <c r="S90" s="16">
        <f t="shared" si="103"/>
        <v>59.002267654656244</v>
      </c>
      <c r="T90" s="71">
        <f t="shared" si="104"/>
        <v>41.858471601355966</v>
      </c>
      <c r="V90" s="31" t="s">
        <v>137</v>
      </c>
      <c r="W90" s="16"/>
      <c r="X90" s="16"/>
      <c r="Y90" s="70"/>
      <c r="AB90" s="31" t="s">
        <v>137</v>
      </c>
      <c r="AC90" s="16"/>
      <c r="AD90" s="16"/>
      <c r="AE90" s="16"/>
      <c r="AH90" s="31" t="s">
        <v>137</v>
      </c>
      <c r="AI90" s="16"/>
      <c r="AJ90" s="16"/>
      <c r="AK90" s="16"/>
    </row>
    <row r="91" spans="1:37" x14ac:dyDescent="0.25">
      <c r="A91" s="67" t="s">
        <v>138</v>
      </c>
      <c r="B91" s="12">
        <f>F15/$C15</f>
        <v>0.27437570806951544</v>
      </c>
      <c r="C91" s="12">
        <f>G15/$C15</f>
        <v>17.285669608379475</v>
      </c>
      <c r="D91" s="12">
        <f>H15/$C15</f>
        <v>281.92104004142715</v>
      </c>
      <c r="E91" s="12">
        <f>I15/$C15</f>
        <v>1327.9784270564548</v>
      </c>
      <c r="F91" s="12">
        <f>J15/$C15</f>
        <v>1254.857300855929</v>
      </c>
      <c r="G91" s="12">
        <f>K15/$C15</f>
        <v>1271.7314069022041</v>
      </c>
      <c r="K91" s="1">
        <v>128</v>
      </c>
      <c r="L91" s="31" t="s">
        <v>138</v>
      </c>
      <c r="M91" s="16">
        <f>(G91-21263)/-199.81</f>
        <v>100.05139178768728</v>
      </c>
      <c r="N91" s="16">
        <f>-0.0025*G91+83.506</f>
        <v>80.326671482744487</v>
      </c>
      <c r="O91" s="70">
        <f>3958.4*G91^(-0.501)</f>
        <v>110.20913256007236</v>
      </c>
      <c r="Q91" s="31" t="s">
        <v>138</v>
      </c>
      <c r="R91" s="16">
        <f t="shared" si="102"/>
        <v>91.207897003848942</v>
      </c>
      <c r="S91" s="16">
        <f t="shared" si="103"/>
        <v>78.564055420670371</v>
      </c>
      <c r="T91" s="71">
        <f t="shared" si="104"/>
        <v>68.458296254959976</v>
      </c>
      <c r="V91" s="31" t="s">
        <v>138</v>
      </c>
      <c r="W91" s="16"/>
      <c r="X91" s="16"/>
      <c r="Y91" s="70"/>
      <c r="AB91" s="31" t="s">
        <v>138</v>
      </c>
      <c r="AC91" s="16"/>
      <c r="AD91" s="16"/>
      <c r="AE91" s="16"/>
      <c r="AH91" s="31" t="s">
        <v>138</v>
      </c>
      <c r="AI91" s="16"/>
      <c r="AJ91" s="16"/>
      <c r="AK91" s="16"/>
    </row>
    <row r="93" spans="1:37" x14ac:dyDescent="0.25">
      <c r="A93" s="61"/>
    </row>
    <row r="94" spans="1:37" x14ac:dyDescent="0.25">
      <c r="B94" s="54" t="s">
        <v>156</v>
      </c>
      <c r="C94" s="54"/>
      <c r="D94" s="54"/>
      <c r="E94" s="54"/>
      <c r="F94" s="54"/>
      <c r="G94" s="54"/>
    </row>
    <row r="95" spans="1:37" x14ac:dyDescent="0.25">
      <c r="A95" s="1" t="s">
        <v>153</v>
      </c>
      <c r="B95" s="1" t="s">
        <v>60</v>
      </c>
      <c r="C95" s="1" t="s">
        <v>59</v>
      </c>
      <c r="D95" s="1" t="s">
        <v>58</v>
      </c>
      <c r="E95" s="1" t="s">
        <v>57</v>
      </c>
      <c r="F95" s="1" t="s">
        <v>56</v>
      </c>
      <c r="G95" s="1" t="s">
        <v>55</v>
      </c>
    </row>
    <row r="96" spans="1:37" x14ac:dyDescent="0.25">
      <c r="A96" s="1" t="s">
        <v>69</v>
      </c>
    </row>
    <row r="97" spans="1:55" x14ac:dyDescent="0.25">
      <c r="A97" s="1" t="s">
        <v>70</v>
      </c>
    </row>
    <row r="98" spans="1:55" x14ac:dyDescent="0.25">
      <c r="A98" s="1" t="s">
        <v>71</v>
      </c>
    </row>
    <row r="99" spans="1:55" x14ac:dyDescent="0.25">
      <c r="A99" s="1" t="s">
        <v>72</v>
      </c>
    </row>
    <row r="100" spans="1:55" x14ac:dyDescent="0.25">
      <c r="A100" s="67" t="s">
        <v>133</v>
      </c>
    </row>
    <row r="101" spans="1:55" x14ac:dyDescent="0.25">
      <c r="A101" s="67" t="s">
        <v>134</v>
      </c>
    </row>
    <row r="102" spans="1:55" x14ac:dyDescent="0.25">
      <c r="A102" s="67" t="s">
        <v>135</v>
      </c>
    </row>
    <row r="103" spans="1:55" x14ac:dyDescent="0.25">
      <c r="A103" s="67" t="s">
        <v>136</v>
      </c>
    </row>
    <row r="104" spans="1:55" x14ac:dyDescent="0.25">
      <c r="A104" s="67" t="s">
        <v>137</v>
      </c>
    </row>
    <row r="105" spans="1:55" x14ac:dyDescent="0.25">
      <c r="A105" s="67" t="s">
        <v>138</v>
      </c>
      <c r="AX105" s="54"/>
      <c r="AY105" s="54"/>
      <c r="AZ105" s="54"/>
      <c r="BA105" s="54"/>
      <c r="BB105" s="54"/>
      <c r="BC105" s="54"/>
    </row>
    <row r="106" spans="1:55" x14ac:dyDescent="0.25">
      <c r="AW106" s="1"/>
      <c r="AX106" s="1"/>
      <c r="AY106" s="1"/>
      <c r="AZ106" s="1"/>
      <c r="BA106" s="1"/>
      <c r="BB106" s="1"/>
      <c r="BC106" s="1"/>
    </row>
    <row r="107" spans="1:55" x14ac:dyDescent="0.25">
      <c r="AW107" s="1"/>
      <c r="AX107" s="53"/>
      <c r="AY107" s="53"/>
      <c r="AZ107" s="53"/>
      <c r="BA107" s="53"/>
      <c r="BB107" s="53"/>
      <c r="BC107" s="53"/>
    </row>
    <row r="108" spans="1:55" x14ac:dyDescent="0.25">
      <c r="AW108" s="1"/>
      <c r="AX108" s="53"/>
      <c r="AY108" s="53"/>
      <c r="AZ108" s="53"/>
      <c r="BA108" s="53"/>
      <c r="BB108" s="53"/>
      <c r="BC108" s="53"/>
    </row>
    <row r="109" spans="1:55" x14ac:dyDescent="0.25">
      <c r="AW109" s="1"/>
      <c r="AX109" s="53"/>
      <c r="AY109" s="53"/>
      <c r="AZ109" s="53"/>
      <c r="BA109" s="53"/>
      <c r="BB109" s="53"/>
      <c r="BC109" s="53"/>
    </row>
    <row r="110" spans="1:55" x14ac:dyDescent="0.25">
      <c r="M110" s="25" t="s">
        <v>83</v>
      </c>
      <c r="N110" s="1" t="s">
        <v>119</v>
      </c>
      <c r="R110" s="25" t="s">
        <v>83</v>
      </c>
      <c r="S110" s="1" t="s">
        <v>120</v>
      </c>
      <c r="W110" s="25" t="s">
        <v>83</v>
      </c>
      <c r="X110" s="1" t="s">
        <v>121</v>
      </c>
      <c r="AW110" s="1"/>
      <c r="AX110" s="53"/>
      <c r="AY110" s="53"/>
      <c r="AZ110" s="53"/>
      <c r="BA110" s="53"/>
      <c r="BB110" s="53"/>
      <c r="BC110" s="53"/>
    </row>
    <row r="111" spans="1:55" x14ac:dyDescent="0.25">
      <c r="M111" s="26">
        <v>1</v>
      </c>
      <c r="N111" s="19" cm="1">
        <f t="array" ref="N111">SQRT(SUMSQ($K82:$K91-M82:M91)/COUNTA($K82:$K91-M82:M91))</f>
        <v>60.357871847966301</v>
      </c>
      <c r="R111" s="26">
        <v>1</v>
      </c>
      <c r="S111" s="19" cm="1">
        <f t="array" ref="S111">SQRT(SUMSQ($K82:$K91-R82:R91)/COUNTA($K82:$K91-R82:R91))</f>
        <v>138.16504982056276</v>
      </c>
      <c r="W111" s="26">
        <v>1</v>
      </c>
      <c r="X111" s="19" cm="1">
        <f t="array" ref="X111">SQRT(SUMSQ($K82:$K91-W82:W91)/COUNTA($K82:$K91-W82:W91))</f>
        <v>104.08506136809451</v>
      </c>
      <c r="AW111" s="1"/>
      <c r="AX111" s="53"/>
      <c r="AY111" s="53"/>
      <c r="AZ111" s="53"/>
      <c r="BA111" s="53"/>
      <c r="BB111" s="53"/>
      <c r="BC111" s="53"/>
    </row>
    <row r="112" spans="1:55" x14ac:dyDescent="0.25">
      <c r="M112" s="27">
        <v>2</v>
      </c>
      <c r="N112" s="21" cm="1">
        <f t="array" ref="N112">SQRT(SUMSQ($K82:$K91-N82:N91)/COUNTA($K82:$K91-N82:N91))</f>
        <v>51.699240848331911</v>
      </c>
      <c r="O112" t="s">
        <v>85</v>
      </c>
      <c r="R112" s="27">
        <v>2</v>
      </c>
      <c r="S112" s="21" cm="1">
        <f t="array" ref="S112">SQRT(SUMSQ($K82:$K91-S82:S91)/COUNTA($K82:$K91-S82:S91))</f>
        <v>96.111163276173798</v>
      </c>
      <c r="T112" t="s">
        <v>85</v>
      </c>
      <c r="W112" s="27">
        <v>2</v>
      </c>
      <c r="X112" s="21" cm="1">
        <f t="array" ref="X112">SQRT(SUMSQ($K82:$K86-X82:X86)/COUNTA($K82:$K86-X82:X86))</f>
        <v>87.982952894296517</v>
      </c>
      <c r="Y112" t="s">
        <v>85</v>
      </c>
    </row>
    <row r="113" spans="13:25" x14ac:dyDescent="0.25">
      <c r="M113" s="28">
        <v>3</v>
      </c>
      <c r="N113" s="17" cm="1">
        <f t="array" ref="N113">SQRT(SUMSQ($K82:$K91-O82:O91)/COUNTA($K82:$K91-O82:O91))</f>
        <v>55.198493565385419</v>
      </c>
      <c r="O113" t="s">
        <v>86</v>
      </c>
      <c r="R113" s="28">
        <v>3</v>
      </c>
      <c r="S113" s="17" cm="1">
        <f t="array" ref="S113">SQRT(SUMSQ($K82:$K91-T82:T91)/COUNTA($K82:$K91-T82:T91))</f>
        <v>71.608065485549758</v>
      </c>
      <c r="T113" t="s">
        <v>86</v>
      </c>
      <c r="W113" s="28">
        <v>3</v>
      </c>
      <c r="X113" s="17" cm="1">
        <f t="array" ref="X113">SQRT(SUMSQ($K82:$K91-Y82:Y91)/COUNTA($K82:$K91-Y82:Y91))</f>
        <v>104.08506136809451</v>
      </c>
      <c r="Y113" t="s">
        <v>86</v>
      </c>
    </row>
  </sheetData>
  <mergeCells count="18">
    <mergeCell ref="B80:G80"/>
    <mergeCell ref="B94:G94"/>
    <mergeCell ref="L80:O80"/>
    <mergeCell ref="Q80:T80"/>
    <mergeCell ref="V80:Y80"/>
    <mergeCell ref="AB80:AE80"/>
    <mergeCell ref="B21:E21"/>
    <mergeCell ref="V21:X21"/>
    <mergeCell ref="Q21:T21"/>
    <mergeCell ref="L21:O21"/>
    <mergeCell ref="G21:J21"/>
    <mergeCell ref="AX105:BC105"/>
    <mergeCell ref="AH21:AK21"/>
    <mergeCell ref="AS1:AX1"/>
    <mergeCell ref="AQ1:AR1"/>
    <mergeCell ref="AN21:AQ21"/>
    <mergeCell ref="AH80:AK80"/>
    <mergeCell ref="AY1:BD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C25" sqref="C25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54" t="s">
        <v>37</v>
      </c>
      <c r="C1" s="54"/>
      <c r="D1" s="54"/>
      <c r="E1" s="54"/>
      <c r="F1" s="54"/>
      <c r="G1" s="54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56" t="s">
        <v>47</v>
      </c>
      <c r="C7" s="54"/>
      <c r="D7" s="54"/>
      <c r="E7" s="57"/>
      <c r="F7" s="56" t="s">
        <v>48</v>
      </c>
      <c r="G7" s="54"/>
      <c r="H7" s="54"/>
      <c r="I7" s="54"/>
      <c r="J7" s="54"/>
      <c r="K7" s="57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D20" sqref="D20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54" t="s">
        <v>21</v>
      </c>
      <c r="C1" s="54"/>
      <c r="D1" s="54" t="s">
        <v>20</v>
      </c>
      <c r="E1" s="54"/>
      <c r="F1" s="54" t="s">
        <v>11</v>
      </c>
      <c r="G1" s="54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54" t="s">
        <v>21</v>
      </c>
      <c r="C9" s="54"/>
      <c r="D9" s="54" t="s">
        <v>20</v>
      </c>
      <c r="E9" s="54"/>
      <c r="F9" s="54" t="s">
        <v>11</v>
      </c>
      <c r="G9" s="54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hilbert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2025-11-18T02:06:35Z</dcterms:modified>
</cp:coreProperties>
</file>