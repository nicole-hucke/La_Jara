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GitHub\La_Jara\Hydrophones\Results\noise_corrected\calculations\"/>
    </mc:Choice>
  </mc:AlternateContent>
  <xr:revisionPtr revIDLastSave="0" documentId="13_ncr:1_{59BF5584-9EDF-4D4B-9439-A6D3A98FFCF2}" xr6:coauthVersionLast="47" xr6:coauthVersionMax="47" xr10:uidLastSave="{00000000-0000-0000-0000-000000000000}"/>
  <bookViews>
    <workbookView xWindow="-108" yWindow="-108" windowWidth="23256" windowHeight="12456" xr2:uid="{ACBE6CE9-2E59-4EB0-85F4-02C616FF90B4}"/>
  </bookViews>
  <sheets>
    <sheet name="storm3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8" i="1" l="1"/>
  <c r="W53" i="1"/>
  <c r="V53" i="1"/>
  <c r="U53" i="1"/>
  <c r="W52" i="1"/>
  <c r="V52" i="1"/>
  <c r="U52" i="1"/>
  <c r="W51" i="1"/>
  <c r="V51" i="1"/>
  <c r="U51" i="1"/>
  <c r="W50" i="1"/>
  <c r="V50" i="1"/>
  <c r="U50" i="1"/>
  <c r="W49" i="1"/>
  <c r="V49" i="1"/>
  <c r="U49" i="1"/>
  <c r="W48" i="1"/>
  <c r="V48" i="1"/>
  <c r="B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A60" i="1"/>
  <c r="A61" i="1"/>
  <c r="A51" i="1"/>
  <c r="A52" i="1"/>
  <c r="A53" i="1"/>
  <c r="A54" i="1"/>
  <c r="A55" i="1"/>
  <c r="A56" i="1"/>
  <c r="A57" i="1"/>
  <c r="A58" i="1"/>
  <c r="A59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35" i="1"/>
</calcChain>
</file>

<file path=xl/sharedStrings.xml><?xml version="1.0" encoding="utf-8"?>
<sst xmlns="http://schemas.openxmlformats.org/spreadsheetml/2006/main" count="57" uniqueCount="45">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</sst>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 Over</a:t>
            </a:r>
            <a:r>
              <a:rPr lang="en-US" baseline="0"/>
              <a:t>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storm3_results!$E$35:$E$131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storm3_results!$F$35:$F$131</c:f>
              <c:numCache>
                <c:formatCode>General</c:formatCode>
                <c:ptCount val="97"/>
                <c:pt idx="0">
                  <c:v>6.0469231439594503E-3</c:v>
                </c:pt>
                <c:pt idx="1">
                  <c:v>6.56375554635191E-3</c:v>
                </c:pt>
                <c:pt idx="2">
                  <c:v>7.2204425823677396E-3</c:v>
                </c:pt>
                <c:pt idx="3">
                  <c:v>4.9163669325153203E-3</c:v>
                </c:pt>
                <c:pt idx="4">
                  <c:v>6.1432910420409197E-3</c:v>
                </c:pt>
                <c:pt idx="5">
                  <c:v>5.0617427489876698E-3</c:v>
                </c:pt>
                <c:pt idx="6">
                  <c:v>6.5557852933517801E-3</c:v>
                </c:pt>
                <c:pt idx="7">
                  <c:v>7.52871241158087E-3</c:v>
                </c:pt>
                <c:pt idx="8">
                  <c:v>6.5611424295337999E-3</c:v>
                </c:pt>
                <c:pt idx="9">
                  <c:v>7.3380045432390904E-3</c:v>
                </c:pt>
                <c:pt idx="10">
                  <c:v>5.6957477230565297E-3</c:v>
                </c:pt>
                <c:pt idx="11">
                  <c:v>5.6481304996276703E-3</c:v>
                </c:pt>
                <c:pt idx="12">
                  <c:v>5.1988495392241204E-3</c:v>
                </c:pt>
                <c:pt idx="13">
                  <c:v>5.8988777260034304E-3</c:v>
                </c:pt>
                <c:pt idx="14">
                  <c:v>5.6017388441390696E-3</c:v>
                </c:pt>
                <c:pt idx="15">
                  <c:v>5.4404997995698198E-3</c:v>
                </c:pt>
                <c:pt idx="16">
                  <c:v>5.1089359989938297E-3</c:v>
                </c:pt>
                <c:pt idx="17">
                  <c:v>5.3707034162350604E-3</c:v>
                </c:pt>
                <c:pt idx="18">
                  <c:v>5.8773466869862798E-3</c:v>
                </c:pt>
                <c:pt idx="19">
                  <c:v>5.0061447360213798E-3</c:v>
                </c:pt>
                <c:pt idx="20">
                  <c:v>5.04844433035272E-3</c:v>
                </c:pt>
                <c:pt idx="21">
                  <c:v>6.3804371436353103E-3</c:v>
                </c:pt>
                <c:pt idx="22">
                  <c:v>4.56356600210381E-3</c:v>
                </c:pt>
                <c:pt idx="23">
                  <c:v>5.5992226027756402E-3</c:v>
                </c:pt>
                <c:pt idx="24">
                  <c:v>5.3684220822813001E-3</c:v>
                </c:pt>
                <c:pt idx="25">
                  <c:v>4.5941422717085002E-3</c:v>
                </c:pt>
                <c:pt idx="26">
                  <c:v>5.3744022701121804E-3</c:v>
                </c:pt>
                <c:pt idx="27">
                  <c:v>4.7606439425484301E-3</c:v>
                </c:pt>
                <c:pt idx="28">
                  <c:v>4.4952284162685704E-3</c:v>
                </c:pt>
                <c:pt idx="29">
                  <c:v>5.0175661086275403E-3</c:v>
                </c:pt>
                <c:pt idx="30">
                  <c:v>5.2176956595004903E-3</c:v>
                </c:pt>
                <c:pt idx="31">
                  <c:v>4.9774134811304202E-3</c:v>
                </c:pt>
                <c:pt idx="32">
                  <c:v>5.7448168450008399E-3</c:v>
                </c:pt>
                <c:pt idx="33">
                  <c:v>6.0881835700110198E-3</c:v>
                </c:pt>
                <c:pt idx="34">
                  <c:v>5.3679535363414799E-3</c:v>
                </c:pt>
                <c:pt idx="35">
                  <c:v>4.9211957060063998E-3</c:v>
                </c:pt>
                <c:pt idx="36">
                  <c:v>4.7084380599530301E-3</c:v>
                </c:pt>
                <c:pt idx="37">
                  <c:v>5.3160367847957402E-3</c:v>
                </c:pt>
                <c:pt idx="38">
                  <c:v>4.3226318666192897E-3</c:v>
                </c:pt>
                <c:pt idx="39">
                  <c:v>4.65503133411056E-3</c:v>
                </c:pt>
                <c:pt idx="40">
                  <c:v>4.9603241773081303E-3</c:v>
                </c:pt>
                <c:pt idx="41">
                  <c:v>4.59958796512926E-3</c:v>
                </c:pt>
                <c:pt idx="42">
                  <c:v>5.2048343185654902E-3</c:v>
                </c:pt>
                <c:pt idx="43">
                  <c:v>4.22498111988344E-3</c:v>
                </c:pt>
                <c:pt idx="44">
                  <c:v>5.10226766732917E-3</c:v>
                </c:pt>
                <c:pt idx="45">
                  <c:v>4.3809882203171601E-3</c:v>
                </c:pt>
                <c:pt idx="46">
                  <c:v>4.8217006396481903E-3</c:v>
                </c:pt>
                <c:pt idx="47">
                  <c:v>4.8660516081840801E-3</c:v>
                </c:pt>
                <c:pt idx="48">
                  <c:v>4.2024248391712097E-3</c:v>
                </c:pt>
                <c:pt idx="49">
                  <c:v>4.9520539198106396E-3</c:v>
                </c:pt>
                <c:pt idx="50">
                  <c:v>4.9703996341896898E-3</c:v>
                </c:pt>
                <c:pt idx="51">
                  <c:v>5.5003071162387802E-3</c:v>
                </c:pt>
                <c:pt idx="52">
                  <c:v>7.6506695299502197E-3</c:v>
                </c:pt>
                <c:pt idx="53">
                  <c:v>1.04420908899672E-2</c:v>
                </c:pt>
                <c:pt idx="54">
                  <c:v>9.6862058472059493E-3</c:v>
                </c:pt>
                <c:pt idx="55">
                  <c:v>1.23056027378025E-2</c:v>
                </c:pt>
                <c:pt idx="56">
                  <c:v>2.1525909077523799E-2</c:v>
                </c:pt>
                <c:pt idx="57">
                  <c:v>4.8026862903487698E-2</c:v>
                </c:pt>
                <c:pt idx="58">
                  <c:v>7.9099307862730103E-2</c:v>
                </c:pt>
                <c:pt idx="59">
                  <c:v>0.125763766867726</c:v>
                </c:pt>
                <c:pt idx="60">
                  <c:v>0.14898440806176</c:v>
                </c:pt>
                <c:pt idx="61">
                  <c:v>0.13069273245333601</c:v>
                </c:pt>
                <c:pt idx="62">
                  <c:v>0.118790651501351</c:v>
                </c:pt>
                <c:pt idx="63">
                  <c:v>0.12673989217933301</c:v>
                </c:pt>
                <c:pt idx="64">
                  <c:v>0.10354758441207899</c:v>
                </c:pt>
                <c:pt idx="65">
                  <c:v>9.4201877594349406E-2</c:v>
                </c:pt>
                <c:pt idx="66">
                  <c:v>8.5587935763626402E-2</c:v>
                </c:pt>
                <c:pt idx="67">
                  <c:v>7.4458695677547898E-2</c:v>
                </c:pt>
                <c:pt idx="68">
                  <c:v>5.6821260966276897E-2</c:v>
                </c:pt>
                <c:pt idx="69">
                  <c:v>6.3782830247344602E-2</c:v>
                </c:pt>
                <c:pt idx="70">
                  <c:v>5.7784456072931402E-2</c:v>
                </c:pt>
                <c:pt idx="71">
                  <c:v>5.09341083626405E-2</c:v>
                </c:pt>
                <c:pt idx="72">
                  <c:v>5.7510447425839203E-2</c:v>
                </c:pt>
                <c:pt idx="73">
                  <c:v>4.9065347632356503E-2</c:v>
                </c:pt>
                <c:pt idx="74">
                  <c:v>4.3548141834394399E-2</c:v>
                </c:pt>
                <c:pt idx="75">
                  <c:v>3.4963117041307598E-2</c:v>
                </c:pt>
                <c:pt idx="76">
                  <c:v>3.1753489006234203E-2</c:v>
                </c:pt>
                <c:pt idx="77">
                  <c:v>3.7303662119903297E-2</c:v>
                </c:pt>
                <c:pt idx="78">
                  <c:v>3.52392289085489E-2</c:v>
                </c:pt>
                <c:pt idx="79">
                  <c:v>2.86889963387141E-2</c:v>
                </c:pt>
                <c:pt idx="80">
                  <c:v>2.4121373670035199E-2</c:v>
                </c:pt>
                <c:pt idx="81">
                  <c:v>2.2651880474234901E-2</c:v>
                </c:pt>
                <c:pt idx="82">
                  <c:v>2.25952595003041E-2</c:v>
                </c:pt>
                <c:pt idx="83">
                  <c:v>1.6206851920628301E-2</c:v>
                </c:pt>
                <c:pt idx="84">
                  <c:v>2.0088667249784201E-2</c:v>
                </c:pt>
                <c:pt idx="85">
                  <c:v>2.1843490104407601E-2</c:v>
                </c:pt>
                <c:pt idx="86">
                  <c:v>1.51091693943352E-2</c:v>
                </c:pt>
                <c:pt idx="87">
                  <c:v>1.83874188249997E-2</c:v>
                </c:pt>
                <c:pt idx="88">
                  <c:v>1.8043770474096801E-2</c:v>
                </c:pt>
                <c:pt idx="89">
                  <c:v>1.44813568044581E-2</c:v>
                </c:pt>
                <c:pt idx="90">
                  <c:v>1.27571944955887E-2</c:v>
                </c:pt>
                <c:pt idx="91">
                  <c:v>1.2274801710485801E-2</c:v>
                </c:pt>
                <c:pt idx="92">
                  <c:v>1.0464780666479099E-2</c:v>
                </c:pt>
                <c:pt idx="93">
                  <c:v>1.1066729388304299E-2</c:v>
                </c:pt>
                <c:pt idx="94">
                  <c:v>1.0484186866458E-2</c:v>
                </c:pt>
                <c:pt idx="95">
                  <c:v>1.08237724901467E-2</c:v>
                </c:pt>
                <c:pt idx="96">
                  <c:v>1.28205548613227E-2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DA-46A6-8B0B-5D860EB89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224783"/>
        <c:axId val="389208463"/>
      </c:scatterChart>
      <c:valAx>
        <c:axId val="3892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08463"/>
        <c:crosses val="autoZero"/>
        <c:crossBetween val="midCat"/>
      </c:valAx>
      <c:valAx>
        <c:axId val="3892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 Over</a:t>
            </a:r>
            <a:r>
              <a:rPr lang="en-US" baseline="0"/>
              <a:t>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storm3_results!$E$35:$E$131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storm3_results!$G$35:$G$131</c:f>
              <c:numCache>
                <c:formatCode>General</c:formatCode>
                <c:ptCount val="97"/>
                <c:pt idx="0">
                  <c:v>4.2978366290463803E-3</c:v>
                </c:pt>
                <c:pt idx="1">
                  <c:v>4.3354804229423999E-3</c:v>
                </c:pt>
                <c:pt idx="2">
                  <c:v>4.0944428440284402E-3</c:v>
                </c:pt>
                <c:pt idx="3">
                  <c:v>3.7842686388332202E-3</c:v>
                </c:pt>
                <c:pt idx="4">
                  <c:v>4.1292433220953698E-3</c:v>
                </c:pt>
                <c:pt idx="5">
                  <c:v>4.0280544764842996E-3</c:v>
                </c:pt>
                <c:pt idx="6">
                  <c:v>4.1249052371093598E-3</c:v>
                </c:pt>
                <c:pt idx="7">
                  <c:v>4.3941123828622596E-3</c:v>
                </c:pt>
                <c:pt idx="8">
                  <c:v>4.5892224696299899E-3</c:v>
                </c:pt>
                <c:pt idx="9">
                  <c:v>4.0858377218463797E-3</c:v>
                </c:pt>
                <c:pt idx="10">
                  <c:v>3.9752375415591096E-3</c:v>
                </c:pt>
                <c:pt idx="11">
                  <c:v>3.9070010454437896E-3</c:v>
                </c:pt>
                <c:pt idx="12">
                  <c:v>3.9012524312458702E-3</c:v>
                </c:pt>
                <c:pt idx="13">
                  <c:v>4.0889586860962199E-3</c:v>
                </c:pt>
                <c:pt idx="14">
                  <c:v>4.07709574845293E-3</c:v>
                </c:pt>
                <c:pt idx="15">
                  <c:v>3.8052749570223398E-3</c:v>
                </c:pt>
                <c:pt idx="16">
                  <c:v>3.4671254175256102E-3</c:v>
                </c:pt>
                <c:pt idx="17">
                  <c:v>3.7146140536783601E-3</c:v>
                </c:pt>
                <c:pt idx="18">
                  <c:v>3.9119781453504504E-3</c:v>
                </c:pt>
                <c:pt idx="19">
                  <c:v>3.790573677145E-3</c:v>
                </c:pt>
                <c:pt idx="20">
                  <c:v>3.7308992331199701E-3</c:v>
                </c:pt>
                <c:pt idx="21">
                  <c:v>3.7388754956157299E-3</c:v>
                </c:pt>
                <c:pt idx="22">
                  <c:v>3.5030189744991698E-3</c:v>
                </c:pt>
                <c:pt idx="23">
                  <c:v>3.5837547039298898E-3</c:v>
                </c:pt>
                <c:pt idx="24">
                  <c:v>3.8262493935479502E-3</c:v>
                </c:pt>
                <c:pt idx="25">
                  <c:v>3.4106431538840202E-3</c:v>
                </c:pt>
                <c:pt idx="26">
                  <c:v>3.3830972671215699E-3</c:v>
                </c:pt>
                <c:pt idx="27">
                  <c:v>3.3719429654378999E-3</c:v>
                </c:pt>
                <c:pt idx="28">
                  <c:v>3.3679296994318601E-3</c:v>
                </c:pt>
                <c:pt idx="29">
                  <c:v>3.2280981077944001E-3</c:v>
                </c:pt>
                <c:pt idx="30">
                  <c:v>3.3464846770408199E-3</c:v>
                </c:pt>
                <c:pt idx="31">
                  <c:v>3.3800084881188898E-3</c:v>
                </c:pt>
                <c:pt idx="32">
                  <c:v>3.5479468852484602E-3</c:v>
                </c:pt>
                <c:pt idx="33">
                  <c:v>3.4971172185128199E-3</c:v>
                </c:pt>
                <c:pt idx="34">
                  <c:v>3.4089648339401201E-3</c:v>
                </c:pt>
                <c:pt idx="35">
                  <c:v>3.19795330886066E-3</c:v>
                </c:pt>
                <c:pt idx="36">
                  <c:v>3.0842268293183399E-3</c:v>
                </c:pt>
                <c:pt idx="37">
                  <c:v>3.23353756623539E-3</c:v>
                </c:pt>
                <c:pt idx="38">
                  <c:v>3.0068126845065901E-3</c:v>
                </c:pt>
                <c:pt idx="39">
                  <c:v>2.93963850044574E-3</c:v>
                </c:pt>
                <c:pt idx="40">
                  <c:v>2.99721981099726E-3</c:v>
                </c:pt>
                <c:pt idx="41">
                  <c:v>3.32697779325205E-3</c:v>
                </c:pt>
                <c:pt idx="42">
                  <c:v>3.35964134267685E-3</c:v>
                </c:pt>
                <c:pt idx="43">
                  <c:v>3.1415377613526101E-3</c:v>
                </c:pt>
                <c:pt idx="44">
                  <c:v>3.2232042790338701E-3</c:v>
                </c:pt>
                <c:pt idx="45">
                  <c:v>3.17368055431398E-3</c:v>
                </c:pt>
                <c:pt idx="46">
                  <c:v>3.2692585681471701E-3</c:v>
                </c:pt>
                <c:pt idx="47">
                  <c:v>3.3529127955948799E-3</c:v>
                </c:pt>
                <c:pt idx="48">
                  <c:v>3.18324412785109E-3</c:v>
                </c:pt>
                <c:pt idx="49">
                  <c:v>2.9297995357477099E-3</c:v>
                </c:pt>
                <c:pt idx="50">
                  <c:v>3.0945842533160999E-3</c:v>
                </c:pt>
                <c:pt idx="51">
                  <c:v>3.4653386962368699E-3</c:v>
                </c:pt>
                <c:pt idx="52">
                  <c:v>4.9273474325603603E-3</c:v>
                </c:pt>
                <c:pt idx="53">
                  <c:v>6.7038398064537402E-3</c:v>
                </c:pt>
                <c:pt idx="54">
                  <c:v>6.6912226684940597E-3</c:v>
                </c:pt>
                <c:pt idx="55">
                  <c:v>7.32326448834746E-3</c:v>
                </c:pt>
                <c:pt idx="56">
                  <c:v>1.55905101081247E-2</c:v>
                </c:pt>
                <c:pt idx="57">
                  <c:v>3.80233828784972E-2</c:v>
                </c:pt>
                <c:pt idx="58">
                  <c:v>6.5524366909018195E-2</c:v>
                </c:pt>
                <c:pt idx="59">
                  <c:v>9.42298996976738E-2</c:v>
                </c:pt>
                <c:pt idx="60">
                  <c:v>0.112317926034409</c:v>
                </c:pt>
                <c:pt idx="61">
                  <c:v>9.6872100755935095E-2</c:v>
                </c:pt>
                <c:pt idx="62">
                  <c:v>9.6752035820534293E-2</c:v>
                </c:pt>
                <c:pt idx="63">
                  <c:v>9.3233783637502704E-2</c:v>
                </c:pt>
                <c:pt idx="64">
                  <c:v>7.8904942565815595E-2</c:v>
                </c:pt>
                <c:pt idx="65">
                  <c:v>6.84450930757496E-2</c:v>
                </c:pt>
                <c:pt idx="66">
                  <c:v>6.0081525752502897E-2</c:v>
                </c:pt>
                <c:pt idx="67">
                  <c:v>5.1293627927884902E-2</c:v>
                </c:pt>
                <c:pt idx="68">
                  <c:v>4.67404287310434E-2</c:v>
                </c:pt>
                <c:pt idx="69">
                  <c:v>4.2257922573562597E-2</c:v>
                </c:pt>
                <c:pt idx="70">
                  <c:v>3.8739828789986601E-2</c:v>
                </c:pt>
                <c:pt idx="71">
                  <c:v>3.7215807117580199E-2</c:v>
                </c:pt>
                <c:pt idx="72">
                  <c:v>3.9514653670973302E-2</c:v>
                </c:pt>
                <c:pt idx="73">
                  <c:v>3.70180763923951E-2</c:v>
                </c:pt>
                <c:pt idx="74">
                  <c:v>2.5503627851957401E-2</c:v>
                </c:pt>
                <c:pt idx="75">
                  <c:v>2.50185522251191E-2</c:v>
                </c:pt>
                <c:pt idx="76">
                  <c:v>2.06558539457204E-2</c:v>
                </c:pt>
                <c:pt idx="77">
                  <c:v>2.1762350545425E-2</c:v>
                </c:pt>
                <c:pt idx="78">
                  <c:v>2.26329879273897E-2</c:v>
                </c:pt>
                <c:pt idx="79">
                  <c:v>1.8001057081932101E-2</c:v>
                </c:pt>
                <c:pt idx="80">
                  <c:v>1.6000665293482201E-2</c:v>
                </c:pt>
                <c:pt idx="81">
                  <c:v>1.57360141252402E-2</c:v>
                </c:pt>
                <c:pt idx="82">
                  <c:v>1.40880191216453E-2</c:v>
                </c:pt>
                <c:pt idx="83">
                  <c:v>1.05603042027095E-2</c:v>
                </c:pt>
                <c:pt idx="84">
                  <c:v>1.3881305638617201E-2</c:v>
                </c:pt>
                <c:pt idx="85">
                  <c:v>1.40444217212438E-2</c:v>
                </c:pt>
                <c:pt idx="86">
                  <c:v>1.13685106789185E-2</c:v>
                </c:pt>
                <c:pt idx="87">
                  <c:v>1.18473628048879E-2</c:v>
                </c:pt>
                <c:pt idx="88">
                  <c:v>1.1524051555923899E-2</c:v>
                </c:pt>
                <c:pt idx="89">
                  <c:v>1.02403308021814E-2</c:v>
                </c:pt>
                <c:pt idx="90">
                  <c:v>8.6774009883348099E-3</c:v>
                </c:pt>
                <c:pt idx="91">
                  <c:v>7.9564659707876302E-3</c:v>
                </c:pt>
                <c:pt idx="92">
                  <c:v>7.47733264156178E-3</c:v>
                </c:pt>
                <c:pt idx="93">
                  <c:v>7.3748166462134397E-3</c:v>
                </c:pt>
                <c:pt idx="94">
                  <c:v>7.17855054991499E-3</c:v>
                </c:pt>
                <c:pt idx="95">
                  <c:v>7.3793974429948997E-3</c:v>
                </c:pt>
                <c:pt idx="96">
                  <c:v>7.7682894860226503E-3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7E-4086-9C29-E90BD6483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224783"/>
        <c:axId val="389208463"/>
      </c:scatterChart>
      <c:valAx>
        <c:axId val="3892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08463"/>
        <c:crosses val="autoZero"/>
        <c:crossBetween val="midCat"/>
      </c:valAx>
      <c:valAx>
        <c:axId val="3892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 Over</a:t>
            </a:r>
            <a:r>
              <a:rPr lang="en-US" baseline="0"/>
              <a:t>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storm3_results!$E$35:$E$131</c:f>
              <c:numCache>
                <c:formatCode>m/d/yyyy\ h:mm</c:formatCode>
                <c:ptCount val="97"/>
                <c:pt idx="0">
                  <c:v>44781.000694444447</c:v>
                </c:pt>
                <c:pt idx="1">
                  <c:v>44781.011111111111</c:v>
                </c:pt>
                <c:pt idx="2">
                  <c:v>44781.021527777775</c:v>
                </c:pt>
                <c:pt idx="3">
                  <c:v>44781.031944444447</c:v>
                </c:pt>
                <c:pt idx="4">
                  <c:v>44781.042361111111</c:v>
                </c:pt>
                <c:pt idx="5">
                  <c:v>44781.052777777775</c:v>
                </c:pt>
                <c:pt idx="6">
                  <c:v>44781.063194444447</c:v>
                </c:pt>
                <c:pt idx="7">
                  <c:v>44781.073611111111</c:v>
                </c:pt>
                <c:pt idx="8">
                  <c:v>44781.084027777775</c:v>
                </c:pt>
                <c:pt idx="9">
                  <c:v>44781.094444444447</c:v>
                </c:pt>
                <c:pt idx="10">
                  <c:v>44781.104861111111</c:v>
                </c:pt>
                <c:pt idx="11">
                  <c:v>44781.115277777775</c:v>
                </c:pt>
                <c:pt idx="12">
                  <c:v>44781.125694444447</c:v>
                </c:pt>
                <c:pt idx="13">
                  <c:v>44781.136111111111</c:v>
                </c:pt>
                <c:pt idx="14">
                  <c:v>44781.146527777775</c:v>
                </c:pt>
                <c:pt idx="15">
                  <c:v>44781.156944444447</c:v>
                </c:pt>
                <c:pt idx="16">
                  <c:v>44781.167361111111</c:v>
                </c:pt>
                <c:pt idx="17">
                  <c:v>44781.177777777775</c:v>
                </c:pt>
                <c:pt idx="18">
                  <c:v>44781.188194444447</c:v>
                </c:pt>
                <c:pt idx="19">
                  <c:v>44781.198611111111</c:v>
                </c:pt>
                <c:pt idx="20">
                  <c:v>44781.209027777775</c:v>
                </c:pt>
                <c:pt idx="21">
                  <c:v>44781.219444444447</c:v>
                </c:pt>
                <c:pt idx="22">
                  <c:v>44781.229861111111</c:v>
                </c:pt>
                <c:pt idx="23">
                  <c:v>44781.240277777775</c:v>
                </c:pt>
                <c:pt idx="24">
                  <c:v>44781.250694444447</c:v>
                </c:pt>
                <c:pt idx="25">
                  <c:v>44781.261111111111</c:v>
                </c:pt>
                <c:pt idx="26">
                  <c:v>44781.271527777775</c:v>
                </c:pt>
                <c:pt idx="27">
                  <c:v>44781.281944444447</c:v>
                </c:pt>
                <c:pt idx="28">
                  <c:v>44781.292361111111</c:v>
                </c:pt>
                <c:pt idx="29">
                  <c:v>44781.302777777775</c:v>
                </c:pt>
                <c:pt idx="30">
                  <c:v>44781.313194444447</c:v>
                </c:pt>
                <c:pt idx="31">
                  <c:v>44781.323611111111</c:v>
                </c:pt>
                <c:pt idx="32">
                  <c:v>44781.334027777775</c:v>
                </c:pt>
                <c:pt idx="33">
                  <c:v>44781.344444444447</c:v>
                </c:pt>
                <c:pt idx="34">
                  <c:v>44781.354861111111</c:v>
                </c:pt>
                <c:pt idx="35">
                  <c:v>44781.365277777775</c:v>
                </c:pt>
                <c:pt idx="36">
                  <c:v>44781.375694444447</c:v>
                </c:pt>
                <c:pt idx="37">
                  <c:v>44781.386111111111</c:v>
                </c:pt>
                <c:pt idx="38">
                  <c:v>44781.396527777775</c:v>
                </c:pt>
                <c:pt idx="39">
                  <c:v>44781.406944444447</c:v>
                </c:pt>
                <c:pt idx="40">
                  <c:v>44781.417361111111</c:v>
                </c:pt>
                <c:pt idx="41">
                  <c:v>44781.427777777775</c:v>
                </c:pt>
                <c:pt idx="42">
                  <c:v>44781.438194444447</c:v>
                </c:pt>
                <c:pt idx="43">
                  <c:v>44781.448611111111</c:v>
                </c:pt>
                <c:pt idx="44">
                  <c:v>44781.459027777775</c:v>
                </c:pt>
                <c:pt idx="45">
                  <c:v>44781.469444444447</c:v>
                </c:pt>
                <c:pt idx="46">
                  <c:v>44781.479861111111</c:v>
                </c:pt>
                <c:pt idx="47">
                  <c:v>44781.490277777775</c:v>
                </c:pt>
                <c:pt idx="48">
                  <c:v>44781.500694444447</c:v>
                </c:pt>
                <c:pt idx="49">
                  <c:v>44781.511111111111</c:v>
                </c:pt>
                <c:pt idx="50">
                  <c:v>44781.521527777775</c:v>
                </c:pt>
                <c:pt idx="51">
                  <c:v>44781.531944444447</c:v>
                </c:pt>
                <c:pt idx="52">
                  <c:v>44781.542361111111</c:v>
                </c:pt>
                <c:pt idx="53">
                  <c:v>44781.552777777775</c:v>
                </c:pt>
                <c:pt idx="54">
                  <c:v>44781.563194444447</c:v>
                </c:pt>
                <c:pt idx="55">
                  <c:v>44781.573611111111</c:v>
                </c:pt>
                <c:pt idx="56">
                  <c:v>44781.584027777775</c:v>
                </c:pt>
                <c:pt idx="57">
                  <c:v>44781.594444444447</c:v>
                </c:pt>
                <c:pt idx="58">
                  <c:v>44781.604861111111</c:v>
                </c:pt>
                <c:pt idx="59">
                  <c:v>44781.615277777775</c:v>
                </c:pt>
                <c:pt idx="60">
                  <c:v>44781.625694444447</c:v>
                </c:pt>
                <c:pt idx="61">
                  <c:v>44781.636111111111</c:v>
                </c:pt>
                <c:pt idx="62">
                  <c:v>44781.646527777775</c:v>
                </c:pt>
                <c:pt idx="63">
                  <c:v>44781.656944444447</c:v>
                </c:pt>
                <c:pt idx="64">
                  <c:v>44781.667361111111</c:v>
                </c:pt>
                <c:pt idx="65">
                  <c:v>44781.677777777775</c:v>
                </c:pt>
                <c:pt idx="66">
                  <c:v>44781.688194444447</c:v>
                </c:pt>
                <c:pt idx="67">
                  <c:v>44781.698611111111</c:v>
                </c:pt>
                <c:pt idx="68">
                  <c:v>44781.709027777775</c:v>
                </c:pt>
                <c:pt idx="69">
                  <c:v>44781.719444444447</c:v>
                </c:pt>
                <c:pt idx="70">
                  <c:v>44781.729861111111</c:v>
                </c:pt>
                <c:pt idx="71">
                  <c:v>44781.740277777775</c:v>
                </c:pt>
                <c:pt idx="72">
                  <c:v>44781.750694444447</c:v>
                </c:pt>
                <c:pt idx="73">
                  <c:v>44781.761111111111</c:v>
                </c:pt>
                <c:pt idx="74">
                  <c:v>44781.771527777775</c:v>
                </c:pt>
                <c:pt idx="75">
                  <c:v>44781.781944444447</c:v>
                </c:pt>
                <c:pt idx="76">
                  <c:v>44781.792361111111</c:v>
                </c:pt>
                <c:pt idx="77">
                  <c:v>44781.802777777775</c:v>
                </c:pt>
                <c:pt idx="78">
                  <c:v>44781.813194444447</c:v>
                </c:pt>
                <c:pt idx="79">
                  <c:v>44781.823611111111</c:v>
                </c:pt>
                <c:pt idx="80">
                  <c:v>44781.834027777775</c:v>
                </c:pt>
                <c:pt idx="81">
                  <c:v>44781.844444444447</c:v>
                </c:pt>
                <c:pt idx="82">
                  <c:v>44781.854861111111</c:v>
                </c:pt>
                <c:pt idx="83">
                  <c:v>44781.865277777775</c:v>
                </c:pt>
                <c:pt idx="84">
                  <c:v>44781.875694444447</c:v>
                </c:pt>
                <c:pt idx="85">
                  <c:v>44781.886111111111</c:v>
                </c:pt>
                <c:pt idx="86">
                  <c:v>44781.896527777775</c:v>
                </c:pt>
                <c:pt idx="87">
                  <c:v>44781.906944444447</c:v>
                </c:pt>
                <c:pt idx="88">
                  <c:v>44781.917361111111</c:v>
                </c:pt>
                <c:pt idx="89">
                  <c:v>44781.927777777775</c:v>
                </c:pt>
                <c:pt idx="90">
                  <c:v>44781.938194444447</c:v>
                </c:pt>
                <c:pt idx="91">
                  <c:v>44781.948611111111</c:v>
                </c:pt>
                <c:pt idx="92">
                  <c:v>44781.959027777775</c:v>
                </c:pt>
                <c:pt idx="93">
                  <c:v>44781.969444444447</c:v>
                </c:pt>
                <c:pt idx="94">
                  <c:v>44781.979861111111</c:v>
                </c:pt>
                <c:pt idx="95">
                  <c:v>44781.990277777775</c:v>
                </c:pt>
                <c:pt idx="96">
                  <c:v>44782.000694444447</c:v>
                </c:pt>
              </c:numCache>
            </c:numRef>
          </c:xVal>
          <c:yVal>
            <c:numRef>
              <c:f>storm3_results!$H$35:$H$131</c:f>
              <c:numCache>
                <c:formatCode>General</c:formatCode>
                <c:ptCount val="97"/>
                <c:pt idx="0">
                  <c:v>4.2214043539768199E-3</c:v>
                </c:pt>
                <c:pt idx="1">
                  <c:v>4.1355140429463902E-3</c:v>
                </c:pt>
                <c:pt idx="2">
                  <c:v>3.93937249440072E-3</c:v>
                </c:pt>
                <c:pt idx="3">
                  <c:v>3.7598306188590699E-3</c:v>
                </c:pt>
                <c:pt idx="4">
                  <c:v>3.9930890306564297E-3</c:v>
                </c:pt>
                <c:pt idx="5">
                  <c:v>3.9720545726618798E-3</c:v>
                </c:pt>
                <c:pt idx="6">
                  <c:v>4.0597090080328E-3</c:v>
                </c:pt>
                <c:pt idx="7">
                  <c:v>4.2045191490001303E-3</c:v>
                </c:pt>
                <c:pt idx="8">
                  <c:v>4.5350806438014101E-3</c:v>
                </c:pt>
                <c:pt idx="9">
                  <c:v>4.08218835816358E-3</c:v>
                </c:pt>
                <c:pt idx="10">
                  <c:v>3.9787822523928203E-3</c:v>
                </c:pt>
                <c:pt idx="11">
                  <c:v>3.7123539353702099E-3</c:v>
                </c:pt>
                <c:pt idx="12">
                  <c:v>3.8359472461533101E-3</c:v>
                </c:pt>
                <c:pt idx="13">
                  <c:v>4.0252430949198796E-3</c:v>
                </c:pt>
                <c:pt idx="14">
                  <c:v>3.9450253515288698E-3</c:v>
                </c:pt>
                <c:pt idx="15">
                  <c:v>3.83532372073454E-3</c:v>
                </c:pt>
                <c:pt idx="16">
                  <c:v>3.4385899934590101E-3</c:v>
                </c:pt>
                <c:pt idx="17">
                  <c:v>3.6154305753680598E-3</c:v>
                </c:pt>
                <c:pt idx="18">
                  <c:v>3.8008196010379798E-3</c:v>
                </c:pt>
                <c:pt idx="19">
                  <c:v>3.6928981466345999E-3</c:v>
                </c:pt>
                <c:pt idx="20">
                  <c:v>3.7671015672028699E-3</c:v>
                </c:pt>
                <c:pt idx="21">
                  <c:v>3.6669072629212799E-3</c:v>
                </c:pt>
                <c:pt idx="22">
                  <c:v>3.51542645722361E-3</c:v>
                </c:pt>
                <c:pt idx="23">
                  <c:v>3.5247701643568098E-3</c:v>
                </c:pt>
                <c:pt idx="24">
                  <c:v>3.7332270342890599E-3</c:v>
                </c:pt>
                <c:pt idx="25">
                  <c:v>3.36002607646963E-3</c:v>
                </c:pt>
                <c:pt idx="26">
                  <c:v>3.3001168570297901E-3</c:v>
                </c:pt>
                <c:pt idx="27">
                  <c:v>3.38594871084115E-3</c:v>
                </c:pt>
                <c:pt idx="28">
                  <c:v>3.3154635160283401E-3</c:v>
                </c:pt>
                <c:pt idx="29">
                  <c:v>3.1099516412563602E-3</c:v>
                </c:pt>
                <c:pt idx="30">
                  <c:v>3.2906117940857101E-3</c:v>
                </c:pt>
                <c:pt idx="31">
                  <c:v>3.2625178425159298E-3</c:v>
                </c:pt>
                <c:pt idx="32">
                  <c:v>3.5288885217538099E-3</c:v>
                </c:pt>
                <c:pt idx="33">
                  <c:v>3.4635492241953101E-3</c:v>
                </c:pt>
                <c:pt idx="34">
                  <c:v>3.3382552766769002E-3</c:v>
                </c:pt>
                <c:pt idx="35">
                  <c:v>3.10283704798579E-3</c:v>
                </c:pt>
                <c:pt idx="36">
                  <c:v>3.0290434177092001E-3</c:v>
                </c:pt>
                <c:pt idx="37">
                  <c:v>3.25888723418934E-3</c:v>
                </c:pt>
                <c:pt idx="38">
                  <c:v>2.9743992333987799E-3</c:v>
                </c:pt>
                <c:pt idx="39">
                  <c:v>2.76255448575022E-3</c:v>
                </c:pt>
                <c:pt idx="40">
                  <c:v>2.87937947177902E-3</c:v>
                </c:pt>
                <c:pt idx="41">
                  <c:v>3.2897554368750701E-3</c:v>
                </c:pt>
                <c:pt idx="42">
                  <c:v>3.2656572177539602E-3</c:v>
                </c:pt>
                <c:pt idx="43">
                  <c:v>3.0594164258563599E-3</c:v>
                </c:pt>
                <c:pt idx="44">
                  <c:v>3.12639724555734E-3</c:v>
                </c:pt>
                <c:pt idx="45">
                  <c:v>3.20198169904699E-3</c:v>
                </c:pt>
                <c:pt idx="46">
                  <c:v>3.2555746238574E-3</c:v>
                </c:pt>
                <c:pt idx="47">
                  <c:v>3.3439355965117199E-3</c:v>
                </c:pt>
                <c:pt idx="48">
                  <c:v>3.1490327434539802E-3</c:v>
                </c:pt>
                <c:pt idx="49">
                  <c:v>2.79124916702165E-3</c:v>
                </c:pt>
                <c:pt idx="50">
                  <c:v>3.0475697918924899E-3</c:v>
                </c:pt>
                <c:pt idx="51">
                  <c:v>3.4142584247201799E-3</c:v>
                </c:pt>
                <c:pt idx="52">
                  <c:v>4.9029267827727504E-3</c:v>
                </c:pt>
                <c:pt idx="53">
                  <c:v>6.6168342833052996E-3</c:v>
                </c:pt>
                <c:pt idx="54">
                  <c:v>6.5550655993598401E-3</c:v>
                </c:pt>
                <c:pt idx="55">
                  <c:v>7.0028550550338201E-3</c:v>
                </c:pt>
                <c:pt idx="56">
                  <c:v>1.5239189938143501E-2</c:v>
                </c:pt>
                <c:pt idx="57">
                  <c:v>3.69778228503857E-2</c:v>
                </c:pt>
                <c:pt idx="58">
                  <c:v>6.5132434922791693E-2</c:v>
                </c:pt>
                <c:pt idx="59">
                  <c:v>9.4198046066039196E-2</c:v>
                </c:pt>
                <c:pt idx="60">
                  <c:v>0.11117301127726099</c:v>
                </c:pt>
                <c:pt idx="61">
                  <c:v>9.5120726130380501E-2</c:v>
                </c:pt>
                <c:pt idx="62">
                  <c:v>9.5429424735123003E-2</c:v>
                </c:pt>
                <c:pt idx="63">
                  <c:v>9.0685598882993004E-2</c:v>
                </c:pt>
                <c:pt idx="64">
                  <c:v>7.9608792325490105E-2</c:v>
                </c:pt>
                <c:pt idx="65">
                  <c:v>6.9254094273616298E-2</c:v>
                </c:pt>
                <c:pt idx="66">
                  <c:v>5.8558937655701901E-2</c:v>
                </c:pt>
                <c:pt idx="67">
                  <c:v>4.9909409063400099E-2</c:v>
                </c:pt>
                <c:pt idx="68">
                  <c:v>4.6621464764009302E-2</c:v>
                </c:pt>
                <c:pt idx="69">
                  <c:v>4.1215251613171799E-2</c:v>
                </c:pt>
                <c:pt idx="70">
                  <c:v>3.7896688860561099E-2</c:v>
                </c:pt>
                <c:pt idx="71">
                  <c:v>3.7116012952805498E-2</c:v>
                </c:pt>
                <c:pt idx="72">
                  <c:v>3.8460690871589397E-2</c:v>
                </c:pt>
                <c:pt idx="73">
                  <c:v>3.7285937092730502E-2</c:v>
                </c:pt>
                <c:pt idx="74">
                  <c:v>2.4817690715165899E-2</c:v>
                </c:pt>
                <c:pt idx="75">
                  <c:v>2.4322595482781598E-2</c:v>
                </c:pt>
                <c:pt idx="76">
                  <c:v>2.0006926906232299E-2</c:v>
                </c:pt>
                <c:pt idx="77">
                  <c:v>2.1258590536423601E-2</c:v>
                </c:pt>
                <c:pt idx="78">
                  <c:v>2.2424540445267201E-2</c:v>
                </c:pt>
                <c:pt idx="79">
                  <c:v>1.7619326967609299E-2</c:v>
                </c:pt>
                <c:pt idx="80">
                  <c:v>1.56955665984784E-2</c:v>
                </c:pt>
                <c:pt idx="81">
                  <c:v>1.4970843333007499E-2</c:v>
                </c:pt>
                <c:pt idx="82">
                  <c:v>1.3611249456278099E-2</c:v>
                </c:pt>
                <c:pt idx="83">
                  <c:v>1.0118690940643899E-2</c:v>
                </c:pt>
                <c:pt idx="84">
                  <c:v>1.37709439950159E-2</c:v>
                </c:pt>
                <c:pt idx="85">
                  <c:v>1.41707040747943E-2</c:v>
                </c:pt>
                <c:pt idx="86">
                  <c:v>1.1272176824964701E-2</c:v>
                </c:pt>
                <c:pt idx="87">
                  <c:v>1.19269930508407E-2</c:v>
                </c:pt>
                <c:pt idx="88">
                  <c:v>1.15942291740888E-2</c:v>
                </c:pt>
                <c:pt idx="89">
                  <c:v>1.01524169063487E-2</c:v>
                </c:pt>
                <c:pt idx="90">
                  <c:v>8.6037437582043592E-3</c:v>
                </c:pt>
                <c:pt idx="91">
                  <c:v>7.9246006534368901E-3</c:v>
                </c:pt>
                <c:pt idx="92">
                  <c:v>7.3158004850959598E-3</c:v>
                </c:pt>
                <c:pt idx="93">
                  <c:v>7.2643617683434804E-3</c:v>
                </c:pt>
                <c:pt idx="94">
                  <c:v>7.0447031843164703E-3</c:v>
                </c:pt>
                <c:pt idx="95">
                  <c:v>7.1063398715474997E-3</c:v>
                </c:pt>
                <c:pt idx="96">
                  <c:v>7.5873409581722799E-3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55-49B2-8A25-5B8FC904C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224783"/>
        <c:axId val="389208463"/>
      </c:scatterChart>
      <c:valAx>
        <c:axId val="38922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08463"/>
        <c:crosses val="autoZero"/>
        <c:crossBetween val="midCat"/>
      </c:valAx>
      <c:valAx>
        <c:axId val="3892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22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33</xdr:row>
      <xdr:rowOff>38100</xdr:rowOff>
    </xdr:from>
    <xdr:to>
      <xdr:col>17</xdr:col>
      <xdr:colOff>247651</xdr:colOff>
      <xdr:row>44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8770B3-D282-46AB-9D6D-6F60C9D10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104774</xdr:colOff>
      <xdr:row>46</xdr:row>
      <xdr:rowOff>19050</xdr:rowOff>
    </xdr:from>
    <xdr:to>
      <xdr:col>17</xdr:col>
      <xdr:colOff>200025</xdr:colOff>
      <xdr:row>57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D3F434-1287-4807-9815-3482D12B1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114299</xdr:colOff>
      <xdr:row>58</xdr:row>
      <xdr:rowOff>171450</xdr:rowOff>
    </xdr:from>
    <xdr:to>
      <xdr:col>17</xdr:col>
      <xdr:colOff>209550</xdr:colOff>
      <xdr:row>70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E8F069-F983-4F15-B59D-D8748AC4B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C5CC-EE4E-4D3E-ACAE-DFF5A57EB2DF}">
  <dimension ref="A1:CT131"/>
  <sheetViews>
    <sheetView tabSelected="1" topLeftCell="L34" workbookViewId="0">
      <selection activeCell="AA42" sqref="AA42"/>
    </sheetView>
  </sheetViews>
  <sheetFormatPr defaultRowHeight="14.4" x14ac:dyDescent="0.3"/>
  <cols>
    <col min="1" max="1" width="14.88671875" customWidth="1"/>
    <col min="3" max="3" width="10.88671875" bestFit="1" customWidth="1"/>
  </cols>
  <sheetData>
    <row r="1" spans="1:98" x14ac:dyDescent="0.3">
      <c r="B1" s="1">
        <v>44781.000694444447</v>
      </c>
      <c r="C1" s="1">
        <v>44781.011111111111</v>
      </c>
      <c r="D1" s="1">
        <v>44781.021527777775</v>
      </c>
      <c r="E1" s="1">
        <v>44781.031944444447</v>
      </c>
      <c r="F1" s="1">
        <v>44781.042361111111</v>
      </c>
      <c r="G1" s="1">
        <v>44781.052777777775</v>
      </c>
      <c r="H1" s="1">
        <v>44781.063194444447</v>
      </c>
      <c r="I1" s="1">
        <v>44781.073611111111</v>
      </c>
      <c r="J1" s="1">
        <v>44781.084027777775</v>
      </c>
      <c r="K1" s="1">
        <v>44781.094444444447</v>
      </c>
      <c r="L1" s="1">
        <v>44781.104861111111</v>
      </c>
      <c r="M1" s="1">
        <v>44781.115277777775</v>
      </c>
      <c r="N1" s="1">
        <v>44781.125694444447</v>
      </c>
      <c r="O1" s="1">
        <v>44781.136111111111</v>
      </c>
      <c r="P1" s="1">
        <v>44781.146527777775</v>
      </c>
      <c r="Q1" s="1">
        <v>44781.156944444447</v>
      </c>
      <c r="R1" s="1">
        <v>44781.167361111111</v>
      </c>
      <c r="S1" s="1">
        <v>44781.177777777775</v>
      </c>
      <c r="T1" s="1">
        <v>44781.188194444447</v>
      </c>
      <c r="U1" s="1">
        <v>44781.198611111111</v>
      </c>
      <c r="V1" s="1">
        <v>44781.209027777775</v>
      </c>
      <c r="W1" s="1">
        <v>44781.219444444447</v>
      </c>
      <c r="X1" s="1">
        <v>44781.229861111111</v>
      </c>
      <c r="Y1" s="1">
        <v>44781.240277777775</v>
      </c>
      <c r="Z1" s="1">
        <v>44781.250694444447</v>
      </c>
      <c r="AA1" s="1">
        <v>44781.261111111111</v>
      </c>
      <c r="AB1" s="1">
        <v>44781.271527777775</v>
      </c>
      <c r="AC1" s="1">
        <v>44781.281944444447</v>
      </c>
      <c r="AD1" s="1">
        <v>44781.292361111111</v>
      </c>
      <c r="AE1" s="1">
        <v>44781.302777777775</v>
      </c>
      <c r="AF1" s="1">
        <v>44781.313194444447</v>
      </c>
      <c r="AG1" s="1">
        <v>44781.323611111111</v>
      </c>
      <c r="AH1" s="1">
        <v>44781.334027777775</v>
      </c>
      <c r="AI1" s="1">
        <v>44781.344444444447</v>
      </c>
      <c r="AJ1" s="1">
        <v>44781.354861111111</v>
      </c>
      <c r="AK1" s="1">
        <v>44781.365277777775</v>
      </c>
      <c r="AL1" s="1">
        <v>44781.375694444447</v>
      </c>
      <c r="AM1" s="1">
        <v>44781.386111111111</v>
      </c>
      <c r="AN1" s="1">
        <v>44781.396527777775</v>
      </c>
      <c r="AO1" s="1">
        <v>44781.406944444447</v>
      </c>
      <c r="AP1" s="1">
        <v>44781.417361111111</v>
      </c>
      <c r="AQ1" s="1">
        <v>44781.427777777775</v>
      </c>
      <c r="AR1" s="1">
        <v>44781.438194444447</v>
      </c>
      <c r="AS1" s="1">
        <v>44781.448611111111</v>
      </c>
      <c r="AT1" s="1">
        <v>44781.459027777775</v>
      </c>
      <c r="AU1" s="1">
        <v>44781.469444444447</v>
      </c>
      <c r="AV1" s="1">
        <v>44781.479861111111</v>
      </c>
      <c r="AW1" s="1">
        <v>44781.490277777775</v>
      </c>
      <c r="AX1" s="1">
        <v>44781.500694444447</v>
      </c>
      <c r="AY1" s="1">
        <v>44781.511111111111</v>
      </c>
      <c r="AZ1" s="1">
        <v>44781.521527777775</v>
      </c>
      <c r="BA1" s="1">
        <v>44781.531944444447</v>
      </c>
      <c r="BB1" s="1">
        <v>44781.542361111111</v>
      </c>
      <c r="BC1" s="1">
        <v>44781.552777777775</v>
      </c>
      <c r="BD1" s="1">
        <v>44781.563194444447</v>
      </c>
      <c r="BE1" s="1">
        <v>44781.573611111111</v>
      </c>
      <c r="BF1" s="1">
        <v>44781.584027777775</v>
      </c>
      <c r="BG1" s="1">
        <v>44781.594444444447</v>
      </c>
      <c r="BH1" s="1">
        <v>44781.604861111111</v>
      </c>
      <c r="BI1" s="1">
        <v>44781.615277777775</v>
      </c>
      <c r="BJ1" s="1">
        <v>44781.625694444447</v>
      </c>
      <c r="BK1" s="1">
        <v>44781.636111111111</v>
      </c>
      <c r="BL1" s="1">
        <v>44781.646527777775</v>
      </c>
      <c r="BM1" s="1">
        <v>44781.656944444447</v>
      </c>
      <c r="BN1" s="1">
        <v>44781.667361111111</v>
      </c>
      <c r="BO1" s="1">
        <v>44781.677777777775</v>
      </c>
      <c r="BP1" s="1">
        <v>44781.688194444447</v>
      </c>
      <c r="BQ1" s="1">
        <v>44781.698611111111</v>
      </c>
      <c r="BR1" s="1">
        <v>44781.709027777775</v>
      </c>
      <c r="BS1" s="1">
        <v>44781.719444444447</v>
      </c>
      <c r="BT1" s="1">
        <v>44781.729861111111</v>
      </c>
      <c r="BU1" s="1">
        <v>44781.740277777775</v>
      </c>
      <c r="BV1" s="1">
        <v>44781.750694444447</v>
      </c>
      <c r="BW1" s="1">
        <v>44781.761111111111</v>
      </c>
      <c r="BX1" s="1">
        <v>44781.771527777775</v>
      </c>
      <c r="BY1" s="1">
        <v>44781.781944444447</v>
      </c>
      <c r="BZ1" s="1">
        <v>44781.792361111111</v>
      </c>
      <c r="CA1" s="1">
        <v>44781.802777777775</v>
      </c>
      <c r="CB1" s="1">
        <v>44781.813194444447</v>
      </c>
      <c r="CC1" s="1">
        <v>44781.823611111111</v>
      </c>
      <c r="CD1" s="1">
        <v>44781.834027777775</v>
      </c>
      <c r="CE1" s="1">
        <v>44781.844444444447</v>
      </c>
      <c r="CF1" s="1">
        <v>44781.854861111111</v>
      </c>
      <c r="CG1" s="1">
        <v>44781.865277777775</v>
      </c>
      <c r="CH1" s="1">
        <v>44781.875694444447</v>
      </c>
      <c r="CI1" s="1">
        <v>44781.886111111111</v>
      </c>
      <c r="CJ1" s="1">
        <v>44781.896527777775</v>
      </c>
      <c r="CK1" s="1">
        <v>44781.906944444447</v>
      </c>
      <c r="CL1" s="1">
        <v>44781.917361111111</v>
      </c>
      <c r="CM1" s="1">
        <v>44781.927777777775</v>
      </c>
      <c r="CN1" s="1">
        <v>44781.938194444447</v>
      </c>
      <c r="CO1" s="1">
        <v>44781.948611111111</v>
      </c>
      <c r="CP1" s="1">
        <v>44781.959027777775</v>
      </c>
      <c r="CQ1" s="1">
        <v>44781.969444444447</v>
      </c>
      <c r="CR1" s="1">
        <v>44781.979861111111</v>
      </c>
      <c r="CS1" s="1">
        <v>44781.990277777775</v>
      </c>
      <c r="CT1" s="1">
        <v>44782.000694444447</v>
      </c>
    </row>
    <row r="2" spans="1:98" x14ac:dyDescent="0.3">
      <c r="A2" t="s">
        <v>0</v>
      </c>
      <c r="B2">
        <v>6.0469231439594503E-3</v>
      </c>
      <c r="C2">
        <v>6.56375554635191E-3</v>
      </c>
      <c r="D2">
        <v>7.2204425823677396E-3</v>
      </c>
      <c r="E2">
        <v>4.9163669325153203E-3</v>
      </c>
      <c r="F2">
        <v>6.1432910420409197E-3</v>
      </c>
      <c r="G2">
        <v>5.0617427489876698E-3</v>
      </c>
      <c r="H2">
        <v>6.5557852933517801E-3</v>
      </c>
      <c r="I2">
        <v>7.52871241158087E-3</v>
      </c>
      <c r="J2">
        <v>6.5611424295337999E-3</v>
      </c>
      <c r="K2">
        <v>7.3380045432390904E-3</v>
      </c>
      <c r="L2">
        <v>5.6957477230565297E-3</v>
      </c>
      <c r="M2">
        <v>5.6481304996276703E-3</v>
      </c>
      <c r="N2">
        <v>5.1988495392241204E-3</v>
      </c>
      <c r="O2">
        <v>5.8988777260034304E-3</v>
      </c>
      <c r="P2">
        <v>5.6017388441390696E-3</v>
      </c>
      <c r="Q2">
        <v>5.4404997995698198E-3</v>
      </c>
      <c r="R2">
        <v>5.1089359989938297E-3</v>
      </c>
      <c r="S2">
        <v>5.3707034162350604E-3</v>
      </c>
      <c r="T2">
        <v>5.8773466869862798E-3</v>
      </c>
      <c r="U2">
        <v>5.0061447360213798E-3</v>
      </c>
      <c r="V2">
        <v>5.04844433035272E-3</v>
      </c>
      <c r="W2">
        <v>6.3804371436353103E-3</v>
      </c>
      <c r="X2">
        <v>4.56356600210381E-3</v>
      </c>
      <c r="Y2">
        <v>5.5992226027756402E-3</v>
      </c>
      <c r="Z2">
        <v>5.3684220822813001E-3</v>
      </c>
      <c r="AA2">
        <v>4.5941422717085002E-3</v>
      </c>
      <c r="AB2">
        <v>5.3744022701121804E-3</v>
      </c>
      <c r="AC2">
        <v>4.7606439425484301E-3</v>
      </c>
      <c r="AD2">
        <v>4.4952284162685704E-3</v>
      </c>
      <c r="AE2">
        <v>5.0175661086275403E-3</v>
      </c>
      <c r="AF2">
        <v>5.2176956595004903E-3</v>
      </c>
      <c r="AG2">
        <v>4.9774134811304202E-3</v>
      </c>
      <c r="AH2">
        <v>5.7448168450008399E-3</v>
      </c>
      <c r="AI2">
        <v>6.0881835700110198E-3</v>
      </c>
      <c r="AJ2">
        <v>5.3679535363414799E-3</v>
      </c>
      <c r="AK2">
        <v>4.9211957060063998E-3</v>
      </c>
      <c r="AL2">
        <v>4.7084380599530301E-3</v>
      </c>
      <c r="AM2">
        <v>5.3160367847957402E-3</v>
      </c>
      <c r="AN2">
        <v>4.3226318666192897E-3</v>
      </c>
      <c r="AO2">
        <v>4.65503133411056E-3</v>
      </c>
      <c r="AP2">
        <v>4.9603241773081303E-3</v>
      </c>
      <c r="AQ2">
        <v>4.59958796512926E-3</v>
      </c>
      <c r="AR2">
        <v>5.2048343185654902E-3</v>
      </c>
      <c r="AS2">
        <v>4.22498111988344E-3</v>
      </c>
      <c r="AT2">
        <v>5.10226766732917E-3</v>
      </c>
      <c r="AU2">
        <v>4.3809882203171601E-3</v>
      </c>
      <c r="AV2">
        <v>4.8217006396481903E-3</v>
      </c>
      <c r="AW2">
        <v>4.8660516081840801E-3</v>
      </c>
      <c r="AX2">
        <v>4.2024248391712097E-3</v>
      </c>
      <c r="AY2">
        <v>4.9520539198106396E-3</v>
      </c>
      <c r="AZ2">
        <v>4.9703996341896898E-3</v>
      </c>
      <c r="BA2">
        <v>5.5003071162387802E-3</v>
      </c>
      <c r="BB2">
        <v>7.6506695299502197E-3</v>
      </c>
      <c r="BC2">
        <v>1.04420908899672E-2</v>
      </c>
      <c r="BD2">
        <v>9.6862058472059493E-3</v>
      </c>
      <c r="BE2">
        <v>1.23056027378025E-2</v>
      </c>
      <c r="BF2">
        <v>2.1525909077523799E-2</v>
      </c>
      <c r="BG2">
        <v>4.8026862903487698E-2</v>
      </c>
      <c r="BH2">
        <v>7.9099307862730103E-2</v>
      </c>
      <c r="BI2">
        <v>0.125763766867726</v>
      </c>
      <c r="BJ2">
        <v>0.14898440806176</v>
      </c>
      <c r="BK2">
        <v>0.13069273245333601</v>
      </c>
      <c r="BL2">
        <v>0.118790651501351</v>
      </c>
      <c r="BM2">
        <v>0.12673989217933301</v>
      </c>
      <c r="BN2">
        <v>0.10354758441207899</v>
      </c>
      <c r="BO2">
        <v>9.4201877594349406E-2</v>
      </c>
      <c r="BP2">
        <v>8.5587935763626402E-2</v>
      </c>
      <c r="BQ2">
        <v>7.4458695677547898E-2</v>
      </c>
      <c r="BR2">
        <v>5.6821260966276897E-2</v>
      </c>
      <c r="BS2">
        <v>6.3782830247344602E-2</v>
      </c>
      <c r="BT2">
        <v>5.7784456072931402E-2</v>
      </c>
      <c r="BU2">
        <v>5.09341083626405E-2</v>
      </c>
      <c r="BV2">
        <v>5.7510447425839203E-2</v>
      </c>
      <c r="BW2">
        <v>4.9065347632356503E-2</v>
      </c>
      <c r="BX2">
        <v>4.3548141834394399E-2</v>
      </c>
      <c r="BY2">
        <v>3.4963117041307598E-2</v>
      </c>
      <c r="BZ2">
        <v>3.1753489006234203E-2</v>
      </c>
      <c r="CA2">
        <v>3.7303662119903297E-2</v>
      </c>
      <c r="CB2">
        <v>3.52392289085489E-2</v>
      </c>
      <c r="CC2">
        <v>2.86889963387141E-2</v>
      </c>
      <c r="CD2">
        <v>2.4121373670035199E-2</v>
      </c>
      <c r="CE2">
        <v>2.2651880474234901E-2</v>
      </c>
      <c r="CF2">
        <v>2.25952595003041E-2</v>
      </c>
      <c r="CG2">
        <v>1.6206851920628301E-2</v>
      </c>
      <c r="CH2">
        <v>2.0088667249784201E-2</v>
      </c>
      <c r="CI2">
        <v>2.1843490104407601E-2</v>
      </c>
      <c r="CJ2">
        <v>1.51091693943352E-2</v>
      </c>
      <c r="CK2">
        <v>1.83874188249997E-2</v>
      </c>
      <c r="CL2">
        <v>1.8043770474096801E-2</v>
      </c>
      <c r="CM2">
        <v>1.44813568044581E-2</v>
      </c>
      <c r="CN2">
        <v>1.27571944955887E-2</v>
      </c>
      <c r="CO2">
        <v>1.2274801710485801E-2</v>
      </c>
      <c r="CP2">
        <v>1.0464780666479099E-2</v>
      </c>
      <c r="CQ2">
        <v>1.1066729388304299E-2</v>
      </c>
      <c r="CR2">
        <v>1.0484186866458E-2</v>
      </c>
      <c r="CS2">
        <v>1.08237724901467E-2</v>
      </c>
      <c r="CT2">
        <v>1.28205548613227E-2</v>
      </c>
    </row>
    <row r="3" spans="1:98" x14ac:dyDescent="0.3">
      <c r="A3" t="s">
        <v>1</v>
      </c>
      <c r="B3">
        <v>4.2978366290463803E-3</v>
      </c>
      <c r="C3">
        <v>4.3354804229423999E-3</v>
      </c>
      <c r="D3">
        <v>4.0944428440284402E-3</v>
      </c>
      <c r="E3">
        <v>3.7842686388332202E-3</v>
      </c>
      <c r="F3">
        <v>4.1292433220953698E-3</v>
      </c>
      <c r="G3">
        <v>4.0280544764842996E-3</v>
      </c>
      <c r="H3">
        <v>4.1249052371093598E-3</v>
      </c>
      <c r="I3">
        <v>4.3941123828622596E-3</v>
      </c>
      <c r="J3">
        <v>4.5892224696299899E-3</v>
      </c>
      <c r="K3">
        <v>4.0858377218463797E-3</v>
      </c>
      <c r="L3">
        <v>3.9752375415591096E-3</v>
      </c>
      <c r="M3">
        <v>3.9070010454437896E-3</v>
      </c>
      <c r="N3">
        <v>3.9012524312458702E-3</v>
      </c>
      <c r="O3">
        <v>4.0889586860962199E-3</v>
      </c>
      <c r="P3">
        <v>4.07709574845293E-3</v>
      </c>
      <c r="Q3">
        <v>3.8052749570223398E-3</v>
      </c>
      <c r="R3">
        <v>3.4671254175256102E-3</v>
      </c>
      <c r="S3">
        <v>3.7146140536783601E-3</v>
      </c>
      <c r="T3">
        <v>3.9119781453504504E-3</v>
      </c>
      <c r="U3">
        <v>3.790573677145E-3</v>
      </c>
      <c r="V3">
        <v>3.7308992331199701E-3</v>
      </c>
      <c r="W3">
        <v>3.7388754956157299E-3</v>
      </c>
      <c r="X3">
        <v>3.5030189744991698E-3</v>
      </c>
      <c r="Y3">
        <v>3.5837547039298898E-3</v>
      </c>
      <c r="Z3">
        <v>3.8262493935479502E-3</v>
      </c>
      <c r="AA3">
        <v>3.4106431538840202E-3</v>
      </c>
      <c r="AB3">
        <v>3.3830972671215699E-3</v>
      </c>
      <c r="AC3">
        <v>3.3719429654378999E-3</v>
      </c>
      <c r="AD3">
        <v>3.3679296994318601E-3</v>
      </c>
      <c r="AE3">
        <v>3.2280981077944001E-3</v>
      </c>
      <c r="AF3">
        <v>3.3464846770408199E-3</v>
      </c>
      <c r="AG3">
        <v>3.3800084881188898E-3</v>
      </c>
      <c r="AH3">
        <v>3.5479468852484602E-3</v>
      </c>
      <c r="AI3">
        <v>3.4971172185128199E-3</v>
      </c>
      <c r="AJ3">
        <v>3.4089648339401201E-3</v>
      </c>
      <c r="AK3">
        <v>3.19795330886066E-3</v>
      </c>
      <c r="AL3">
        <v>3.0842268293183399E-3</v>
      </c>
      <c r="AM3">
        <v>3.23353756623539E-3</v>
      </c>
      <c r="AN3">
        <v>3.0068126845065901E-3</v>
      </c>
      <c r="AO3">
        <v>2.93963850044574E-3</v>
      </c>
      <c r="AP3">
        <v>2.99721981099726E-3</v>
      </c>
      <c r="AQ3">
        <v>3.32697779325205E-3</v>
      </c>
      <c r="AR3">
        <v>3.35964134267685E-3</v>
      </c>
      <c r="AS3">
        <v>3.1415377613526101E-3</v>
      </c>
      <c r="AT3">
        <v>3.2232042790338701E-3</v>
      </c>
      <c r="AU3">
        <v>3.17368055431398E-3</v>
      </c>
      <c r="AV3">
        <v>3.2692585681471701E-3</v>
      </c>
      <c r="AW3">
        <v>3.3529127955948799E-3</v>
      </c>
      <c r="AX3">
        <v>3.18324412785109E-3</v>
      </c>
      <c r="AY3">
        <v>2.9297995357477099E-3</v>
      </c>
      <c r="AZ3">
        <v>3.0945842533160999E-3</v>
      </c>
      <c r="BA3">
        <v>3.4653386962368699E-3</v>
      </c>
      <c r="BB3">
        <v>4.9273474325603603E-3</v>
      </c>
      <c r="BC3">
        <v>6.7038398064537402E-3</v>
      </c>
      <c r="BD3">
        <v>6.6912226684940597E-3</v>
      </c>
      <c r="BE3">
        <v>7.32326448834746E-3</v>
      </c>
      <c r="BF3">
        <v>1.55905101081247E-2</v>
      </c>
      <c r="BG3">
        <v>3.80233828784972E-2</v>
      </c>
      <c r="BH3">
        <v>6.5524366909018195E-2</v>
      </c>
      <c r="BI3">
        <v>9.42298996976738E-2</v>
      </c>
      <c r="BJ3">
        <v>0.112317926034409</v>
      </c>
      <c r="BK3">
        <v>9.6872100755935095E-2</v>
      </c>
      <c r="BL3">
        <v>9.6752035820534293E-2</v>
      </c>
      <c r="BM3">
        <v>9.3233783637502704E-2</v>
      </c>
      <c r="BN3">
        <v>7.8904942565815595E-2</v>
      </c>
      <c r="BO3">
        <v>6.84450930757496E-2</v>
      </c>
      <c r="BP3">
        <v>6.0081525752502897E-2</v>
      </c>
      <c r="BQ3">
        <v>5.1293627927884902E-2</v>
      </c>
      <c r="BR3">
        <v>4.67404287310434E-2</v>
      </c>
      <c r="BS3">
        <v>4.2257922573562597E-2</v>
      </c>
      <c r="BT3">
        <v>3.8739828789986601E-2</v>
      </c>
      <c r="BU3">
        <v>3.7215807117580199E-2</v>
      </c>
      <c r="BV3">
        <v>3.9514653670973302E-2</v>
      </c>
      <c r="BW3">
        <v>3.70180763923951E-2</v>
      </c>
      <c r="BX3">
        <v>2.5503627851957401E-2</v>
      </c>
      <c r="BY3">
        <v>2.50185522251191E-2</v>
      </c>
      <c r="BZ3">
        <v>2.06558539457204E-2</v>
      </c>
      <c r="CA3">
        <v>2.1762350545425E-2</v>
      </c>
      <c r="CB3">
        <v>2.26329879273897E-2</v>
      </c>
      <c r="CC3">
        <v>1.8001057081932101E-2</v>
      </c>
      <c r="CD3">
        <v>1.6000665293482201E-2</v>
      </c>
      <c r="CE3">
        <v>1.57360141252402E-2</v>
      </c>
      <c r="CF3">
        <v>1.40880191216453E-2</v>
      </c>
      <c r="CG3">
        <v>1.05603042027095E-2</v>
      </c>
      <c r="CH3">
        <v>1.3881305638617201E-2</v>
      </c>
      <c r="CI3">
        <v>1.40444217212438E-2</v>
      </c>
      <c r="CJ3">
        <v>1.13685106789185E-2</v>
      </c>
      <c r="CK3">
        <v>1.18473628048879E-2</v>
      </c>
      <c r="CL3">
        <v>1.1524051555923899E-2</v>
      </c>
      <c r="CM3">
        <v>1.02403308021814E-2</v>
      </c>
      <c r="CN3">
        <v>8.6774009883348099E-3</v>
      </c>
      <c r="CO3">
        <v>7.9564659707876302E-3</v>
      </c>
      <c r="CP3">
        <v>7.47733264156178E-3</v>
      </c>
      <c r="CQ3">
        <v>7.3748166462134397E-3</v>
      </c>
      <c r="CR3">
        <v>7.17855054991499E-3</v>
      </c>
      <c r="CS3">
        <v>7.3793974429948997E-3</v>
      </c>
      <c r="CT3">
        <v>7.7682894860226503E-3</v>
      </c>
    </row>
    <row r="4" spans="1:98" x14ac:dyDescent="0.3">
      <c r="A4" t="s">
        <v>2</v>
      </c>
      <c r="B4">
        <v>4.2214043539768199E-3</v>
      </c>
      <c r="C4">
        <v>4.1355140429463902E-3</v>
      </c>
      <c r="D4">
        <v>3.93937249440072E-3</v>
      </c>
      <c r="E4">
        <v>3.7598306188590699E-3</v>
      </c>
      <c r="F4">
        <v>3.9930890306564297E-3</v>
      </c>
      <c r="G4">
        <v>3.9720545726618798E-3</v>
      </c>
      <c r="H4">
        <v>4.0597090080328E-3</v>
      </c>
      <c r="I4">
        <v>4.2045191490001303E-3</v>
      </c>
      <c r="J4">
        <v>4.5350806438014101E-3</v>
      </c>
      <c r="K4">
        <v>4.08218835816358E-3</v>
      </c>
      <c r="L4">
        <v>3.9787822523928203E-3</v>
      </c>
      <c r="M4">
        <v>3.7123539353702099E-3</v>
      </c>
      <c r="N4">
        <v>3.8359472461533101E-3</v>
      </c>
      <c r="O4">
        <v>4.0252430949198796E-3</v>
      </c>
      <c r="P4">
        <v>3.9450253515288698E-3</v>
      </c>
      <c r="Q4">
        <v>3.83532372073454E-3</v>
      </c>
      <c r="R4">
        <v>3.4385899934590101E-3</v>
      </c>
      <c r="S4">
        <v>3.6154305753680598E-3</v>
      </c>
      <c r="T4">
        <v>3.8008196010379798E-3</v>
      </c>
      <c r="U4">
        <v>3.6928981466345999E-3</v>
      </c>
      <c r="V4">
        <v>3.7671015672028699E-3</v>
      </c>
      <c r="W4">
        <v>3.6669072629212799E-3</v>
      </c>
      <c r="X4">
        <v>3.51542645722361E-3</v>
      </c>
      <c r="Y4">
        <v>3.5247701643568098E-3</v>
      </c>
      <c r="Z4">
        <v>3.7332270342890599E-3</v>
      </c>
      <c r="AA4">
        <v>3.36002607646963E-3</v>
      </c>
      <c r="AB4">
        <v>3.3001168570297901E-3</v>
      </c>
      <c r="AC4">
        <v>3.38594871084115E-3</v>
      </c>
      <c r="AD4">
        <v>3.3154635160283401E-3</v>
      </c>
      <c r="AE4">
        <v>3.1099516412563602E-3</v>
      </c>
      <c r="AF4">
        <v>3.2906117940857101E-3</v>
      </c>
      <c r="AG4">
        <v>3.2625178425159298E-3</v>
      </c>
      <c r="AH4">
        <v>3.5288885217538099E-3</v>
      </c>
      <c r="AI4">
        <v>3.4635492241953101E-3</v>
      </c>
      <c r="AJ4">
        <v>3.3382552766769002E-3</v>
      </c>
      <c r="AK4">
        <v>3.10283704798579E-3</v>
      </c>
      <c r="AL4">
        <v>3.0290434177092001E-3</v>
      </c>
      <c r="AM4">
        <v>3.25888723418934E-3</v>
      </c>
      <c r="AN4">
        <v>2.9743992333987799E-3</v>
      </c>
      <c r="AO4">
        <v>2.76255448575022E-3</v>
      </c>
      <c r="AP4">
        <v>2.87937947177902E-3</v>
      </c>
      <c r="AQ4">
        <v>3.2897554368750701E-3</v>
      </c>
      <c r="AR4">
        <v>3.2656572177539602E-3</v>
      </c>
      <c r="AS4">
        <v>3.0594164258563599E-3</v>
      </c>
      <c r="AT4">
        <v>3.12639724555734E-3</v>
      </c>
      <c r="AU4">
        <v>3.20198169904699E-3</v>
      </c>
      <c r="AV4">
        <v>3.2555746238574E-3</v>
      </c>
      <c r="AW4">
        <v>3.3439355965117199E-3</v>
      </c>
      <c r="AX4">
        <v>3.1490327434539802E-3</v>
      </c>
      <c r="AY4">
        <v>2.79124916702165E-3</v>
      </c>
      <c r="AZ4">
        <v>3.0475697918924899E-3</v>
      </c>
      <c r="BA4">
        <v>3.4142584247201799E-3</v>
      </c>
      <c r="BB4">
        <v>4.9029267827727504E-3</v>
      </c>
      <c r="BC4">
        <v>6.6168342833052996E-3</v>
      </c>
      <c r="BD4">
        <v>6.5550655993598401E-3</v>
      </c>
      <c r="BE4">
        <v>7.0028550550338201E-3</v>
      </c>
      <c r="BF4">
        <v>1.5239189938143501E-2</v>
      </c>
      <c r="BG4">
        <v>3.69778228503857E-2</v>
      </c>
      <c r="BH4">
        <v>6.5132434922791693E-2</v>
      </c>
      <c r="BI4">
        <v>9.4198046066039196E-2</v>
      </c>
      <c r="BJ4">
        <v>0.11117301127726099</v>
      </c>
      <c r="BK4">
        <v>9.5120726130380501E-2</v>
      </c>
      <c r="BL4">
        <v>9.5429424735123003E-2</v>
      </c>
      <c r="BM4">
        <v>9.0685598882993004E-2</v>
      </c>
      <c r="BN4">
        <v>7.9608792325490105E-2</v>
      </c>
      <c r="BO4">
        <v>6.9254094273616298E-2</v>
      </c>
      <c r="BP4">
        <v>5.8558937655701901E-2</v>
      </c>
      <c r="BQ4">
        <v>4.9909409063400099E-2</v>
      </c>
      <c r="BR4">
        <v>4.6621464764009302E-2</v>
      </c>
      <c r="BS4">
        <v>4.1215251613171799E-2</v>
      </c>
      <c r="BT4">
        <v>3.7896688860561099E-2</v>
      </c>
      <c r="BU4">
        <v>3.7116012952805498E-2</v>
      </c>
      <c r="BV4">
        <v>3.8460690871589397E-2</v>
      </c>
      <c r="BW4">
        <v>3.7285937092730502E-2</v>
      </c>
      <c r="BX4">
        <v>2.4817690715165899E-2</v>
      </c>
      <c r="BY4">
        <v>2.4322595482781598E-2</v>
      </c>
      <c r="BZ4">
        <v>2.0006926906232299E-2</v>
      </c>
      <c r="CA4">
        <v>2.1258590536423601E-2</v>
      </c>
      <c r="CB4">
        <v>2.2424540445267201E-2</v>
      </c>
      <c r="CC4">
        <v>1.7619326967609299E-2</v>
      </c>
      <c r="CD4">
        <v>1.56955665984784E-2</v>
      </c>
      <c r="CE4">
        <v>1.4970843333007499E-2</v>
      </c>
      <c r="CF4">
        <v>1.3611249456278099E-2</v>
      </c>
      <c r="CG4">
        <v>1.0118690940643899E-2</v>
      </c>
      <c r="CH4">
        <v>1.37709439950159E-2</v>
      </c>
      <c r="CI4">
        <v>1.41707040747943E-2</v>
      </c>
      <c r="CJ4">
        <v>1.1272176824964701E-2</v>
      </c>
      <c r="CK4">
        <v>1.19269930508407E-2</v>
      </c>
      <c r="CL4">
        <v>1.15942291740888E-2</v>
      </c>
      <c r="CM4">
        <v>1.01524169063487E-2</v>
      </c>
      <c r="CN4">
        <v>8.6037437582043592E-3</v>
      </c>
      <c r="CO4">
        <v>7.9246006534368901E-3</v>
      </c>
      <c r="CP4">
        <v>7.3158004850959598E-3</v>
      </c>
      <c r="CQ4">
        <v>7.2643617683434804E-3</v>
      </c>
      <c r="CR4">
        <v>7.0447031843164703E-3</v>
      </c>
      <c r="CS4">
        <v>7.1063398715474997E-3</v>
      </c>
      <c r="CT4">
        <v>7.5873409581722799E-3</v>
      </c>
    </row>
    <row r="5" spans="1:98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4</v>
      </c>
      <c r="BH6">
        <v>28</v>
      </c>
      <c r="BI6">
        <v>138</v>
      </c>
      <c r="BJ6">
        <v>251</v>
      </c>
      <c r="BK6">
        <v>142</v>
      </c>
      <c r="BL6">
        <v>165</v>
      </c>
      <c r="BM6">
        <v>158</v>
      </c>
      <c r="BN6">
        <v>87</v>
      </c>
      <c r="BO6">
        <v>59</v>
      </c>
      <c r="BP6">
        <v>56</v>
      </c>
      <c r="BQ6">
        <v>36</v>
      </c>
      <c r="BR6">
        <v>16</v>
      </c>
      <c r="BS6">
        <v>19</v>
      </c>
      <c r="BT6">
        <v>15</v>
      </c>
      <c r="BU6">
        <v>2</v>
      </c>
      <c r="BV6">
        <v>8</v>
      </c>
      <c r="BW6">
        <v>4</v>
      </c>
      <c r="BX6">
        <v>4</v>
      </c>
      <c r="BY6">
        <v>2</v>
      </c>
      <c r="BZ6">
        <v>4</v>
      </c>
      <c r="CA6">
        <v>8</v>
      </c>
      <c r="CB6">
        <v>2</v>
      </c>
      <c r="CC6">
        <v>3</v>
      </c>
      <c r="CD6">
        <v>1</v>
      </c>
      <c r="CE6">
        <v>0</v>
      </c>
      <c r="CF6">
        <v>2</v>
      </c>
      <c r="CG6">
        <v>0</v>
      </c>
      <c r="CH6">
        <v>0</v>
      </c>
      <c r="CI6">
        <v>0</v>
      </c>
      <c r="CJ6">
        <v>0</v>
      </c>
      <c r="CK6">
        <v>0</v>
      </c>
      <c r="CL6">
        <v>2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3">
      <c r="A7" t="s">
        <v>5</v>
      </c>
      <c r="B7">
        <v>2</v>
      </c>
      <c r="C7">
        <v>0</v>
      </c>
      <c r="D7">
        <v>1</v>
      </c>
      <c r="E7">
        <v>2</v>
      </c>
      <c r="F7">
        <v>2</v>
      </c>
      <c r="G7">
        <v>0</v>
      </c>
      <c r="H7">
        <v>1</v>
      </c>
      <c r="I7">
        <v>0</v>
      </c>
      <c r="J7">
        <v>1</v>
      </c>
      <c r="K7">
        <v>0</v>
      </c>
      <c r="L7">
        <v>2</v>
      </c>
      <c r="M7">
        <v>1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3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2</v>
      </c>
      <c r="BB7">
        <v>3</v>
      </c>
      <c r="BC7">
        <v>9</v>
      </c>
      <c r="BD7">
        <v>7</v>
      </c>
      <c r="BE7">
        <v>10</v>
      </c>
      <c r="BF7">
        <v>42</v>
      </c>
      <c r="BG7">
        <v>683</v>
      </c>
      <c r="BH7">
        <v>3568</v>
      </c>
      <c r="BI7">
        <v>7808</v>
      </c>
      <c r="BJ7">
        <v>10425</v>
      </c>
      <c r="BK7">
        <v>8178</v>
      </c>
      <c r="BL7">
        <v>7960</v>
      </c>
      <c r="BM7">
        <v>7371</v>
      </c>
      <c r="BN7">
        <v>5423</v>
      </c>
      <c r="BO7">
        <v>3949</v>
      </c>
      <c r="BP7">
        <v>2698</v>
      </c>
      <c r="BQ7">
        <v>1864</v>
      </c>
      <c r="BR7">
        <v>1374</v>
      </c>
      <c r="BS7">
        <v>1136</v>
      </c>
      <c r="BT7">
        <v>742</v>
      </c>
      <c r="BU7">
        <v>753</v>
      </c>
      <c r="BV7">
        <v>882</v>
      </c>
      <c r="BW7">
        <v>728</v>
      </c>
      <c r="BX7">
        <v>273</v>
      </c>
      <c r="BY7">
        <v>234</v>
      </c>
      <c r="BZ7">
        <v>193</v>
      </c>
      <c r="CA7">
        <v>191</v>
      </c>
      <c r="CB7">
        <v>255</v>
      </c>
      <c r="CC7">
        <v>142</v>
      </c>
      <c r="CD7">
        <v>100</v>
      </c>
      <c r="CE7">
        <v>87</v>
      </c>
      <c r="CF7">
        <v>65</v>
      </c>
      <c r="CG7">
        <v>34</v>
      </c>
      <c r="CH7">
        <v>88</v>
      </c>
      <c r="CI7">
        <v>61</v>
      </c>
      <c r="CJ7">
        <v>30</v>
      </c>
      <c r="CK7">
        <v>55</v>
      </c>
      <c r="CL7">
        <v>41</v>
      </c>
      <c r="CM7">
        <v>30</v>
      </c>
      <c r="CN7">
        <v>23</v>
      </c>
      <c r="CO7">
        <v>20</v>
      </c>
      <c r="CP7">
        <v>9</v>
      </c>
      <c r="CQ7">
        <v>13</v>
      </c>
      <c r="CR7">
        <v>6</v>
      </c>
      <c r="CS7">
        <v>8</v>
      </c>
      <c r="CT7">
        <v>14</v>
      </c>
    </row>
    <row r="8" spans="1:98" x14ac:dyDescent="0.3">
      <c r="A8" t="s">
        <v>6</v>
      </c>
      <c r="B8">
        <v>146</v>
      </c>
      <c r="C8">
        <v>129</v>
      </c>
      <c r="D8">
        <v>120</v>
      </c>
      <c r="E8">
        <v>100</v>
      </c>
      <c r="F8">
        <v>121</v>
      </c>
      <c r="G8">
        <v>134</v>
      </c>
      <c r="H8">
        <v>133</v>
      </c>
      <c r="I8">
        <v>170</v>
      </c>
      <c r="J8">
        <v>154</v>
      </c>
      <c r="K8">
        <v>107</v>
      </c>
      <c r="L8">
        <v>119</v>
      </c>
      <c r="M8">
        <v>129</v>
      </c>
      <c r="N8">
        <v>102</v>
      </c>
      <c r="O8">
        <v>124</v>
      </c>
      <c r="P8">
        <v>113</v>
      </c>
      <c r="Q8">
        <v>105</v>
      </c>
      <c r="R8">
        <v>63</v>
      </c>
      <c r="S8">
        <v>96</v>
      </c>
      <c r="T8">
        <v>107</v>
      </c>
      <c r="U8">
        <v>95</v>
      </c>
      <c r="V8">
        <v>71</v>
      </c>
      <c r="W8">
        <v>92</v>
      </c>
      <c r="X8">
        <v>80</v>
      </c>
      <c r="Y8">
        <v>89</v>
      </c>
      <c r="Z8">
        <v>114</v>
      </c>
      <c r="AA8">
        <v>70</v>
      </c>
      <c r="AB8">
        <v>89</v>
      </c>
      <c r="AC8">
        <v>62</v>
      </c>
      <c r="AD8">
        <v>65</v>
      </c>
      <c r="AE8">
        <v>59</v>
      </c>
      <c r="AF8">
        <v>76</v>
      </c>
      <c r="AG8">
        <v>69</v>
      </c>
      <c r="AH8">
        <v>90</v>
      </c>
      <c r="AI8">
        <v>83</v>
      </c>
      <c r="AJ8">
        <v>79</v>
      </c>
      <c r="AK8">
        <v>67</v>
      </c>
      <c r="AL8">
        <v>72</v>
      </c>
      <c r="AM8">
        <v>64</v>
      </c>
      <c r="AN8">
        <v>68</v>
      </c>
      <c r="AO8">
        <v>67</v>
      </c>
      <c r="AP8">
        <v>52</v>
      </c>
      <c r="AQ8">
        <v>74</v>
      </c>
      <c r="AR8">
        <v>73</v>
      </c>
      <c r="AS8">
        <v>72</v>
      </c>
      <c r="AT8">
        <v>64</v>
      </c>
      <c r="AU8">
        <v>69</v>
      </c>
      <c r="AV8">
        <v>61</v>
      </c>
      <c r="AW8">
        <v>86</v>
      </c>
      <c r="AX8">
        <v>60</v>
      </c>
      <c r="AY8">
        <v>65</v>
      </c>
      <c r="AZ8">
        <v>62</v>
      </c>
      <c r="BA8">
        <v>94</v>
      </c>
      <c r="BB8">
        <v>201</v>
      </c>
      <c r="BC8">
        <v>476</v>
      </c>
      <c r="BD8">
        <v>463</v>
      </c>
      <c r="BE8">
        <v>520</v>
      </c>
      <c r="BF8">
        <v>2895</v>
      </c>
      <c r="BG8">
        <v>14547</v>
      </c>
      <c r="BH8">
        <v>13719</v>
      </c>
      <c r="BI8">
        <v>11373</v>
      </c>
      <c r="BJ8">
        <v>10294</v>
      </c>
      <c r="BK8">
        <v>11587</v>
      </c>
      <c r="BL8">
        <v>11780</v>
      </c>
      <c r="BM8">
        <v>11990</v>
      </c>
      <c r="BN8">
        <v>13174</v>
      </c>
      <c r="BO8">
        <v>13908</v>
      </c>
      <c r="BP8">
        <v>14408</v>
      </c>
      <c r="BQ8">
        <v>14458</v>
      </c>
      <c r="BR8">
        <v>14483</v>
      </c>
      <c r="BS8">
        <v>13434</v>
      </c>
      <c r="BT8">
        <v>13621</v>
      </c>
      <c r="BU8">
        <v>12979</v>
      </c>
      <c r="BV8">
        <v>13980</v>
      </c>
      <c r="BW8">
        <v>12931</v>
      </c>
      <c r="BX8">
        <v>7951</v>
      </c>
      <c r="BY8">
        <v>7975</v>
      </c>
      <c r="BZ8">
        <v>4753</v>
      </c>
      <c r="CA8">
        <v>5269</v>
      </c>
      <c r="CB8">
        <v>5890</v>
      </c>
      <c r="CC8">
        <v>3784</v>
      </c>
      <c r="CD8">
        <v>2853</v>
      </c>
      <c r="CE8">
        <v>2923</v>
      </c>
      <c r="CF8">
        <v>2085</v>
      </c>
      <c r="CG8">
        <v>1119</v>
      </c>
      <c r="CH8">
        <v>2063</v>
      </c>
      <c r="CI8">
        <v>2173</v>
      </c>
      <c r="CJ8">
        <v>1294</v>
      </c>
      <c r="CK8">
        <v>1456</v>
      </c>
      <c r="CL8">
        <v>1360</v>
      </c>
      <c r="CM8">
        <v>1105</v>
      </c>
      <c r="CN8">
        <v>765</v>
      </c>
      <c r="CO8">
        <v>551</v>
      </c>
      <c r="CP8">
        <v>499</v>
      </c>
      <c r="CQ8">
        <v>542</v>
      </c>
      <c r="CR8">
        <v>461</v>
      </c>
      <c r="CS8">
        <v>524</v>
      </c>
      <c r="CT8">
        <v>537</v>
      </c>
    </row>
    <row r="9" spans="1:98" x14ac:dyDescent="0.3">
      <c r="A9" t="s">
        <v>7</v>
      </c>
      <c r="B9">
        <v>3043</v>
      </c>
      <c r="C9">
        <v>3138</v>
      </c>
      <c r="D9">
        <v>2678</v>
      </c>
      <c r="E9">
        <v>2406</v>
      </c>
      <c r="F9">
        <v>2750</v>
      </c>
      <c r="G9">
        <v>2701</v>
      </c>
      <c r="H9">
        <v>2761</v>
      </c>
      <c r="I9">
        <v>3071</v>
      </c>
      <c r="J9">
        <v>3341</v>
      </c>
      <c r="K9">
        <v>2845</v>
      </c>
      <c r="L9">
        <v>2568</v>
      </c>
      <c r="M9">
        <v>2553</v>
      </c>
      <c r="N9">
        <v>2587</v>
      </c>
      <c r="O9">
        <v>2760</v>
      </c>
      <c r="P9">
        <v>2885</v>
      </c>
      <c r="Q9">
        <v>2337</v>
      </c>
      <c r="R9">
        <v>2020</v>
      </c>
      <c r="S9">
        <v>2229</v>
      </c>
      <c r="T9">
        <v>2504</v>
      </c>
      <c r="U9">
        <v>2491</v>
      </c>
      <c r="V9">
        <v>2297</v>
      </c>
      <c r="W9">
        <v>2124</v>
      </c>
      <c r="X9">
        <v>2129</v>
      </c>
      <c r="Y9">
        <v>2097</v>
      </c>
      <c r="Z9">
        <v>2311</v>
      </c>
      <c r="AA9">
        <v>2042</v>
      </c>
      <c r="AB9">
        <v>1820</v>
      </c>
      <c r="AC9">
        <v>1951</v>
      </c>
      <c r="AD9">
        <v>1967</v>
      </c>
      <c r="AE9">
        <v>1611</v>
      </c>
      <c r="AF9">
        <v>1785</v>
      </c>
      <c r="AG9">
        <v>1948</v>
      </c>
      <c r="AH9">
        <v>2086</v>
      </c>
      <c r="AI9">
        <v>1971</v>
      </c>
      <c r="AJ9">
        <v>1915</v>
      </c>
      <c r="AK9">
        <v>1641</v>
      </c>
      <c r="AL9">
        <v>1499</v>
      </c>
      <c r="AM9">
        <v>1684</v>
      </c>
      <c r="AN9">
        <v>1466</v>
      </c>
      <c r="AO9">
        <v>1370</v>
      </c>
      <c r="AP9">
        <v>1493</v>
      </c>
      <c r="AQ9">
        <v>1685</v>
      </c>
      <c r="AR9">
        <v>1766</v>
      </c>
      <c r="AS9">
        <v>1630</v>
      </c>
      <c r="AT9">
        <v>1639</v>
      </c>
      <c r="AU9">
        <v>1578</v>
      </c>
      <c r="AV9">
        <v>1714</v>
      </c>
      <c r="AW9">
        <v>1827</v>
      </c>
      <c r="AX9">
        <v>1621</v>
      </c>
      <c r="AY9">
        <v>1337</v>
      </c>
      <c r="AZ9">
        <v>1597</v>
      </c>
      <c r="BA9">
        <v>1858</v>
      </c>
      <c r="BB9">
        <v>3550</v>
      </c>
      <c r="BC9">
        <v>5564</v>
      </c>
      <c r="BD9">
        <v>5959</v>
      </c>
      <c r="BE9">
        <v>6940</v>
      </c>
      <c r="BF9">
        <v>15000</v>
      </c>
      <c r="BG9">
        <v>8308</v>
      </c>
      <c r="BH9">
        <v>4721</v>
      </c>
      <c r="BI9">
        <v>3365</v>
      </c>
      <c r="BJ9">
        <v>2886</v>
      </c>
      <c r="BK9">
        <v>3430</v>
      </c>
      <c r="BL9">
        <v>3346</v>
      </c>
      <c r="BM9">
        <v>3548</v>
      </c>
      <c r="BN9">
        <v>4249</v>
      </c>
      <c r="BO9">
        <v>4932</v>
      </c>
      <c r="BP9">
        <v>5670</v>
      </c>
      <c r="BQ9">
        <v>6522</v>
      </c>
      <c r="BR9">
        <v>6651</v>
      </c>
      <c r="BS9">
        <v>7775</v>
      </c>
      <c r="BT9">
        <v>7715</v>
      </c>
      <c r="BU9">
        <v>8422</v>
      </c>
      <c r="BV9">
        <v>7939</v>
      </c>
      <c r="BW9">
        <v>8274</v>
      </c>
      <c r="BX9">
        <v>11520</v>
      </c>
      <c r="BY9">
        <v>11332</v>
      </c>
      <c r="BZ9">
        <v>13364</v>
      </c>
      <c r="CA9">
        <v>13041</v>
      </c>
      <c r="CB9">
        <v>12611</v>
      </c>
      <c r="CC9">
        <v>14139</v>
      </c>
      <c r="CD9">
        <v>14234</v>
      </c>
      <c r="CE9">
        <v>14425</v>
      </c>
      <c r="CF9">
        <v>14373</v>
      </c>
      <c r="CG9">
        <v>12900</v>
      </c>
      <c r="CH9">
        <v>14661</v>
      </c>
      <c r="CI9">
        <v>14763</v>
      </c>
      <c r="CJ9">
        <v>13320</v>
      </c>
      <c r="CK9">
        <v>13836</v>
      </c>
      <c r="CL9">
        <v>13406</v>
      </c>
      <c r="CM9">
        <v>12001</v>
      </c>
      <c r="CN9">
        <v>10000</v>
      </c>
      <c r="CO9">
        <v>8565</v>
      </c>
      <c r="CP9">
        <v>8593</v>
      </c>
      <c r="CQ9">
        <v>7933</v>
      </c>
      <c r="CR9">
        <v>7813</v>
      </c>
      <c r="CS9">
        <v>8072</v>
      </c>
      <c r="CT9">
        <v>8295</v>
      </c>
    </row>
    <row r="10" spans="1:98" x14ac:dyDescent="0.3">
      <c r="A10" t="s">
        <v>8</v>
      </c>
      <c r="B10">
        <v>13091</v>
      </c>
      <c r="C10">
        <v>12878</v>
      </c>
      <c r="D10">
        <v>12766</v>
      </c>
      <c r="E10">
        <v>13048</v>
      </c>
      <c r="F10">
        <v>13155</v>
      </c>
      <c r="G10">
        <v>12865</v>
      </c>
      <c r="H10">
        <v>12882</v>
      </c>
      <c r="I10">
        <v>13036</v>
      </c>
      <c r="J10">
        <v>13181</v>
      </c>
      <c r="K10">
        <v>13235</v>
      </c>
      <c r="L10">
        <v>13241</v>
      </c>
      <c r="M10">
        <v>13040</v>
      </c>
      <c r="N10">
        <v>12889</v>
      </c>
      <c r="O10">
        <v>13147</v>
      </c>
      <c r="P10">
        <v>13207</v>
      </c>
      <c r="Q10">
        <v>12763</v>
      </c>
      <c r="R10">
        <v>12685</v>
      </c>
      <c r="S10">
        <v>12490</v>
      </c>
      <c r="T10">
        <v>12716</v>
      </c>
      <c r="U10">
        <v>12973</v>
      </c>
      <c r="V10">
        <v>12563</v>
      </c>
      <c r="W10">
        <v>12725</v>
      </c>
      <c r="X10">
        <v>12590</v>
      </c>
      <c r="Y10">
        <v>12483</v>
      </c>
      <c r="Z10">
        <v>12994</v>
      </c>
      <c r="AA10">
        <v>13137</v>
      </c>
      <c r="AB10">
        <v>12525</v>
      </c>
      <c r="AC10">
        <v>13082</v>
      </c>
      <c r="AD10">
        <v>12371</v>
      </c>
      <c r="AE10">
        <v>12127</v>
      </c>
      <c r="AF10">
        <v>12680</v>
      </c>
      <c r="AG10">
        <v>12664</v>
      </c>
      <c r="AH10">
        <v>12758</v>
      </c>
      <c r="AI10">
        <v>12747</v>
      </c>
      <c r="AJ10">
        <v>12582</v>
      </c>
      <c r="AK10">
        <v>12181</v>
      </c>
      <c r="AL10">
        <v>11678</v>
      </c>
      <c r="AM10">
        <v>11931</v>
      </c>
      <c r="AN10">
        <v>11460</v>
      </c>
      <c r="AO10">
        <v>11423</v>
      </c>
      <c r="AP10">
        <v>11405</v>
      </c>
      <c r="AQ10">
        <v>13501</v>
      </c>
      <c r="AR10">
        <v>12049</v>
      </c>
      <c r="AS10">
        <v>12017</v>
      </c>
      <c r="AT10">
        <v>11740</v>
      </c>
      <c r="AU10">
        <v>11588</v>
      </c>
      <c r="AV10">
        <v>12028</v>
      </c>
      <c r="AW10">
        <v>12398</v>
      </c>
      <c r="AX10">
        <v>11575</v>
      </c>
      <c r="AY10">
        <v>11261</v>
      </c>
      <c r="AZ10">
        <v>11624</v>
      </c>
      <c r="BA10">
        <v>12736</v>
      </c>
      <c r="BB10">
        <v>13077</v>
      </c>
      <c r="BC10">
        <v>12072</v>
      </c>
      <c r="BD10">
        <v>12105</v>
      </c>
      <c r="BE10">
        <v>11543</v>
      </c>
      <c r="BF10">
        <v>5277</v>
      </c>
      <c r="BG10">
        <v>2271</v>
      </c>
      <c r="BH10">
        <v>1187</v>
      </c>
      <c r="BI10">
        <v>759</v>
      </c>
      <c r="BJ10">
        <v>622</v>
      </c>
      <c r="BK10">
        <v>820</v>
      </c>
      <c r="BL10">
        <v>735</v>
      </c>
      <c r="BM10">
        <v>806</v>
      </c>
      <c r="BN10">
        <v>1018</v>
      </c>
      <c r="BO10">
        <v>1225</v>
      </c>
      <c r="BP10">
        <v>1442</v>
      </c>
      <c r="BQ10">
        <v>1607</v>
      </c>
      <c r="BR10">
        <v>1710</v>
      </c>
      <c r="BS10">
        <v>1994</v>
      </c>
      <c r="BT10">
        <v>2024</v>
      </c>
      <c r="BU10">
        <v>2245</v>
      </c>
      <c r="BV10">
        <v>2080</v>
      </c>
      <c r="BW10">
        <v>2245</v>
      </c>
      <c r="BX10">
        <v>3297</v>
      </c>
      <c r="BY10">
        <v>3317</v>
      </c>
      <c r="BZ10">
        <v>4418</v>
      </c>
      <c r="CA10">
        <v>4284</v>
      </c>
      <c r="CB10">
        <v>4101</v>
      </c>
      <c r="CC10">
        <v>5062</v>
      </c>
      <c r="CD10">
        <v>5704</v>
      </c>
      <c r="CE10">
        <v>5740</v>
      </c>
      <c r="CF10">
        <v>6569</v>
      </c>
      <c r="CG10">
        <v>8329</v>
      </c>
      <c r="CH10">
        <v>6703</v>
      </c>
      <c r="CI10">
        <v>6334</v>
      </c>
      <c r="CJ10">
        <v>7899</v>
      </c>
      <c r="CK10">
        <v>7881</v>
      </c>
      <c r="CL10">
        <v>7892</v>
      </c>
      <c r="CM10">
        <v>8814</v>
      </c>
      <c r="CN10">
        <v>10344</v>
      </c>
      <c r="CO10">
        <v>10906</v>
      </c>
      <c r="CP10">
        <v>11201</v>
      </c>
      <c r="CQ10">
        <v>11405</v>
      </c>
      <c r="CR10">
        <v>11624</v>
      </c>
      <c r="CS10">
        <v>11216</v>
      </c>
      <c r="CT10">
        <v>10989</v>
      </c>
    </row>
    <row r="11" spans="1:98" x14ac:dyDescent="0.3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0.125763766867726</v>
      </c>
      <c r="BJ11">
        <v>0</v>
      </c>
      <c r="BK11">
        <v>0</v>
      </c>
      <c r="BL11">
        <v>0</v>
      </c>
      <c r="BM11">
        <v>0.12088915246210501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4.3548141834394399E-2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3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0.125763766867726</v>
      </c>
      <c r="BJ12">
        <v>0</v>
      </c>
      <c r="BK12">
        <v>0</v>
      </c>
      <c r="BL12">
        <v>0</v>
      </c>
      <c r="BM12">
        <v>0.12088915246210501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4.3548141834394399E-2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0.125763766867726</v>
      </c>
      <c r="BJ13">
        <v>0</v>
      </c>
      <c r="BK13">
        <v>0</v>
      </c>
      <c r="BL13">
        <v>0</v>
      </c>
      <c r="BM13">
        <v>0.12088915246210501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4.3548141834394399E-2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3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7.7416508243157198E-2</v>
      </c>
      <c r="BG14">
        <v>0.19002098695699299</v>
      </c>
      <c r="BH14">
        <v>0.31532247800125401</v>
      </c>
      <c r="BI14">
        <v>0.503055067470906</v>
      </c>
      <c r="BJ14">
        <v>0.59593763224704199</v>
      </c>
      <c r="BK14">
        <v>0.52277092981334505</v>
      </c>
      <c r="BL14">
        <v>0.475162606005406</v>
      </c>
      <c r="BM14">
        <v>0.50695956871733305</v>
      </c>
      <c r="BN14">
        <v>0.41419033764831598</v>
      </c>
      <c r="BO14">
        <v>0.37680751037739701</v>
      </c>
      <c r="BP14">
        <v>0.342351743054505</v>
      </c>
      <c r="BQ14">
        <v>0.29783478271019098</v>
      </c>
      <c r="BR14">
        <v>0.22728504386510701</v>
      </c>
      <c r="BS14">
        <v>0.25513132098937802</v>
      </c>
      <c r="BT14">
        <v>0.21350535170566301</v>
      </c>
      <c r="BU14">
        <v>0.16128756703780001</v>
      </c>
      <c r="BV14">
        <v>0.215085313667017</v>
      </c>
      <c r="BW14">
        <v>0.19626139052942601</v>
      </c>
      <c r="BX14">
        <v>0.17419256733757699</v>
      </c>
      <c r="BY14">
        <v>0.115449864014757</v>
      </c>
      <c r="BZ14">
        <v>0.12701395602493701</v>
      </c>
      <c r="CA14">
        <v>0.14921464847961299</v>
      </c>
      <c r="CB14">
        <v>0.14095691563419499</v>
      </c>
      <c r="CC14">
        <v>0.105214261238434</v>
      </c>
      <c r="CD14">
        <v>7.0692255439539706E-2</v>
      </c>
      <c r="CE14">
        <v>0</v>
      </c>
      <c r="CF14">
        <v>8.6374031166060697E-2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7.2175081896387203E-2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3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7.7416508243157198E-2</v>
      </c>
      <c r="BG15">
        <v>0.16687333061159601</v>
      </c>
      <c r="BH15">
        <v>0.27320630109071198</v>
      </c>
      <c r="BI15">
        <v>0.38914955760374298</v>
      </c>
      <c r="BJ15">
        <v>0.45707255569017602</v>
      </c>
      <c r="BK15">
        <v>0.399645332271375</v>
      </c>
      <c r="BL15">
        <v>0.39932260821000398</v>
      </c>
      <c r="BM15">
        <v>0.38113302085280198</v>
      </c>
      <c r="BN15">
        <v>0.32906974642658499</v>
      </c>
      <c r="BO15">
        <v>0.28976183687448298</v>
      </c>
      <c r="BP15">
        <v>0.25743432616897399</v>
      </c>
      <c r="BQ15">
        <v>0.2293849210536</v>
      </c>
      <c r="BR15">
        <v>0.20380909994634899</v>
      </c>
      <c r="BS15">
        <v>0.194812383806345</v>
      </c>
      <c r="BT15">
        <v>0.17798061940836399</v>
      </c>
      <c r="BU15">
        <v>0.154824439758946</v>
      </c>
      <c r="BV15">
        <v>0.17193507237317901</v>
      </c>
      <c r="BW15">
        <v>0.172667098767842</v>
      </c>
      <c r="BX15">
        <v>0.1291617586147</v>
      </c>
      <c r="BY15">
        <v>0.11084173259006599</v>
      </c>
      <c r="BZ15">
        <v>0.123054020041602</v>
      </c>
      <c r="CA15">
        <v>0.114539802184993</v>
      </c>
      <c r="CB15">
        <v>0.123923231853275</v>
      </c>
      <c r="CC15">
        <v>9.6491233436508506E-2</v>
      </c>
      <c r="CD15">
        <v>7.0692255439539706E-2</v>
      </c>
      <c r="CE15">
        <v>0</v>
      </c>
      <c r="CF15">
        <v>7.6951253384763205E-2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7.0744080570241494E-2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3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7.7416508243157198E-2</v>
      </c>
      <c r="BG16">
        <v>0.164838083237517</v>
      </c>
      <c r="BH16">
        <v>0.27448115581047</v>
      </c>
      <c r="BI16">
        <v>0.38330115068064002</v>
      </c>
      <c r="BJ16">
        <v>0.45011245031699898</v>
      </c>
      <c r="BK16">
        <v>0.39724108388787699</v>
      </c>
      <c r="BL16">
        <v>0.39837295572827802</v>
      </c>
      <c r="BM16">
        <v>0.37574927031378402</v>
      </c>
      <c r="BN16">
        <v>0.32847939188837799</v>
      </c>
      <c r="BO16">
        <v>0.29318243992863502</v>
      </c>
      <c r="BP16">
        <v>0.25409796078638502</v>
      </c>
      <c r="BQ16">
        <v>0.22078141741315499</v>
      </c>
      <c r="BR16">
        <v>0.21055294154058701</v>
      </c>
      <c r="BS16">
        <v>0.190457476088919</v>
      </c>
      <c r="BT16">
        <v>0.176512413894167</v>
      </c>
      <c r="BU16">
        <v>0.154824439758946</v>
      </c>
      <c r="BV16">
        <v>0.16630461552356399</v>
      </c>
      <c r="BW16">
        <v>0.173017156895312</v>
      </c>
      <c r="BX16">
        <v>0.121748299561067</v>
      </c>
      <c r="BY16">
        <v>0.11084173259006599</v>
      </c>
      <c r="BZ16">
        <v>0.123054020041602</v>
      </c>
      <c r="CA16">
        <v>0.108698923556992</v>
      </c>
      <c r="CB16">
        <v>0.123923231853275</v>
      </c>
      <c r="CC16">
        <v>9.2908354205623406E-2</v>
      </c>
      <c r="CD16">
        <v>7.0692255439539706E-2</v>
      </c>
      <c r="CE16">
        <v>0</v>
      </c>
      <c r="CF16">
        <v>7.6951253384763205E-2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7.0744080570241494E-2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3">
      <c r="A17" t="s">
        <v>15</v>
      </c>
      <c r="B17">
        <v>8.8590249540656196E-2</v>
      </c>
      <c r="C17">
        <v>0</v>
      </c>
      <c r="D17">
        <v>0.115527081317883</v>
      </c>
      <c r="E17">
        <v>7.8661870920245194E-2</v>
      </c>
      <c r="F17">
        <v>8.6750705955646198E-2</v>
      </c>
      <c r="G17">
        <v>0</v>
      </c>
      <c r="H17">
        <v>0.104892564693628</v>
      </c>
      <c r="I17">
        <v>0</v>
      </c>
      <c r="J17">
        <v>8.3438161453986498E-2</v>
      </c>
      <c r="K17">
        <v>0</v>
      </c>
      <c r="L17">
        <v>8.7890077714578699E-2</v>
      </c>
      <c r="M17">
        <v>8.2941457908890695E-2</v>
      </c>
      <c r="N17">
        <v>0</v>
      </c>
      <c r="O17">
        <v>0</v>
      </c>
      <c r="P17">
        <v>0</v>
      </c>
      <c r="Q17">
        <v>6.4908570802943405E-2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8.9587561644410299E-2</v>
      </c>
      <c r="Z17">
        <v>0</v>
      </c>
      <c r="AA17">
        <v>0</v>
      </c>
      <c r="AB17">
        <v>0</v>
      </c>
      <c r="AC17">
        <v>0</v>
      </c>
      <c r="AD17">
        <v>5.5601812870499499E-2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6.75918028240374E-2</v>
      </c>
      <c r="AL17">
        <v>0</v>
      </c>
      <c r="AM17">
        <v>8.5056588556731899E-2</v>
      </c>
      <c r="AN17">
        <v>6.4317332060439103E-2</v>
      </c>
      <c r="AO17">
        <v>0</v>
      </c>
      <c r="AP17">
        <v>0</v>
      </c>
      <c r="AQ17">
        <v>0</v>
      </c>
      <c r="AR17">
        <v>8.2604090317837803E-2</v>
      </c>
      <c r="AS17">
        <v>0</v>
      </c>
      <c r="AT17">
        <v>0</v>
      </c>
      <c r="AU17">
        <v>0</v>
      </c>
      <c r="AV17">
        <v>7.71472102343711E-2</v>
      </c>
      <c r="AW17">
        <v>0</v>
      </c>
      <c r="AX17">
        <v>0</v>
      </c>
      <c r="AY17">
        <v>0</v>
      </c>
      <c r="AZ17">
        <v>0</v>
      </c>
      <c r="BA17">
        <v>8.0382893134247999E-2</v>
      </c>
      <c r="BB17">
        <v>0.101897960192058</v>
      </c>
      <c r="BC17">
        <v>0.167073454239476</v>
      </c>
      <c r="BD17">
        <v>0.15497929355529499</v>
      </c>
      <c r="BE17">
        <v>0.19688964380484</v>
      </c>
      <c r="BF17">
        <v>0.34441454524038201</v>
      </c>
      <c r="BG17">
        <v>0.76842980645580405</v>
      </c>
      <c r="BH17">
        <v>1.2655889258036801</v>
      </c>
      <c r="BI17">
        <v>2.01222026988362</v>
      </c>
      <c r="BJ17">
        <v>2.38375052898816</v>
      </c>
      <c r="BK17">
        <v>2.0910837192533802</v>
      </c>
      <c r="BL17">
        <v>1.90065042402162</v>
      </c>
      <c r="BM17">
        <v>2.02783827486933</v>
      </c>
      <c r="BN17">
        <v>1.6567613505932599</v>
      </c>
      <c r="BO17">
        <v>1.5072300415095901</v>
      </c>
      <c r="BP17">
        <v>1.36940697221802</v>
      </c>
      <c r="BQ17">
        <v>1.1913391308407599</v>
      </c>
      <c r="BR17">
        <v>0.90914017546043102</v>
      </c>
      <c r="BS17">
        <v>1.0205252839575101</v>
      </c>
      <c r="BT17">
        <v>0.92455129716690299</v>
      </c>
      <c r="BU17">
        <v>0.81494573380224899</v>
      </c>
      <c r="BV17">
        <v>0.92016715881342703</v>
      </c>
      <c r="BW17">
        <v>0.78504556211770404</v>
      </c>
      <c r="BX17">
        <v>0.69677026935031094</v>
      </c>
      <c r="BY17">
        <v>0.55940987266092201</v>
      </c>
      <c r="BZ17">
        <v>0.50805582409974803</v>
      </c>
      <c r="CA17">
        <v>0.59685859391845297</v>
      </c>
      <c r="CB17">
        <v>0.56382766253678196</v>
      </c>
      <c r="CC17">
        <v>0.45902394141942598</v>
      </c>
      <c r="CD17">
        <v>0.38594197872056302</v>
      </c>
      <c r="CE17">
        <v>0.36243008758775902</v>
      </c>
      <c r="CF17">
        <v>0.36152415200486598</v>
      </c>
      <c r="CG17">
        <v>0.25930963073005298</v>
      </c>
      <c r="CH17">
        <v>0.321418675996548</v>
      </c>
      <c r="CI17">
        <v>0.349495841670522</v>
      </c>
      <c r="CJ17">
        <v>0.24174671030936301</v>
      </c>
      <c r="CK17">
        <v>0.29419870119999503</v>
      </c>
      <c r="CL17">
        <v>0.28870032758554898</v>
      </c>
      <c r="CM17">
        <v>0.23170170887132999</v>
      </c>
      <c r="CN17">
        <v>0.20411511192942</v>
      </c>
      <c r="CO17">
        <v>0.196396827367773</v>
      </c>
      <c r="CP17">
        <v>0.167436490663666</v>
      </c>
      <c r="CQ17">
        <v>0.17706767021287001</v>
      </c>
      <c r="CR17">
        <v>0.16774698986332801</v>
      </c>
      <c r="CS17">
        <v>0.173180359842348</v>
      </c>
      <c r="CT17">
        <v>0.20512887778116301</v>
      </c>
    </row>
    <row r="18" spans="1:98" x14ac:dyDescent="0.3">
      <c r="A18" t="s">
        <v>16</v>
      </c>
      <c r="B18">
        <v>8.2325794345514902E-2</v>
      </c>
      <c r="C18">
        <v>0</v>
      </c>
      <c r="D18">
        <v>0.115527081317883</v>
      </c>
      <c r="E18">
        <v>7.5111054000671695E-2</v>
      </c>
      <c r="F18">
        <v>8.6362956643608199E-2</v>
      </c>
      <c r="G18">
        <v>0</v>
      </c>
      <c r="H18">
        <v>0.104892564693628</v>
      </c>
      <c r="I18">
        <v>0</v>
      </c>
      <c r="J18">
        <v>8.3438161453986498E-2</v>
      </c>
      <c r="K18">
        <v>0</v>
      </c>
      <c r="L18">
        <v>8.7890077714578699E-2</v>
      </c>
      <c r="M18">
        <v>8.2941457908890695E-2</v>
      </c>
      <c r="N18">
        <v>0</v>
      </c>
      <c r="O18">
        <v>0</v>
      </c>
      <c r="P18">
        <v>0</v>
      </c>
      <c r="Q18">
        <v>6.4908570802943405E-2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8.9587561644410299E-2</v>
      </c>
      <c r="Z18">
        <v>0</v>
      </c>
      <c r="AA18">
        <v>0</v>
      </c>
      <c r="AB18">
        <v>0</v>
      </c>
      <c r="AC18">
        <v>0</v>
      </c>
      <c r="AD18">
        <v>5.5601812870499499E-2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6.75918028240374E-2</v>
      </c>
      <c r="AL18">
        <v>0</v>
      </c>
      <c r="AM18">
        <v>8.5056588556731899E-2</v>
      </c>
      <c r="AN18">
        <v>6.4317332060439103E-2</v>
      </c>
      <c r="AO18">
        <v>0</v>
      </c>
      <c r="AP18">
        <v>0</v>
      </c>
      <c r="AQ18">
        <v>0</v>
      </c>
      <c r="AR18">
        <v>7.4853846379177205E-2</v>
      </c>
      <c r="AS18">
        <v>0</v>
      </c>
      <c r="AT18">
        <v>0</v>
      </c>
      <c r="AU18">
        <v>0</v>
      </c>
      <c r="AV18">
        <v>7.71472102343711E-2</v>
      </c>
      <c r="AW18">
        <v>0</v>
      </c>
      <c r="AX18">
        <v>0</v>
      </c>
      <c r="AY18">
        <v>0</v>
      </c>
      <c r="AZ18">
        <v>0</v>
      </c>
      <c r="BA18">
        <v>7.3325776448997904E-2</v>
      </c>
      <c r="BB18">
        <v>9.2918644230728695E-2</v>
      </c>
      <c r="BC18">
        <v>0.13590295223434701</v>
      </c>
      <c r="BD18">
        <v>0.12862043127473599</v>
      </c>
      <c r="BE18">
        <v>0.15240178708539001</v>
      </c>
      <c r="BF18">
        <v>0.27057213181389</v>
      </c>
      <c r="BG18">
        <v>0.60837412605595598</v>
      </c>
      <c r="BH18">
        <v>1.04838987054429</v>
      </c>
      <c r="BI18">
        <v>1.5076783951627799</v>
      </c>
      <c r="BJ18">
        <v>1.79708681655055</v>
      </c>
      <c r="BK18">
        <v>1.54995361209496</v>
      </c>
      <c r="BL18">
        <v>1.54803257312855</v>
      </c>
      <c r="BM18">
        <v>1.4917405382000399</v>
      </c>
      <c r="BN18">
        <v>1.26247908105305</v>
      </c>
      <c r="BO18">
        <v>1.09512148921199</v>
      </c>
      <c r="BP18">
        <v>0.96130441204004702</v>
      </c>
      <c r="BQ18">
        <v>0.82069804684615899</v>
      </c>
      <c r="BR18">
        <v>0.74784685969669495</v>
      </c>
      <c r="BS18">
        <v>0.67612676117700199</v>
      </c>
      <c r="BT18">
        <v>0.61983726063978595</v>
      </c>
      <c r="BU18">
        <v>0.596790768995902</v>
      </c>
      <c r="BV18">
        <v>0.63223445873557405</v>
      </c>
      <c r="BW18">
        <v>0.59431365326850405</v>
      </c>
      <c r="BX18">
        <v>0.40961864138509502</v>
      </c>
      <c r="BY18">
        <v>0.40939101983703902</v>
      </c>
      <c r="BZ18">
        <v>0.34339586568319302</v>
      </c>
      <c r="CA18">
        <v>0.35710736944973898</v>
      </c>
      <c r="CB18">
        <v>0.36927751297056899</v>
      </c>
      <c r="CC18">
        <v>0.29995267973190198</v>
      </c>
      <c r="CD18">
        <v>0.27107028140947398</v>
      </c>
      <c r="CE18">
        <v>0.26647581636311002</v>
      </c>
      <c r="CF18">
        <v>0.24205603841713899</v>
      </c>
      <c r="CG18">
        <v>0.200343442568753</v>
      </c>
      <c r="CH18">
        <v>0.23973645120456</v>
      </c>
      <c r="CI18">
        <v>0.23788298913857001</v>
      </c>
      <c r="CJ18">
        <v>0.201815474819804</v>
      </c>
      <c r="CK18">
        <v>0.20873921645396001</v>
      </c>
      <c r="CL18">
        <v>0.20968862956354001</v>
      </c>
      <c r="CM18">
        <v>0.18200663035412601</v>
      </c>
      <c r="CN18">
        <v>0.16466172688993799</v>
      </c>
      <c r="CO18">
        <v>0.153768184041781</v>
      </c>
      <c r="CP18">
        <v>0.14958454289258</v>
      </c>
      <c r="CQ18">
        <v>0.14073954712936801</v>
      </c>
      <c r="CR18">
        <v>0.145514767200002</v>
      </c>
      <c r="CS18">
        <v>0.13706677754918001</v>
      </c>
      <c r="CT18">
        <v>0.14016742915112401</v>
      </c>
    </row>
    <row r="19" spans="1:98" x14ac:dyDescent="0.3">
      <c r="A19" t="s">
        <v>17</v>
      </c>
      <c r="B19">
        <v>8.2325794345514902E-2</v>
      </c>
      <c r="C19">
        <v>0</v>
      </c>
      <c r="D19">
        <v>0.115527081317883</v>
      </c>
      <c r="E19">
        <v>7.5111054000671695E-2</v>
      </c>
      <c r="F19">
        <v>8.6362956643608199E-2</v>
      </c>
      <c r="G19">
        <v>0</v>
      </c>
      <c r="H19">
        <v>0.104892564693628</v>
      </c>
      <c r="I19">
        <v>0</v>
      </c>
      <c r="J19">
        <v>8.3438161453986498E-2</v>
      </c>
      <c r="K19">
        <v>0</v>
      </c>
      <c r="L19">
        <v>8.7890077714578699E-2</v>
      </c>
      <c r="M19">
        <v>8.2941457908890695E-2</v>
      </c>
      <c r="N19">
        <v>0</v>
      </c>
      <c r="O19">
        <v>0</v>
      </c>
      <c r="P19">
        <v>0</v>
      </c>
      <c r="Q19">
        <v>6.4908570802943405E-2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8.9587561644410299E-2</v>
      </c>
      <c r="Z19">
        <v>0</v>
      </c>
      <c r="AA19">
        <v>0</v>
      </c>
      <c r="AB19">
        <v>0</v>
      </c>
      <c r="AC19">
        <v>0</v>
      </c>
      <c r="AD19">
        <v>5.5601812870499499E-2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6.75918028240374E-2</v>
      </c>
      <c r="AL19">
        <v>0</v>
      </c>
      <c r="AM19">
        <v>8.5056588556731899E-2</v>
      </c>
      <c r="AN19">
        <v>6.4317332060439103E-2</v>
      </c>
      <c r="AO19">
        <v>0</v>
      </c>
      <c r="AP19">
        <v>0</v>
      </c>
      <c r="AQ19">
        <v>0</v>
      </c>
      <c r="AR19">
        <v>7.4853846379177205E-2</v>
      </c>
      <c r="AS19">
        <v>0</v>
      </c>
      <c r="AT19">
        <v>0</v>
      </c>
      <c r="AU19">
        <v>0</v>
      </c>
      <c r="AV19">
        <v>7.71472102343711E-2</v>
      </c>
      <c r="AW19">
        <v>0</v>
      </c>
      <c r="AX19">
        <v>0</v>
      </c>
      <c r="AY19">
        <v>0</v>
      </c>
      <c r="AZ19">
        <v>0</v>
      </c>
      <c r="BA19">
        <v>7.3325776448997904E-2</v>
      </c>
      <c r="BB19">
        <v>9.1903877244905396E-2</v>
      </c>
      <c r="BC19">
        <v>0.13962019559068201</v>
      </c>
      <c r="BD19">
        <v>0.13172486724674601</v>
      </c>
      <c r="BE19">
        <v>0.14670699678931901</v>
      </c>
      <c r="BF19">
        <v>0.26692536358666002</v>
      </c>
      <c r="BG19">
        <v>0.59164516560617197</v>
      </c>
      <c r="BH19">
        <v>1.04211895876466</v>
      </c>
      <c r="BI19">
        <v>1.50716873705662</v>
      </c>
      <c r="BJ19">
        <v>1.7787681804361799</v>
      </c>
      <c r="BK19">
        <v>1.52193161808608</v>
      </c>
      <c r="BL19">
        <v>1.5268707957619601</v>
      </c>
      <c r="BM19">
        <v>1.4509695821278801</v>
      </c>
      <c r="BN19">
        <v>1.2737406772078399</v>
      </c>
      <c r="BO19">
        <v>1.1080655083778601</v>
      </c>
      <c r="BP19">
        <v>0.93694300249123097</v>
      </c>
      <c r="BQ19">
        <v>0.79855054501440104</v>
      </c>
      <c r="BR19">
        <v>0.74594343622414905</v>
      </c>
      <c r="BS19">
        <v>0.65944402581074801</v>
      </c>
      <c r="BT19">
        <v>0.60634702176897803</v>
      </c>
      <c r="BU19">
        <v>0.59426716456940998</v>
      </c>
      <c r="BV19">
        <v>0.61537105394543101</v>
      </c>
      <c r="BW19">
        <v>0.59965922396210303</v>
      </c>
      <c r="BX19">
        <v>0.39723753939893303</v>
      </c>
      <c r="BY19">
        <v>0.40105615697973601</v>
      </c>
      <c r="BZ19">
        <v>0.33939453209020098</v>
      </c>
      <c r="CA19">
        <v>0.344094687964074</v>
      </c>
      <c r="CB19">
        <v>0.36129224016745498</v>
      </c>
      <c r="CC19">
        <v>0.29105580696200301</v>
      </c>
      <c r="CD19">
        <v>0.26567104893868798</v>
      </c>
      <c r="CE19">
        <v>0.25599634430239998</v>
      </c>
      <c r="CF19">
        <v>0.23435242977057399</v>
      </c>
      <c r="CG19">
        <v>0.19518832090656299</v>
      </c>
      <c r="CH19">
        <v>0.24670951317054801</v>
      </c>
      <c r="CI19">
        <v>0.24006715856453001</v>
      </c>
      <c r="CJ19">
        <v>0.20376036439273601</v>
      </c>
      <c r="CK19">
        <v>0.20132265963747401</v>
      </c>
      <c r="CL19">
        <v>0.20398764594766899</v>
      </c>
      <c r="CM19">
        <v>0.18369898045114899</v>
      </c>
      <c r="CN19">
        <v>0.160065906539332</v>
      </c>
      <c r="CO19">
        <v>0.15069647989849899</v>
      </c>
      <c r="CP19">
        <v>0.155906382458986</v>
      </c>
      <c r="CQ19">
        <v>0.13816068589501901</v>
      </c>
      <c r="CR19">
        <v>0.15069195376817501</v>
      </c>
      <c r="CS19">
        <v>0.13416473899609099</v>
      </c>
      <c r="CT19">
        <v>0.130319012950079</v>
      </c>
    </row>
    <row r="20" spans="1:98" x14ac:dyDescent="0.3">
      <c r="A20" t="s">
        <v>18</v>
      </c>
      <c r="B20">
        <v>0.38700308121340499</v>
      </c>
      <c r="C20">
        <v>0.42008035496652202</v>
      </c>
      <c r="D20">
        <v>0.462108325271535</v>
      </c>
      <c r="E20">
        <v>0.314647483680981</v>
      </c>
      <c r="F20">
        <v>0.39317062669061897</v>
      </c>
      <c r="G20">
        <v>0.32395153593520998</v>
      </c>
      <c r="H20">
        <v>0.41957025877451398</v>
      </c>
      <c r="I20">
        <v>0.48183759434117501</v>
      </c>
      <c r="J20">
        <v>0.41991311549016302</v>
      </c>
      <c r="K20">
        <v>0.46963229076730201</v>
      </c>
      <c r="L20">
        <v>0.36452785427561801</v>
      </c>
      <c r="M20">
        <v>0.36148035197617101</v>
      </c>
      <c r="N20">
        <v>0.33272637051034298</v>
      </c>
      <c r="O20">
        <v>0.37752817446421899</v>
      </c>
      <c r="P20">
        <v>0.35851128602490001</v>
      </c>
      <c r="Q20">
        <v>0.34819198717246802</v>
      </c>
      <c r="R20">
        <v>0.32697190393560499</v>
      </c>
      <c r="S20">
        <v>0.34372501863904398</v>
      </c>
      <c r="T20">
        <v>0.37615018796712202</v>
      </c>
      <c r="U20">
        <v>0.32039326310536798</v>
      </c>
      <c r="V20">
        <v>0.32310043714257403</v>
      </c>
      <c r="W20">
        <v>0.40834797719266003</v>
      </c>
      <c r="X20">
        <v>0.29206822413464401</v>
      </c>
      <c r="Y20">
        <v>0.35835024657764097</v>
      </c>
      <c r="Z20">
        <v>0.34357901326600299</v>
      </c>
      <c r="AA20">
        <v>0.29402510538934401</v>
      </c>
      <c r="AB20">
        <v>0.34396174528717999</v>
      </c>
      <c r="AC20">
        <v>0.30468121232309903</v>
      </c>
      <c r="AD20">
        <v>0.287694618641188</v>
      </c>
      <c r="AE20">
        <v>0.32112423095216203</v>
      </c>
      <c r="AF20">
        <v>0.33393252220803099</v>
      </c>
      <c r="AG20">
        <v>0.318554462792347</v>
      </c>
      <c r="AH20">
        <v>0.36766827808005398</v>
      </c>
      <c r="AI20">
        <v>0.38964374848070499</v>
      </c>
      <c r="AJ20">
        <v>0.34354902632585399</v>
      </c>
      <c r="AK20">
        <v>0.31495652518440997</v>
      </c>
      <c r="AL20">
        <v>0.30134003583699398</v>
      </c>
      <c r="AM20">
        <v>0.34022635422692699</v>
      </c>
      <c r="AN20">
        <v>0.27664843946363399</v>
      </c>
      <c r="AO20">
        <v>0.29792200538307501</v>
      </c>
      <c r="AP20">
        <v>0.31746074734772001</v>
      </c>
      <c r="AQ20">
        <v>0.29437362976827303</v>
      </c>
      <c r="AR20">
        <v>0.33310939638819098</v>
      </c>
      <c r="AS20">
        <v>0.27039879167254</v>
      </c>
      <c r="AT20">
        <v>0.32654513070906699</v>
      </c>
      <c r="AU20">
        <v>0.28038324610029802</v>
      </c>
      <c r="AV20">
        <v>0.30858884093748401</v>
      </c>
      <c r="AW20">
        <v>0.31142730292378101</v>
      </c>
      <c r="AX20">
        <v>0.26895518970695798</v>
      </c>
      <c r="AY20">
        <v>0.31693145086788099</v>
      </c>
      <c r="AZ20">
        <v>0.31810557658813998</v>
      </c>
      <c r="BA20">
        <v>0.35201965543928199</v>
      </c>
      <c r="BB20">
        <v>0.489642849916814</v>
      </c>
      <c r="BC20">
        <v>0.66829381695790602</v>
      </c>
      <c r="BD20">
        <v>0.61991717422118098</v>
      </c>
      <c r="BE20">
        <v>0.78755857521936201</v>
      </c>
      <c r="BF20">
        <v>1.37765818096152</v>
      </c>
      <c r="BG20">
        <v>3.07371922582321</v>
      </c>
      <c r="BH20">
        <v>5.0623557032147302</v>
      </c>
      <c r="BI20">
        <v>8.0488810795344996</v>
      </c>
      <c r="BJ20">
        <v>9.5350021159526701</v>
      </c>
      <c r="BK20">
        <v>8.3643348770135297</v>
      </c>
      <c r="BL20">
        <v>7.6026016960865004</v>
      </c>
      <c r="BM20">
        <v>8.1113530994773306</v>
      </c>
      <c r="BN20">
        <v>6.6270454023730503</v>
      </c>
      <c r="BO20">
        <v>6.0289201660383602</v>
      </c>
      <c r="BP20">
        <v>5.4776278888720897</v>
      </c>
      <c r="BQ20">
        <v>4.7653565233630601</v>
      </c>
      <c r="BR20">
        <v>3.6365607018417201</v>
      </c>
      <c r="BS20">
        <v>4.0821011358300501</v>
      </c>
      <c r="BT20">
        <v>3.6982051886676102</v>
      </c>
      <c r="BU20">
        <v>3.2597829352089902</v>
      </c>
      <c r="BV20">
        <v>3.6806686352537099</v>
      </c>
      <c r="BW20">
        <v>3.14018224847081</v>
      </c>
      <c r="BX20">
        <v>2.7870810774012398</v>
      </c>
      <c r="BY20">
        <v>2.2376394906436898</v>
      </c>
      <c r="BZ20">
        <v>2.0322232963989899</v>
      </c>
      <c r="CA20">
        <v>2.3874343756738101</v>
      </c>
      <c r="CB20">
        <v>2.2553106501471301</v>
      </c>
      <c r="CC20">
        <v>1.8360957656776999</v>
      </c>
      <c r="CD20">
        <v>1.5437679148822501</v>
      </c>
      <c r="CE20">
        <v>1.4497203503510301</v>
      </c>
      <c r="CF20">
        <v>1.4460966080194599</v>
      </c>
      <c r="CG20">
        <v>1.0372385229202099</v>
      </c>
      <c r="CH20">
        <v>1.28567470398619</v>
      </c>
      <c r="CI20">
        <v>1.39798336668208</v>
      </c>
      <c r="CJ20">
        <v>0.96698684123745504</v>
      </c>
      <c r="CK20">
        <v>1.1767948047999801</v>
      </c>
      <c r="CL20">
        <v>1.1548013103421899</v>
      </c>
      <c r="CM20">
        <v>0.92680683548532095</v>
      </c>
      <c r="CN20">
        <v>0.816460447717682</v>
      </c>
      <c r="CO20">
        <v>0.78558730947109301</v>
      </c>
      <c r="CP20">
        <v>0.66974596265466402</v>
      </c>
      <c r="CQ20">
        <v>0.70827068085148104</v>
      </c>
      <c r="CR20">
        <v>0.67098795945331502</v>
      </c>
      <c r="CS20">
        <v>0.69272143936939201</v>
      </c>
      <c r="CT20">
        <v>0.82051551112465404</v>
      </c>
    </row>
    <row r="21" spans="1:98" x14ac:dyDescent="0.3">
      <c r="A21" t="s">
        <v>19</v>
      </c>
      <c r="B21">
        <v>0.28239373264800899</v>
      </c>
      <c r="C21">
        <v>0.29210367672768101</v>
      </c>
      <c r="D21">
        <v>0.27250757264557501</v>
      </c>
      <c r="E21">
        <v>0.25558583113524702</v>
      </c>
      <c r="F21">
        <v>0.27758238183282502</v>
      </c>
      <c r="G21">
        <v>0.264576742002259</v>
      </c>
      <c r="H21">
        <v>0.27830276527597098</v>
      </c>
      <c r="I21">
        <v>0.29388557731537701</v>
      </c>
      <c r="J21">
        <v>0.304507579939225</v>
      </c>
      <c r="K21">
        <v>0.27548149877162198</v>
      </c>
      <c r="L21">
        <v>0.26334345940065101</v>
      </c>
      <c r="M21">
        <v>0.26772526226451898</v>
      </c>
      <c r="N21">
        <v>0.25910539214311701</v>
      </c>
      <c r="O21">
        <v>0.26670928750512002</v>
      </c>
      <c r="P21">
        <v>0.27653709432412099</v>
      </c>
      <c r="Q21">
        <v>0.25697245154888498</v>
      </c>
      <c r="R21">
        <v>0.23563516756161501</v>
      </c>
      <c r="S21">
        <v>0.25016657535543702</v>
      </c>
      <c r="T21">
        <v>0.26500525205653502</v>
      </c>
      <c r="U21">
        <v>0.256899959816899</v>
      </c>
      <c r="V21">
        <v>0.25209892107840698</v>
      </c>
      <c r="W21">
        <v>0.24835533184738101</v>
      </c>
      <c r="X21">
        <v>0.23385872374111699</v>
      </c>
      <c r="Y21">
        <v>0.248191226529896</v>
      </c>
      <c r="Z21">
        <v>0.258019643652107</v>
      </c>
      <c r="AA21">
        <v>0.232985674292262</v>
      </c>
      <c r="AB21">
        <v>0.236458596939531</v>
      </c>
      <c r="AC21">
        <v>0.231240074945533</v>
      </c>
      <c r="AD21">
        <v>0.234446095178408</v>
      </c>
      <c r="AE21">
        <v>0.22531002867442301</v>
      </c>
      <c r="AF21">
        <v>0.23001803103489499</v>
      </c>
      <c r="AG21">
        <v>0.23904747736932599</v>
      </c>
      <c r="AH21">
        <v>0.242303818635414</v>
      </c>
      <c r="AI21">
        <v>0.23686023682167701</v>
      </c>
      <c r="AJ21">
        <v>0.23760570545886001</v>
      </c>
      <c r="AK21">
        <v>0.22134134274473599</v>
      </c>
      <c r="AL21">
        <v>0.21831690090036901</v>
      </c>
      <c r="AM21">
        <v>0.22374895743142501</v>
      </c>
      <c r="AN21">
        <v>0.20776350847810399</v>
      </c>
      <c r="AO21">
        <v>0.20933658898367</v>
      </c>
      <c r="AP21">
        <v>0.20717188125202299</v>
      </c>
      <c r="AQ21">
        <v>0.220627560500575</v>
      </c>
      <c r="AR21">
        <v>0.233236494330819</v>
      </c>
      <c r="AS21">
        <v>0.21054872168636601</v>
      </c>
      <c r="AT21">
        <v>0.22100033936228999</v>
      </c>
      <c r="AU21">
        <v>0.21708730524511499</v>
      </c>
      <c r="AV21">
        <v>0.22788857650229399</v>
      </c>
      <c r="AW21">
        <v>0.22760613668254001</v>
      </c>
      <c r="AX21">
        <v>0.22251504658856799</v>
      </c>
      <c r="AY21">
        <v>0.21683113242433599</v>
      </c>
      <c r="AZ21">
        <v>0.21215556400103799</v>
      </c>
      <c r="BA21">
        <v>0.233080264521042</v>
      </c>
      <c r="BB21">
        <v>0.321621312924943</v>
      </c>
      <c r="BC21">
        <v>0.43169131668083899</v>
      </c>
      <c r="BD21">
        <v>0.42823825078361999</v>
      </c>
      <c r="BE21">
        <v>0.468688927254237</v>
      </c>
      <c r="BF21">
        <v>0.99779264691998104</v>
      </c>
      <c r="BG21">
        <v>2.4334965042238199</v>
      </c>
      <c r="BH21">
        <v>4.1935594821771698</v>
      </c>
      <c r="BI21">
        <v>6.0307135806511196</v>
      </c>
      <c r="BJ21">
        <v>7.1883472662022196</v>
      </c>
      <c r="BK21">
        <v>6.1998144483798399</v>
      </c>
      <c r="BL21">
        <v>6.1921302925142001</v>
      </c>
      <c r="BM21">
        <v>5.9669621528001704</v>
      </c>
      <c r="BN21">
        <v>5.0499163242121998</v>
      </c>
      <c r="BO21">
        <v>4.3804859568479699</v>
      </c>
      <c r="BP21">
        <v>3.8452176481601898</v>
      </c>
      <c r="BQ21">
        <v>3.2827921873846302</v>
      </c>
      <c r="BR21">
        <v>2.9913874387867798</v>
      </c>
      <c r="BS21">
        <v>2.704507044708</v>
      </c>
      <c r="BT21">
        <v>2.4793490425591398</v>
      </c>
      <c r="BU21">
        <v>2.3818116555251301</v>
      </c>
      <c r="BV21">
        <v>2.52893783494229</v>
      </c>
      <c r="BW21">
        <v>2.3691568891132899</v>
      </c>
      <c r="BX21">
        <v>1.6322321825252699</v>
      </c>
      <c r="BY21">
        <v>1.60118734240762</v>
      </c>
      <c r="BZ21">
        <v>1.3219746525261</v>
      </c>
      <c r="CA21">
        <v>1.3927904349072</v>
      </c>
      <c r="CB21">
        <v>1.4485112273529399</v>
      </c>
      <c r="CC21">
        <v>1.15206765324365</v>
      </c>
      <c r="CD21">
        <v>1.02404257878286</v>
      </c>
      <c r="CE21">
        <v>1.0071049040153699</v>
      </c>
      <c r="CF21">
        <v>0.90163322378530297</v>
      </c>
      <c r="CG21">
        <v>0.67585946897341298</v>
      </c>
      <c r="CH21">
        <v>0.88840356087150196</v>
      </c>
      <c r="CI21">
        <v>0.89884299015960401</v>
      </c>
      <c r="CJ21">
        <v>0.72758468345078797</v>
      </c>
      <c r="CK21">
        <v>0.75823121951282801</v>
      </c>
      <c r="CL21">
        <v>0.737539299579132</v>
      </c>
      <c r="CM21">
        <v>0.65538117133961304</v>
      </c>
      <c r="CN21">
        <v>0.55535366325342805</v>
      </c>
      <c r="CO21">
        <v>0.509213822130408</v>
      </c>
      <c r="CP21">
        <v>0.47854928905995398</v>
      </c>
      <c r="CQ21">
        <v>0.47794654488258398</v>
      </c>
      <c r="CR21">
        <v>0.46400652510486501</v>
      </c>
      <c r="CS21">
        <v>0.47956978823422403</v>
      </c>
      <c r="CT21">
        <v>0.49717052710544901</v>
      </c>
    </row>
    <row r="22" spans="1:98" x14ac:dyDescent="0.3">
      <c r="A22" t="s">
        <v>20</v>
      </c>
      <c r="B22">
        <v>0.27966317981454197</v>
      </c>
      <c r="C22">
        <v>0.28159131909586799</v>
      </c>
      <c r="D22">
        <v>0.25595010842603699</v>
      </c>
      <c r="E22">
        <v>0.25704013738742998</v>
      </c>
      <c r="F22">
        <v>0.26214912964971598</v>
      </c>
      <c r="G22">
        <v>0.25881662378458897</v>
      </c>
      <c r="H22">
        <v>0.27128159793678103</v>
      </c>
      <c r="I22">
        <v>0.290992343384395</v>
      </c>
      <c r="J22">
        <v>0.30183966545633101</v>
      </c>
      <c r="K22">
        <v>0.26884897971815103</v>
      </c>
      <c r="L22">
        <v>0.26184948926907098</v>
      </c>
      <c r="M22">
        <v>0.26414252391871701</v>
      </c>
      <c r="N22">
        <v>0.25377190717384701</v>
      </c>
      <c r="O22">
        <v>0.26377861079432502</v>
      </c>
      <c r="P22">
        <v>0.266520940745468</v>
      </c>
      <c r="Q22">
        <v>0.2526807443172</v>
      </c>
      <c r="R22">
        <v>0.230520292703945</v>
      </c>
      <c r="S22">
        <v>0.24347356019226801</v>
      </c>
      <c r="T22">
        <v>0.25961204227537998</v>
      </c>
      <c r="U22">
        <v>0.24986363472062301</v>
      </c>
      <c r="V22">
        <v>0.25732933260711699</v>
      </c>
      <c r="W22">
        <v>0.24744389997840999</v>
      </c>
      <c r="X22">
        <v>0.233761723439396</v>
      </c>
      <c r="Y22">
        <v>0.24565803085389601</v>
      </c>
      <c r="Z22">
        <v>0.25457115651026402</v>
      </c>
      <c r="AA22">
        <v>0.223397290840879</v>
      </c>
      <c r="AB22">
        <v>0.22966562163811099</v>
      </c>
      <c r="AC22">
        <v>0.22575427023493799</v>
      </c>
      <c r="AD22">
        <v>0.23649671928359001</v>
      </c>
      <c r="AE22">
        <v>0.21618740645970499</v>
      </c>
      <c r="AF22">
        <v>0.220955394056876</v>
      </c>
      <c r="AG22">
        <v>0.23394443564836601</v>
      </c>
      <c r="AH22">
        <v>0.247426691954272</v>
      </c>
      <c r="AI22">
        <v>0.233629337685544</v>
      </c>
      <c r="AJ22">
        <v>0.23035772208538999</v>
      </c>
      <c r="AK22">
        <v>0.213464386532359</v>
      </c>
      <c r="AL22">
        <v>0.22099464268213301</v>
      </c>
      <c r="AM22">
        <v>0.22038755928033901</v>
      </c>
      <c r="AN22">
        <v>0.203494482521102</v>
      </c>
      <c r="AO22">
        <v>0.20386078147652201</v>
      </c>
      <c r="AP22">
        <v>0.20282564622323801</v>
      </c>
      <c r="AQ22">
        <v>0.216797534579907</v>
      </c>
      <c r="AR22">
        <v>0.23173072472321701</v>
      </c>
      <c r="AS22">
        <v>0.20456467762691199</v>
      </c>
      <c r="AT22">
        <v>0.2118277622525</v>
      </c>
      <c r="AU22">
        <v>0.211806538120453</v>
      </c>
      <c r="AV22">
        <v>0.227635276812203</v>
      </c>
      <c r="AW22">
        <v>0.22442210383792299</v>
      </c>
      <c r="AX22">
        <v>0.22471419380944699</v>
      </c>
      <c r="AY22">
        <v>0.21643684700819801</v>
      </c>
      <c r="AZ22">
        <v>0.211167768159121</v>
      </c>
      <c r="BA22">
        <v>0.226174664752956</v>
      </c>
      <c r="BB22">
        <v>0.31980359287544002</v>
      </c>
      <c r="BC22">
        <v>0.42464775783958297</v>
      </c>
      <c r="BD22">
        <v>0.41952419835902999</v>
      </c>
      <c r="BE22">
        <v>0.44818272352216498</v>
      </c>
      <c r="BF22">
        <v>0.97530815604119003</v>
      </c>
      <c r="BG22">
        <v>2.3665806624246799</v>
      </c>
      <c r="BH22">
        <v>4.1684758350586701</v>
      </c>
      <c r="BI22">
        <v>6.0286749482265103</v>
      </c>
      <c r="BJ22">
        <v>7.11507272174474</v>
      </c>
      <c r="BK22">
        <v>6.0877264723443503</v>
      </c>
      <c r="BL22">
        <v>6.1074831830478704</v>
      </c>
      <c r="BM22">
        <v>5.8038783285115496</v>
      </c>
      <c r="BN22">
        <v>5.0949627088313596</v>
      </c>
      <c r="BO22">
        <v>4.4322620335114404</v>
      </c>
      <c r="BP22">
        <v>3.7477720099649199</v>
      </c>
      <c r="BQ22">
        <v>3.1942021800576001</v>
      </c>
      <c r="BR22">
        <v>2.98377374489659</v>
      </c>
      <c r="BS22">
        <v>2.6377761032429898</v>
      </c>
      <c r="BT22">
        <v>2.4253880870759099</v>
      </c>
      <c r="BU22">
        <v>2.3754248289795501</v>
      </c>
      <c r="BV22">
        <v>2.4614842157817201</v>
      </c>
      <c r="BW22">
        <v>2.3862999739347499</v>
      </c>
      <c r="BX22">
        <v>1.58833220577062</v>
      </c>
      <c r="BY22">
        <v>1.5566461108980201</v>
      </c>
      <c r="BZ22">
        <v>1.28044332199887</v>
      </c>
      <c r="CA22">
        <v>1.36054979433111</v>
      </c>
      <c r="CB22">
        <v>1.4351705884971</v>
      </c>
      <c r="CC22">
        <v>1.127636925927</v>
      </c>
      <c r="CD22">
        <v>1.00451626230262</v>
      </c>
      <c r="CE22">
        <v>0.95813397331247996</v>
      </c>
      <c r="CF22">
        <v>0.87111996520179902</v>
      </c>
      <c r="CG22">
        <v>0.64759622020121399</v>
      </c>
      <c r="CH22">
        <v>0.88134041568101995</v>
      </c>
      <c r="CI22">
        <v>0.90692506078683599</v>
      </c>
      <c r="CJ22">
        <v>0.72141931679774096</v>
      </c>
      <c r="CK22">
        <v>0.76332755525380702</v>
      </c>
      <c r="CL22">
        <v>0.74203066714168597</v>
      </c>
      <c r="CM22">
        <v>0.64975468200632103</v>
      </c>
      <c r="CN22">
        <v>0.55063960052507899</v>
      </c>
      <c r="CO22">
        <v>0.50717444181996096</v>
      </c>
      <c r="CP22">
        <v>0.46821123104614198</v>
      </c>
      <c r="CQ22">
        <v>0.469660062338984</v>
      </c>
      <c r="CR22">
        <v>0.45442359579216002</v>
      </c>
      <c r="CS22">
        <v>0.465039112855889</v>
      </c>
      <c r="CT22">
        <v>0.48558982132302497</v>
      </c>
    </row>
    <row r="23" spans="1:98" x14ac:dyDescent="0.3">
      <c r="A23" t="s">
        <v>21</v>
      </c>
      <c r="B23">
        <v>1.5480123248536199</v>
      </c>
      <c r="C23">
        <v>1.6803214198660901</v>
      </c>
      <c r="D23">
        <v>1.84843330108614</v>
      </c>
      <c r="E23">
        <v>1.25858993472392</v>
      </c>
      <c r="F23">
        <v>1.5726825067624699</v>
      </c>
      <c r="G23">
        <v>1.2958061437408399</v>
      </c>
      <c r="H23">
        <v>1.6782810350980499</v>
      </c>
      <c r="I23">
        <v>1.9273503773647001</v>
      </c>
      <c r="J23">
        <v>1.6796524619606501</v>
      </c>
      <c r="K23">
        <v>1.8785291630692</v>
      </c>
      <c r="L23">
        <v>1.4581114171024701</v>
      </c>
      <c r="M23">
        <v>1.44592140790468</v>
      </c>
      <c r="N23">
        <v>1.3309054820413699</v>
      </c>
      <c r="O23">
        <v>1.51011269785687</v>
      </c>
      <c r="P23">
        <v>1.4340451440996</v>
      </c>
      <c r="Q23">
        <v>1.3927679486898701</v>
      </c>
      <c r="R23">
        <v>1.30788761574242</v>
      </c>
      <c r="S23">
        <v>1.3749000745561699</v>
      </c>
      <c r="T23">
        <v>1.5046007518684801</v>
      </c>
      <c r="U23">
        <v>1.2815730524214699</v>
      </c>
      <c r="V23">
        <v>1.2924017485702901</v>
      </c>
      <c r="W23">
        <v>1.6333919087706401</v>
      </c>
      <c r="X23">
        <v>1.16827289653857</v>
      </c>
      <c r="Y23">
        <v>1.4334009863105599</v>
      </c>
      <c r="Z23">
        <v>1.3743160530640099</v>
      </c>
      <c r="AA23">
        <v>1.17610042155737</v>
      </c>
      <c r="AB23">
        <v>1.3758469811487199</v>
      </c>
      <c r="AC23">
        <v>1.2187248492923899</v>
      </c>
      <c r="AD23">
        <v>1.15077847456475</v>
      </c>
      <c r="AE23">
        <v>1.2844969238086501</v>
      </c>
      <c r="AF23">
        <v>1.33573008883212</v>
      </c>
      <c r="AG23">
        <v>1.27421785116938</v>
      </c>
      <c r="AH23">
        <v>1.4706731123202099</v>
      </c>
      <c r="AI23">
        <v>1.55857499392282</v>
      </c>
      <c r="AJ23">
        <v>1.37419610530341</v>
      </c>
      <c r="AK23">
        <v>1.2598261007376399</v>
      </c>
      <c r="AL23">
        <v>1.2053601433479699</v>
      </c>
      <c r="AM23">
        <v>1.3609054169077099</v>
      </c>
      <c r="AN23">
        <v>1.10659375785453</v>
      </c>
      <c r="AO23">
        <v>1.1916880215323</v>
      </c>
      <c r="AP23">
        <v>1.26984298939088</v>
      </c>
      <c r="AQ23">
        <v>1.1774945190730901</v>
      </c>
      <c r="AR23">
        <v>1.3324375855527599</v>
      </c>
      <c r="AS23">
        <v>1.08159516669016</v>
      </c>
      <c r="AT23">
        <v>1.30618052283626</v>
      </c>
      <c r="AU23">
        <v>1.1215329844011901</v>
      </c>
      <c r="AV23">
        <v>1.23435536374993</v>
      </c>
      <c r="AW23">
        <v>1.2457092116951201</v>
      </c>
      <c r="AX23">
        <v>1.0758207588278299</v>
      </c>
      <c r="AY23">
        <v>1.26772580347152</v>
      </c>
      <c r="AZ23">
        <v>1.2724223063525599</v>
      </c>
      <c r="BA23">
        <v>1.40807862175712</v>
      </c>
      <c r="BB23">
        <v>1.95857139966725</v>
      </c>
      <c r="BC23">
        <v>2.6731752678316201</v>
      </c>
      <c r="BD23">
        <v>2.4796686968847199</v>
      </c>
      <c r="BE23">
        <v>3.1502343008774401</v>
      </c>
      <c r="BF23">
        <v>5.5106327238461104</v>
      </c>
      <c r="BG23">
        <v>12.294876903292799</v>
      </c>
      <c r="BH23">
        <v>20.249422812858899</v>
      </c>
      <c r="BI23">
        <v>32.195524318137998</v>
      </c>
      <c r="BJ23">
        <v>38.140008463810602</v>
      </c>
      <c r="BK23">
        <v>33.457339508054098</v>
      </c>
      <c r="BL23">
        <v>30.410406784346002</v>
      </c>
      <c r="BM23">
        <v>32.445412397909301</v>
      </c>
      <c r="BN23">
        <v>26.508181609492201</v>
      </c>
      <c r="BO23">
        <v>24.115680664153398</v>
      </c>
      <c r="BP23">
        <v>21.910511555488299</v>
      </c>
      <c r="BQ23">
        <v>19.061426093452202</v>
      </c>
      <c r="BR23">
        <v>14.5462428073669</v>
      </c>
      <c r="BS23">
        <v>16.3284045433202</v>
      </c>
      <c r="BT23">
        <v>14.7928207546704</v>
      </c>
      <c r="BU23">
        <v>13.0391317408359</v>
      </c>
      <c r="BV23">
        <v>14.722674541014801</v>
      </c>
      <c r="BW23">
        <v>12.560728993883201</v>
      </c>
      <c r="BX23">
        <v>11.148324309604901</v>
      </c>
      <c r="BY23">
        <v>8.9505579625747593</v>
      </c>
      <c r="BZ23">
        <v>8.1288931855959703</v>
      </c>
      <c r="CA23">
        <v>9.5497375026952493</v>
      </c>
      <c r="CB23">
        <v>9.0212426005885202</v>
      </c>
      <c r="CC23">
        <v>7.3443830627108202</v>
      </c>
      <c r="CD23">
        <v>6.17507165952901</v>
      </c>
      <c r="CE23">
        <v>5.7988814014041496</v>
      </c>
      <c r="CF23">
        <v>5.7843864320778602</v>
      </c>
      <c r="CG23">
        <v>4.14895409168086</v>
      </c>
      <c r="CH23">
        <v>5.1426988159447697</v>
      </c>
      <c r="CI23">
        <v>5.5919334667283502</v>
      </c>
      <c r="CJ23">
        <v>3.8679473649498202</v>
      </c>
      <c r="CK23">
        <v>4.7071792191999204</v>
      </c>
      <c r="CL23">
        <v>4.6192052413687801</v>
      </c>
      <c r="CM23">
        <v>3.7072273419412798</v>
      </c>
      <c r="CN23">
        <v>3.2658417908707298</v>
      </c>
      <c r="CO23">
        <v>3.1423492378843698</v>
      </c>
      <c r="CP23">
        <v>2.6789838506186499</v>
      </c>
      <c r="CQ23">
        <v>2.8330827234059202</v>
      </c>
      <c r="CR23">
        <v>2.6839518378132601</v>
      </c>
      <c r="CS23">
        <v>2.7708857574775698</v>
      </c>
      <c r="CT23">
        <v>3.2820620444986099</v>
      </c>
    </row>
    <row r="24" spans="1:98" x14ac:dyDescent="0.3">
      <c r="A24" t="s">
        <v>22</v>
      </c>
      <c r="B24">
        <v>1.10024617703587</v>
      </c>
      <c r="C24">
        <v>1.1098829882732499</v>
      </c>
      <c r="D24">
        <v>1.04817736807128</v>
      </c>
      <c r="E24">
        <v>0.96877277154130403</v>
      </c>
      <c r="F24">
        <v>1.05708629045641</v>
      </c>
      <c r="G24">
        <v>1.03118194597998</v>
      </c>
      <c r="H24">
        <v>1.0559757406999899</v>
      </c>
      <c r="I24">
        <v>1.12489277001273</v>
      </c>
      <c r="J24">
        <v>1.1748409522252701</v>
      </c>
      <c r="K24">
        <v>1.0459744567926701</v>
      </c>
      <c r="L24">
        <v>1.0176608106391301</v>
      </c>
      <c r="M24">
        <v>1.0001922676336099</v>
      </c>
      <c r="N24">
        <v>0.99872062239894399</v>
      </c>
      <c r="O24">
        <v>1.0467734236406301</v>
      </c>
      <c r="P24">
        <v>1.0437365116039501</v>
      </c>
      <c r="Q24">
        <v>0.974150388997719</v>
      </c>
      <c r="R24">
        <v>0.88758410688655598</v>
      </c>
      <c r="S24">
        <v>0.95094119774166097</v>
      </c>
      <c r="T24">
        <v>1.00146640520971</v>
      </c>
      <c r="U24">
        <v>0.97038686134912</v>
      </c>
      <c r="V24">
        <v>0.95511020367871202</v>
      </c>
      <c r="W24">
        <v>0.95715212687762696</v>
      </c>
      <c r="X24">
        <v>0.89677285747178903</v>
      </c>
      <c r="Y24">
        <v>0.91744120420605202</v>
      </c>
      <c r="Z24">
        <v>0.97951984474827503</v>
      </c>
      <c r="AA24">
        <v>0.87312464739431095</v>
      </c>
      <c r="AB24">
        <v>0.86607290038312401</v>
      </c>
      <c r="AC24">
        <v>0.86321739915210305</v>
      </c>
      <c r="AD24">
        <v>0.86219000305455695</v>
      </c>
      <c r="AE24">
        <v>0.82639311559536699</v>
      </c>
      <c r="AF24">
        <v>0.85670007732245101</v>
      </c>
      <c r="AG24">
        <v>0.86528217295843701</v>
      </c>
      <c r="AH24">
        <v>0.90827440262360604</v>
      </c>
      <c r="AI24">
        <v>0.89526200793928201</v>
      </c>
      <c r="AJ24">
        <v>0.87269499748867196</v>
      </c>
      <c r="AK24">
        <v>0.81867604706832897</v>
      </c>
      <c r="AL24">
        <v>0.78956206830549602</v>
      </c>
      <c r="AM24">
        <v>0.82778561695626096</v>
      </c>
      <c r="AN24">
        <v>0.76974404723368794</v>
      </c>
      <c r="AO24">
        <v>0.752547456114111</v>
      </c>
      <c r="AP24">
        <v>0.767288271615299</v>
      </c>
      <c r="AQ24">
        <v>0.85170631507252503</v>
      </c>
      <c r="AR24">
        <v>0.86006818372527505</v>
      </c>
      <c r="AS24">
        <v>0.80423366690626996</v>
      </c>
      <c r="AT24">
        <v>0.82514029543267098</v>
      </c>
      <c r="AU24">
        <v>0.812462221904379</v>
      </c>
      <c r="AV24">
        <v>0.83693019344567499</v>
      </c>
      <c r="AW24">
        <v>0.85834567567228903</v>
      </c>
      <c r="AX24">
        <v>0.81491049672988003</v>
      </c>
      <c r="AY24">
        <v>0.75002868115141397</v>
      </c>
      <c r="AZ24">
        <v>0.79221356884892202</v>
      </c>
      <c r="BA24">
        <v>0.88712670623663803</v>
      </c>
      <c r="BB24">
        <v>1.26140094273545</v>
      </c>
      <c r="BC24">
        <v>1.7161829904521499</v>
      </c>
      <c r="BD24">
        <v>1.71295300313448</v>
      </c>
      <c r="BE24">
        <v>1.87475570901695</v>
      </c>
      <c r="BF24">
        <v>3.9911705876799202</v>
      </c>
      <c r="BG24">
        <v>9.7339860168952992</v>
      </c>
      <c r="BH24">
        <v>16.774237928708601</v>
      </c>
      <c r="BI24">
        <v>24.1228543226045</v>
      </c>
      <c r="BJ24">
        <v>28.7533890648089</v>
      </c>
      <c r="BK24">
        <v>24.799257793519299</v>
      </c>
      <c r="BL24">
        <v>24.7685211700568</v>
      </c>
      <c r="BM24">
        <v>23.867848611200699</v>
      </c>
      <c r="BN24">
        <v>20.199665296848799</v>
      </c>
      <c r="BO24">
        <v>17.521943827391901</v>
      </c>
      <c r="BP24">
        <v>15.380870592640701</v>
      </c>
      <c r="BQ24">
        <v>13.131168749538499</v>
      </c>
      <c r="BR24">
        <v>11.9655497551471</v>
      </c>
      <c r="BS24">
        <v>10.818028178832</v>
      </c>
      <c r="BT24">
        <v>9.9173961702365805</v>
      </c>
      <c r="BU24">
        <v>9.5272466221005292</v>
      </c>
      <c r="BV24">
        <v>10.115751339769099</v>
      </c>
      <c r="BW24">
        <v>9.4766275564531597</v>
      </c>
      <c r="BX24">
        <v>6.5289287301010903</v>
      </c>
      <c r="BY24">
        <v>6.4047493696305002</v>
      </c>
      <c r="BZ24">
        <v>5.2878986101044303</v>
      </c>
      <c r="CA24">
        <v>5.5711617396288204</v>
      </c>
      <c r="CB24">
        <v>5.7940449094117801</v>
      </c>
      <c r="CC24">
        <v>4.6082706129746303</v>
      </c>
      <c r="CD24">
        <v>4.0961703151314399</v>
      </c>
      <c r="CE24">
        <v>4.0284196160614902</v>
      </c>
      <c r="CF24">
        <v>3.6065328951412101</v>
      </c>
      <c r="CG24">
        <v>2.7034378758936501</v>
      </c>
      <c r="CH24">
        <v>3.5536142434859999</v>
      </c>
      <c r="CI24">
        <v>3.5953719606384098</v>
      </c>
      <c r="CJ24">
        <v>2.9103387338031501</v>
      </c>
      <c r="CK24">
        <v>3.0329248780513098</v>
      </c>
      <c r="CL24">
        <v>2.9501571983165298</v>
      </c>
      <c r="CM24">
        <v>2.62152468535845</v>
      </c>
      <c r="CN24">
        <v>2.22141465301371</v>
      </c>
      <c r="CO24">
        <v>2.0368552885216298</v>
      </c>
      <c r="CP24">
        <v>1.9141971562398099</v>
      </c>
      <c r="CQ24">
        <v>1.8879530614306399</v>
      </c>
      <c r="CR24">
        <v>1.8377089407782301</v>
      </c>
      <c r="CS24">
        <v>1.8891257454066901</v>
      </c>
      <c r="CT24">
        <v>1.9886821084217901</v>
      </c>
    </row>
    <row r="25" spans="1:98" x14ac:dyDescent="0.3">
      <c r="A25" t="s">
        <v>23</v>
      </c>
      <c r="B25">
        <v>1.0806795146180601</v>
      </c>
      <c r="C25">
        <v>1.0586915949942699</v>
      </c>
      <c r="D25">
        <v>1.0084793585665801</v>
      </c>
      <c r="E25">
        <v>0.96251663842792301</v>
      </c>
      <c r="F25">
        <v>1.02223079184804</v>
      </c>
      <c r="G25">
        <v>1.0168459706014401</v>
      </c>
      <c r="H25">
        <v>1.0392855060563899</v>
      </c>
      <c r="I25">
        <v>1.07635690214403</v>
      </c>
      <c r="J25">
        <v>1.1609806448131601</v>
      </c>
      <c r="K25">
        <v>1.04504021968987</v>
      </c>
      <c r="L25">
        <v>1.01856825661256</v>
      </c>
      <c r="M25">
        <v>0.95036260745477397</v>
      </c>
      <c r="N25">
        <v>0.98200249501524794</v>
      </c>
      <c r="O25">
        <v>1.0304622322994901</v>
      </c>
      <c r="P25">
        <v>1.00992648999139</v>
      </c>
      <c r="Q25">
        <v>0.98184287250804303</v>
      </c>
      <c r="R25">
        <v>0.88027903832550602</v>
      </c>
      <c r="S25">
        <v>0.92555022729422298</v>
      </c>
      <c r="T25">
        <v>0.97300981786572205</v>
      </c>
      <c r="U25">
        <v>0.94538192553845801</v>
      </c>
      <c r="V25">
        <v>0.96437800120393502</v>
      </c>
      <c r="W25">
        <v>0.93872825930784698</v>
      </c>
      <c r="X25">
        <v>0.89994917304924504</v>
      </c>
      <c r="Y25">
        <v>0.90234116207534298</v>
      </c>
      <c r="Z25">
        <v>0.95570612077799899</v>
      </c>
      <c r="AA25">
        <v>0.86016667557622495</v>
      </c>
      <c r="AB25">
        <v>0.84482991539962804</v>
      </c>
      <c r="AC25">
        <v>0.86680286997533496</v>
      </c>
      <c r="AD25">
        <v>0.84875866010325596</v>
      </c>
      <c r="AE25">
        <v>0.79614762016162799</v>
      </c>
      <c r="AF25">
        <v>0.842396619285943</v>
      </c>
      <c r="AG25">
        <v>0.83520456768407902</v>
      </c>
      <c r="AH25">
        <v>0.90339546156897599</v>
      </c>
      <c r="AI25">
        <v>0.88666860139400006</v>
      </c>
      <c r="AJ25">
        <v>0.854593350829288</v>
      </c>
      <c r="AK25">
        <v>0.79432628428436303</v>
      </c>
      <c r="AL25">
        <v>0.77543511493355499</v>
      </c>
      <c r="AM25">
        <v>0.83427513195247105</v>
      </c>
      <c r="AN25">
        <v>0.76144620375008898</v>
      </c>
      <c r="AO25">
        <v>0.70721394835205798</v>
      </c>
      <c r="AP25">
        <v>0.73712114477543</v>
      </c>
      <c r="AQ25">
        <v>0.84217739184001705</v>
      </c>
      <c r="AR25">
        <v>0.83600824774501503</v>
      </c>
      <c r="AS25">
        <v>0.78321060501922901</v>
      </c>
      <c r="AT25">
        <v>0.80035769486268005</v>
      </c>
      <c r="AU25">
        <v>0.819707314956029</v>
      </c>
      <c r="AV25">
        <v>0.83342710370749495</v>
      </c>
      <c r="AW25">
        <v>0.85604751270699997</v>
      </c>
      <c r="AX25">
        <v>0.80615238232421904</v>
      </c>
      <c r="AY25">
        <v>0.71455978675754295</v>
      </c>
      <c r="AZ25">
        <v>0.78017786672447798</v>
      </c>
      <c r="BA25">
        <v>0.87405015672836595</v>
      </c>
      <c r="BB25">
        <v>1.2551492563898199</v>
      </c>
      <c r="BC25">
        <v>1.69390957652615</v>
      </c>
      <c r="BD25">
        <v>1.6780967934361199</v>
      </c>
      <c r="BE25">
        <v>1.7927308940886599</v>
      </c>
      <c r="BF25">
        <v>3.9012326241647601</v>
      </c>
      <c r="BG25">
        <v>9.4663226496987498</v>
      </c>
      <c r="BH25">
        <v>16.673903340234599</v>
      </c>
      <c r="BI25">
        <v>24.114699792905999</v>
      </c>
      <c r="BJ25">
        <v>28.4602908869789</v>
      </c>
      <c r="BK25">
        <v>24.350905889377401</v>
      </c>
      <c r="BL25">
        <v>24.429932732191499</v>
      </c>
      <c r="BM25">
        <v>23.215513314046198</v>
      </c>
      <c r="BN25">
        <v>20.379850835325399</v>
      </c>
      <c r="BO25">
        <v>17.729048134045701</v>
      </c>
      <c r="BP25">
        <v>14.991088039859701</v>
      </c>
      <c r="BQ25">
        <v>12.776808720230401</v>
      </c>
      <c r="BR25">
        <v>11.9350949795863</v>
      </c>
      <c r="BS25">
        <v>10.551104412971901</v>
      </c>
      <c r="BT25">
        <v>9.7015523483036503</v>
      </c>
      <c r="BU25">
        <v>9.5016993159182199</v>
      </c>
      <c r="BV25">
        <v>9.8459368631268998</v>
      </c>
      <c r="BW25">
        <v>9.5451998957390298</v>
      </c>
      <c r="BX25">
        <v>6.3533288230824896</v>
      </c>
      <c r="BY25">
        <v>6.2265844435920998</v>
      </c>
      <c r="BZ25">
        <v>5.12177328799548</v>
      </c>
      <c r="CA25">
        <v>5.4421991773244498</v>
      </c>
      <c r="CB25">
        <v>5.7406823539884204</v>
      </c>
      <c r="CC25">
        <v>4.5105477037080002</v>
      </c>
      <c r="CD25">
        <v>4.0180650492104801</v>
      </c>
      <c r="CE25">
        <v>3.8325358932499198</v>
      </c>
      <c r="CF25">
        <v>3.4844798608071899</v>
      </c>
      <c r="CG25">
        <v>2.5903848808048502</v>
      </c>
      <c r="CH25">
        <v>3.5253616627240798</v>
      </c>
      <c r="CI25">
        <v>3.62770024314734</v>
      </c>
      <c r="CJ25">
        <v>2.8856772671909598</v>
      </c>
      <c r="CK25">
        <v>3.0533102210152201</v>
      </c>
      <c r="CL25">
        <v>2.9681226685667399</v>
      </c>
      <c r="CM25">
        <v>2.5990187280252801</v>
      </c>
      <c r="CN25">
        <v>2.2025584021003102</v>
      </c>
      <c r="CO25">
        <v>2.0286977672798399</v>
      </c>
      <c r="CP25">
        <v>1.8728449241845599</v>
      </c>
      <c r="CQ25">
        <v>1.8596766126959301</v>
      </c>
      <c r="CR25">
        <v>1.80344401518501</v>
      </c>
      <c r="CS25">
        <v>1.8192230071161599</v>
      </c>
      <c r="CT25">
        <v>1.9423592852920999</v>
      </c>
    </row>
    <row r="26" spans="1:98" x14ac:dyDescent="0.3">
      <c r="A26" t="s">
        <v>24</v>
      </c>
      <c r="B26">
        <v>6.1920492994144798</v>
      </c>
      <c r="C26">
        <v>6.7212856794643603</v>
      </c>
      <c r="D26">
        <v>7.3937332043445601</v>
      </c>
      <c r="E26">
        <v>5.0343597388956898</v>
      </c>
      <c r="F26">
        <v>6.2907300270499</v>
      </c>
      <c r="G26">
        <v>5.1832245749633703</v>
      </c>
      <c r="H26">
        <v>6.7131241403922202</v>
      </c>
      <c r="I26">
        <v>7.70940150945881</v>
      </c>
      <c r="J26">
        <v>6.7186098478426102</v>
      </c>
      <c r="K26">
        <v>7.5141166522768303</v>
      </c>
      <c r="L26">
        <v>5.83244566840989</v>
      </c>
      <c r="M26">
        <v>5.7836856316187299</v>
      </c>
      <c r="N26">
        <v>5.3236219281654904</v>
      </c>
      <c r="O26">
        <v>6.0404507914275101</v>
      </c>
      <c r="P26">
        <v>5.7361805763984002</v>
      </c>
      <c r="Q26">
        <v>5.5710717947594999</v>
      </c>
      <c r="R26">
        <v>5.2315504629696798</v>
      </c>
      <c r="S26">
        <v>5.4996002982247001</v>
      </c>
      <c r="T26">
        <v>6.0184030074739496</v>
      </c>
      <c r="U26">
        <v>5.1262922096859</v>
      </c>
      <c r="V26">
        <v>5.1696069942811897</v>
      </c>
      <c r="W26">
        <v>6.5335676350825604</v>
      </c>
      <c r="X26">
        <v>4.6730915861543103</v>
      </c>
      <c r="Y26">
        <v>5.73360394524226</v>
      </c>
      <c r="Z26">
        <v>5.4972642122560602</v>
      </c>
      <c r="AA26">
        <v>4.7044016862295104</v>
      </c>
      <c r="AB26">
        <v>5.5033879245948798</v>
      </c>
      <c r="AC26">
        <v>4.8748993971695898</v>
      </c>
      <c r="AD26">
        <v>4.6031138982590196</v>
      </c>
      <c r="AE26">
        <v>5.1379876952346004</v>
      </c>
      <c r="AF26">
        <v>5.3429203553285003</v>
      </c>
      <c r="AG26">
        <v>5.0968714046775503</v>
      </c>
      <c r="AH26">
        <v>5.8826924492808601</v>
      </c>
      <c r="AI26">
        <v>6.2342999756912798</v>
      </c>
      <c r="AJ26">
        <v>5.4967844212136701</v>
      </c>
      <c r="AK26">
        <v>5.0393044029505596</v>
      </c>
      <c r="AL26">
        <v>4.8214405733919099</v>
      </c>
      <c r="AM26">
        <v>5.4436216676308398</v>
      </c>
      <c r="AN26">
        <v>4.42637503141815</v>
      </c>
      <c r="AO26">
        <v>4.7667520861292099</v>
      </c>
      <c r="AP26">
        <v>5.0793719575635201</v>
      </c>
      <c r="AQ26">
        <v>4.7099780762923604</v>
      </c>
      <c r="AR26">
        <v>5.3297503422110699</v>
      </c>
      <c r="AS26">
        <v>4.3263806667606399</v>
      </c>
      <c r="AT26">
        <v>5.22472209134507</v>
      </c>
      <c r="AU26">
        <v>4.4861319376047701</v>
      </c>
      <c r="AV26">
        <v>4.9374214549997504</v>
      </c>
      <c r="AW26">
        <v>4.98283684678049</v>
      </c>
      <c r="AX26">
        <v>4.3032830353113196</v>
      </c>
      <c r="AY26">
        <v>5.0709032138860897</v>
      </c>
      <c r="AZ26">
        <v>5.0896892254102397</v>
      </c>
      <c r="BA26">
        <v>5.63231448702851</v>
      </c>
      <c r="BB26">
        <v>7.8342855986690303</v>
      </c>
      <c r="BC26">
        <v>10.6927010713265</v>
      </c>
      <c r="BD26">
        <v>9.9186747875388992</v>
      </c>
      <c r="BE26">
        <v>12.6009372035097</v>
      </c>
      <c r="BF26">
        <v>22.042530895384399</v>
      </c>
      <c r="BG26">
        <v>49.179507613171403</v>
      </c>
      <c r="BH26">
        <v>80.997691251435597</v>
      </c>
      <c r="BI26">
        <v>128.78209727255199</v>
      </c>
      <c r="BJ26">
        <v>152.56003385524201</v>
      </c>
      <c r="BK26">
        <v>133.82935803221599</v>
      </c>
      <c r="BL26">
        <v>121.64162713738401</v>
      </c>
      <c r="BM26">
        <v>129.78164959163701</v>
      </c>
      <c r="BN26">
        <v>106.03272643796799</v>
      </c>
      <c r="BO26">
        <v>96.462722656613806</v>
      </c>
      <c r="BP26">
        <v>87.642046221953393</v>
      </c>
      <c r="BQ26">
        <v>76.245704373809104</v>
      </c>
      <c r="BR26">
        <v>58.1849712294676</v>
      </c>
      <c r="BS26">
        <v>65.313618173280901</v>
      </c>
      <c r="BT26">
        <v>59.171283018681798</v>
      </c>
      <c r="BU26">
        <v>52.1565269633439</v>
      </c>
      <c r="BV26">
        <v>58.890698164059302</v>
      </c>
      <c r="BW26">
        <v>50.242915975533101</v>
      </c>
      <c r="BX26">
        <v>44.5932972384199</v>
      </c>
      <c r="BY26">
        <v>35.802231850299002</v>
      </c>
      <c r="BZ26">
        <v>32.515572742383902</v>
      </c>
      <c r="CA26">
        <v>38.198950010780997</v>
      </c>
      <c r="CB26">
        <v>36.084970402354003</v>
      </c>
      <c r="CC26">
        <v>29.377532250843299</v>
      </c>
      <c r="CD26">
        <v>24.700286638116001</v>
      </c>
      <c r="CE26">
        <v>23.195525605616599</v>
      </c>
      <c r="CF26">
        <v>23.137545728311402</v>
      </c>
      <c r="CG26">
        <v>16.595816366723401</v>
      </c>
      <c r="CH26">
        <v>20.570795263779001</v>
      </c>
      <c r="CI26">
        <v>22.367733866913401</v>
      </c>
      <c r="CJ26">
        <v>15.471789459799201</v>
      </c>
      <c r="CK26">
        <v>18.8287168767997</v>
      </c>
      <c r="CL26">
        <v>18.476820965475099</v>
      </c>
      <c r="CM26">
        <v>14.8289093677651</v>
      </c>
      <c r="CN26">
        <v>13.0633671634829</v>
      </c>
      <c r="CO26">
        <v>12.569396951537399</v>
      </c>
      <c r="CP26">
        <v>10.715935402474599</v>
      </c>
      <c r="CQ26">
        <v>11.3323308936237</v>
      </c>
      <c r="CR26">
        <v>10.735807351252999</v>
      </c>
      <c r="CS26">
        <v>11.083543029910199</v>
      </c>
      <c r="CT26">
        <v>13.128248177994401</v>
      </c>
    </row>
    <row r="27" spans="1:98" x14ac:dyDescent="0.3">
      <c r="A27" t="s">
        <v>25</v>
      </c>
      <c r="B27">
        <v>4.4009847081434899</v>
      </c>
      <c r="C27">
        <v>4.4395319530930202</v>
      </c>
      <c r="D27">
        <v>4.1927094722851201</v>
      </c>
      <c r="E27">
        <v>3.8750910861652099</v>
      </c>
      <c r="F27">
        <v>4.2283451618256596</v>
      </c>
      <c r="G27">
        <v>4.1247277839199201</v>
      </c>
      <c r="H27">
        <v>4.2239029627999898</v>
      </c>
      <c r="I27">
        <v>4.4995710800509503</v>
      </c>
      <c r="J27">
        <v>4.6993638089011096</v>
      </c>
      <c r="K27">
        <v>4.1838978271706901</v>
      </c>
      <c r="L27">
        <v>4.07064324255653</v>
      </c>
      <c r="M27">
        <v>4.0007690705344396</v>
      </c>
      <c r="N27">
        <v>3.9948824895957702</v>
      </c>
      <c r="O27">
        <v>4.1870936945625301</v>
      </c>
      <c r="P27">
        <v>4.1749460464158004</v>
      </c>
      <c r="Q27">
        <v>3.8966015559908702</v>
      </c>
      <c r="R27">
        <v>3.5503364275462199</v>
      </c>
      <c r="S27">
        <v>3.8037647909666399</v>
      </c>
      <c r="T27">
        <v>4.0058656208388603</v>
      </c>
      <c r="U27">
        <v>3.88154744539648</v>
      </c>
      <c r="V27">
        <v>3.8204408147148499</v>
      </c>
      <c r="W27">
        <v>3.8286085075104999</v>
      </c>
      <c r="X27">
        <v>3.5870914298871499</v>
      </c>
      <c r="Y27">
        <v>3.6697648168242001</v>
      </c>
      <c r="Z27">
        <v>3.9180793789931001</v>
      </c>
      <c r="AA27">
        <v>3.4924985895772398</v>
      </c>
      <c r="AB27">
        <v>3.4642916015324898</v>
      </c>
      <c r="AC27">
        <v>3.45286959660841</v>
      </c>
      <c r="AD27">
        <v>3.4487600122182198</v>
      </c>
      <c r="AE27">
        <v>3.30557246238146</v>
      </c>
      <c r="AF27">
        <v>3.4268003092898001</v>
      </c>
      <c r="AG27">
        <v>3.4611286918337498</v>
      </c>
      <c r="AH27">
        <v>3.6330976104944201</v>
      </c>
      <c r="AI27">
        <v>3.5810480317571298</v>
      </c>
      <c r="AJ27">
        <v>3.4907799899546799</v>
      </c>
      <c r="AK27">
        <v>3.2747041882733101</v>
      </c>
      <c r="AL27">
        <v>3.1582482732219801</v>
      </c>
      <c r="AM27">
        <v>3.3111424678250398</v>
      </c>
      <c r="AN27">
        <v>3.07897618893475</v>
      </c>
      <c r="AO27">
        <v>3.01018982445644</v>
      </c>
      <c r="AP27">
        <v>3.0691530864611898</v>
      </c>
      <c r="AQ27">
        <v>3.4068252602901001</v>
      </c>
      <c r="AR27">
        <v>3.4402727349011002</v>
      </c>
      <c r="AS27">
        <v>3.2169346676250798</v>
      </c>
      <c r="AT27">
        <v>3.3005611817306799</v>
      </c>
      <c r="AU27">
        <v>3.2498488876175098</v>
      </c>
      <c r="AV27">
        <v>3.3477207737826999</v>
      </c>
      <c r="AW27">
        <v>3.4333827026891499</v>
      </c>
      <c r="AX27">
        <v>3.2596419869195201</v>
      </c>
      <c r="AY27">
        <v>3.0001147246056501</v>
      </c>
      <c r="AZ27">
        <v>3.1688542753956899</v>
      </c>
      <c r="BA27">
        <v>3.5485068249465499</v>
      </c>
      <c r="BB27">
        <v>5.0456037709418098</v>
      </c>
      <c r="BC27">
        <v>6.86473196180863</v>
      </c>
      <c r="BD27">
        <v>6.8518120125379198</v>
      </c>
      <c r="BE27">
        <v>7.4990228360678</v>
      </c>
      <c r="BF27">
        <v>15.9646823507197</v>
      </c>
      <c r="BG27">
        <v>38.935944067581197</v>
      </c>
      <c r="BH27">
        <v>67.096951714834702</v>
      </c>
      <c r="BI27">
        <v>96.491417290417999</v>
      </c>
      <c r="BJ27">
        <v>115.013556259235</v>
      </c>
      <c r="BK27">
        <v>99.197031174077495</v>
      </c>
      <c r="BL27">
        <v>99.074084680227202</v>
      </c>
      <c r="BM27">
        <v>95.471394444802797</v>
      </c>
      <c r="BN27">
        <v>80.798661187395197</v>
      </c>
      <c r="BO27">
        <v>70.087775309567604</v>
      </c>
      <c r="BP27">
        <v>61.523482370563002</v>
      </c>
      <c r="BQ27">
        <v>52.524674998154097</v>
      </c>
      <c r="BR27">
        <v>47.862199020588498</v>
      </c>
      <c r="BS27">
        <v>43.272112715328099</v>
      </c>
      <c r="BT27">
        <v>39.669584680946301</v>
      </c>
      <c r="BU27">
        <v>38.108986488402103</v>
      </c>
      <c r="BV27">
        <v>40.463005359076703</v>
      </c>
      <c r="BW27">
        <v>37.906510225812603</v>
      </c>
      <c r="BX27">
        <v>26.115714920404301</v>
      </c>
      <c r="BY27">
        <v>25.618997478522001</v>
      </c>
      <c r="BZ27">
        <v>21.1515944404177</v>
      </c>
      <c r="CA27">
        <v>22.2846469585152</v>
      </c>
      <c r="CB27">
        <v>23.176179637647099</v>
      </c>
      <c r="CC27">
        <v>18.4330824518985</v>
      </c>
      <c r="CD27">
        <v>16.384681260525699</v>
      </c>
      <c r="CE27">
        <v>16.113678464245901</v>
      </c>
      <c r="CF27">
        <v>14.4261315805648</v>
      </c>
      <c r="CG27">
        <v>10.813751503574601</v>
      </c>
      <c r="CH27">
        <v>14.214456973943999</v>
      </c>
      <c r="CI27">
        <v>14.3814878425536</v>
      </c>
      <c r="CJ27">
        <v>11.6413549352126</v>
      </c>
      <c r="CK27">
        <v>12.1316995122052</v>
      </c>
      <c r="CL27">
        <v>11.8006287932661</v>
      </c>
      <c r="CM27">
        <v>10.4860987414338</v>
      </c>
      <c r="CN27">
        <v>8.88565861205484</v>
      </c>
      <c r="CO27">
        <v>8.1474211540865298</v>
      </c>
      <c r="CP27">
        <v>7.65678862495926</v>
      </c>
      <c r="CQ27">
        <v>7.5518122457225703</v>
      </c>
      <c r="CR27">
        <v>7.3508357631129497</v>
      </c>
      <c r="CS27">
        <v>7.5565029816267799</v>
      </c>
      <c r="CT27">
        <v>7.9547284336871904</v>
      </c>
    </row>
    <row r="28" spans="1:98" x14ac:dyDescent="0.3">
      <c r="A28" t="s">
        <v>26</v>
      </c>
      <c r="B28">
        <v>4.32271805847226</v>
      </c>
      <c r="C28">
        <v>4.2347663799771</v>
      </c>
      <c r="D28">
        <v>4.03391743426634</v>
      </c>
      <c r="E28">
        <v>3.8500665537116898</v>
      </c>
      <c r="F28">
        <v>4.0889231673921902</v>
      </c>
      <c r="G28">
        <v>4.0673838824057702</v>
      </c>
      <c r="H28">
        <v>4.1571420242255801</v>
      </c>
      <c r="I28">
        <v>4.3054276085761298</v>
      </c>
      <c r="J28">
        <v>4.6439225792526502</v>
      </c>
      <c r="K28">
        <v>4.1801608787594997</v>
      </c>
      <c r="L28">
        <v>4.0742730264502498</v>
      </c>
      <c r="M28">
        <v>3.8014504298190901</v>
      </c>
      <c r="N28">
        <v>3.92800998006099</v>
      </c>
      <c r="O28">
        <v>4.1218489291979603</v>
      </c>
      <c r="P28">
        <v>4.03970595996556</v>
      </c>
      <c r="Q28">
        <v>3.9273714900321699</v>
      </c>
      <c r="R28">
        <v>3.5211161533020201</v>
      </c>
      <c r="S28">
        <v>3.7022009091768902</v>
      </c>
      <c r="T28">
        <v>3.89203927146289</v>
      </c>
      <c r="U28">
        <v>3.7815277021538298</v>
      </c>
      <c r="V28">
        <v>3.8575120048157401</v>
      </c>
      <c r="W28">
        <v>3.7549130372313901</v>
      </c>
      <c r="X28">
        <v>3.5997966921969802</v>
      </c>
      <c r="Y28">
        <v>3.6093646483013702</v>
      </c>
      <c r="Z28">
        <v>3.8228244831119902</v>
      </c>
      <c r="AA28">
        <v>3.4406667023048998</v>
      </c>
      <c r="AB28">
        <v>3.3793196615985099</v>
      </c>
      <c r="AC28">
        <v>3.4672114799013398</v>
      </c>
      <c r="AD28">
        <v>3.3950346404130198</v>
      </c>
      <c r="AE28">
        <v>3.1845904806465102</v>
      </c>
      <c r="AF28">
        <v>3.3695864771437698</v>
      </c>
      <c r="AG28">
        <v>3.3408182707363099</v>
      </c>
      <c r="AH28">
        <v>3.6135818462759</v>
      </c>
      <c r="AI28">
        <v>3.5466744055759998</v>
      </c>
      <c r="AJ28">
        <v>3.4183734033171498</v>
      </c>
      <c r="AK28">
        <v>3.1773051371374499</v>
      </c>
      <c r="AL28">
        <v>3.10174045973422</v>
      </c>
      <c r="AM28">
        <v>3.3371005278098802</v>
      </c>
      <c r="AN28">
        <v>3.0457848150003501</v>
      </c>
      <c r="AO28">
        <v>2.8288557934082301</v>
      </c>
      <c r="AP28">
        <v>2.94848457910172</v>
      </c>
      <c r="AQ28">
        <v>3.36870956736007</v>
      </c>
      <c r="AR28">
        <v>3.3440329909800601</v>
      </c>
      <c r="AS28">
        <v>3.1328424200769098</v>
      </c>
      <c r="AT28">
        <v>3.2014307794507202</v>
      </c>
      <c r="AU28">
        <v>3.2788292598241102</v>
      </c>
      <c r="AV28">
        <v>3.3337084148299798</v>
      </c>
      <c r="AW28">
        <v>3.4241900508279999</v>
      </c>
      <c r="AX28">
        <v>3.2246095292968699</v>
      </c>
      <c r="AY28">
        <v>2.85823914703017</v>
      </c>
      <c r="AZ28">
        <v>3.1207114668979101</v>
      </c>
      <c r="BA28">
        <v>3.4962006269134598</v>
      </c>
      <c r="BB28">
        <v>5.0205970255593</v>
      </c>
      <c r="BC28">
        <v>6.7756383061046304</v>
      </c>
      <c r="BD28">
        <v>6.7123871737444798</v>
      </c>
      <c r="BE28">
        <v>7.1709235763546397</v>
      </c>
      <c r="BF28">
        <v>15.604930496659</v>
      </c>
      <c r="BG28">
        <v>37.865290598794999</v>
      </c>
      <c r="BH28">
        <v>66.695613360938694</v>
      </c>
      <c r="BI28">
        <v>96.458799171624193</v>
      </c>
      <c r="BJ28">
        <v>113.841163547915</v>
      </c>
      <c r="BK28">
        <v>97.403623557509604</v>
      </c>
      <c r="BL28">
        <v>97.719730928765998</v>
      </c>
      <c r="BM28">
        <v>92.862053256184794</v>
      </c>
      <c r="BN28">
        <v>81.519403341301796</v>
      </c>
      <c r="BO28">
        <v>70.916192536183104</v>
      </c>
      <c r="BP28">
        <v>59.964352159438803</v>
      </c>
      <c r="BQ28">
        <v>51.107234880921702</v>
      </c>
      <c r="BR28">
        <v>47.740379918345504</v>
      </c>
      <c r="BS28">
        <v>42.204417651887901</v>
      </c>
      <c r="BT28">
        <v>38.806209393214601</v>
      </c>
      <c r="BU28">
        <v>38.006797263672802</v>
      </c>
      <c r="BV28">
        <v>39.383747452507599</v>
      </c>
      <c r="BW28">
        <v>38.180799582956098</v>
      </c>
      <c r="BX28">
        <v>25.413315292329901</v>
      </c>
      <c r="BY28">
        <v>24.906337774368399</v>
      </c>
      <c r="BZ28">
        <v>20.487093151981899</v>
      </c>
      <c r="CA28">
        <v>21.768796709297799</v>
      </c>
      <c r="CB28">
        <v>22.9627294159536</v>
      </c>
      <c r="CC28">
        <v>18.042190814832001</v>
      </c>
      <c r="CD28">
        <v>16.072260196841899</v>
      </c>
      <c r="CE28">
        <v>15.330143572999599</v>
      </c>
      <c r="CF28">
        <v>13.937919443228701</v>
      </c>
      <c r="CG28">
        <v>10.361539523219401</v>
      </c>
      <c r="CH28">
        <v>14.1014466508963</v>
      </c>
      <c r="CI28">
        <v>14.510800972589299</v>
      </c>
      <c r="CJ28">
        <v>11.5427090687638</v>
      </c>
      <c r="CK28">
        <v>12.2132408840609</v>
      </c>
      <c r="CL28">
        <v>11.872490674266899</v>
      </c>
      <c r="CM28">
        <v>10.396074912101099</v>
      </c>
      <c r="CN28">
        <v>8.8102336084012602</v>
      </c>
      <c r="CO28">
        <v>8.1147910691193701</v>
      </c>
      <c r="CP28">
        <v>7.49137969673827</v>
      </c>
      <c r="CQ28">
        <v>7.4387064507837302</v>
      </c>
      <c r="CR28">
        <v>7.2137760607400603</v>
      </c>
      <c r="CS28">
        <v>7.2768920284646397</v>
      </c>
      <c r="CT28">
        <v>7.7694371411684102</v>
      </c>
    </row>
    <row r="29" spans="1:98" x14ac:dyDescent="0.3">
      <c r="A29" t="s">
        <v>32</v>
      </c>
      <c r="B29">
        <v>1.4441644075</v>
      </c>
      <c r="C29">
        <v>1.5123822984999999</v>
      </c>
      <c r="D29">
        <v>1.3533179835</v>
      </c>
      <c r="E29">
        <v>1.3056302835</v>
      </c>
      <c r="F29">
        <v>1.3930697775000001</v>
      </c>
      <c r="G29">
        <v>1.357638297</v>
      </c>
      <c r="H29">
        <v>1.362681324</v>
      </c>
      <c r="I29">
        <v>1.428025611</v>
      </c>
      <c r="J29">
        <v>1.4664620669999999</v>
      </c>
      <c r="K29">
        <v>1.3805518125</v>
      </c>
      <c r="L29">
        <v>1.321577692</v>
      </c>
      <c r="M29">
        <v>1.3305822285</v>
      </c>
      <c r="N29">
        <v>1.3305822285</v>
      </c>
      <c r="O29">
        <v>1.3962008465</v>
      </c>
      <c r="P29">
        <v>1.4174729134999999</v>
      </c>
      <c r="Q29">
        <v>1.3100260825000001</v>
      </c>
      <c r="R29">
        <v>1.2590209525</v>
      </c>
      <c r="S29">
        <v>1.3008491654999901</v>
      </c>
      <c r="T29">
        <v>1.3675681405</v>
      </c>
      <c r="U29">
        <v>1.3727610129999901</v>
      </c>
      <c r="V29">
        <v>1.3106306169999999</v>
      </c>
      <c r="W29">
        <v>1.3304172409999999</v>
      </c>
      <c r="X29">
        <v>1.2636095315</v>
      </c>
      <c r="Y29">
        <v>1.269803263</v>
      </c>
      <c r="Z29">
        <v>1.3586243874999999</v>
      </c>
      <c r="AA29">
        <v>1.3056302835</v>
      </c>
      <c r="AB29">
        <v>1.2676346135000001</v>
      </c>
      <c r="AC29">
        <v>1.2868847735</v>
      </c>
      <c r="AD29">
        <v>1.2461573855000001</v>
      </c>
      <c r="AE29">
        <v>1.2263406489999999</v>
      </c>
      <c r="AF29">
        <v>1.2605418435</v>
      </c>
      <c r="AG29">
        <v>1.2897381324999999</v>
      </c>
      <c r="AH29">
        <v>1.326867053</v>
      </c>
      <c r="AI29">
        <v>1.314942037</v>
      </c>
      <c r="AJ29">
        <v>1.3033880545000001</v>
      </c>
      <c r="AK29">
        <v>1.2281127095</v>
      </c>
      <c r="AL29">
        <v>1.1599344165000001</v>
      </c>
      <c r="AM29">
        <v>1.1715929684999999</v>
      </c>
      <c r="AN29">
        <v>1.142992303</v>
      </c>
      <c r="AO29">
        <v>1.1391712730000001</v>
      </c>
      <c r="AP29">
        <v>1.126503907</v>
      </c>
      <c r="AQ29">
        <v>1.1902769595</v>
      </c>
      <c r="AR29">
        <v>1.228492825</v>
      </c>
      <c r="AS29">
        <v>1.212618097</v>
      </c>
      <c r="AT29">
        <v>1.2029581084999901</v>
      </c>
      <c r="AU29">
        <v>1.1786703704999999</v>
      </c>
      <c r="AV29">
        <v>1.251653779</v>
      </c>
      <c r="AW29">
        <v>1.2937263295000001</v>
      </c>
      <c r="AX29">
        <v>1.1877777380000001</v>
      </c>
      <c r="AY29">
        <v>1.141804142</v>
      </c>
      <c r="AZ29">
        <v>1.2578480294999901</v>
      </c>
      <c r="BA29">
        <v>1.3324552590000001</v>
      </c>
      <c r="BB29">
        <v>1.5909838079999901</v>
      </c>
      <c r="BC29">
        <v>2.1687506614999998</v>
      </c>
      <c r="BD29">
        <v>2.3007473825</v>
      </c>
      <c r="BE29">
        <v>3.2652481369999999</v>
      </c>
      <c r="BF29">
        <v>7.0573823745000004</v>
      </c>
      <c r="BG29">
        <v>13.5126390895</v>
      </c>
      <c r="BH29">
        <v>21.08342828</v>
      </c>
      <c r="BI29">
        <v>28.119352749999901</v>
      </c>
      <c r="BJ29">
        <v>32.007500319999998</v>
      </c>
      <c r="BK29">
        <v>31.620971515000001</v>
      </c>
      <c r="BL29">
        <v>30.826982135000002</v>
      </c>
      <c r="BM29">
        <v>30.790400730000002</v>
      </c>
      <c r="BN29">
        <v>28.530895780000002</v>
      </c>
      <c r="BO29">
        <v>25.756546825000001</v>
      </c>
      <c r="BP29">
        <v>23.474647859999902</v>
      </c>
      <c r="BQ29">
        <v>20.642438585000001</v>
      </c>
      <c r="BR29">
        <v>18.24147606</v>
      </c>
      <c r="BS29">
        <v>17.286459975</v>
      </c>
      <c r="BT29">
        <v>16.382398909999999</v>
      </c>
      <c r="BU29">
        <v>14.39848273</v>
      </c>
      <c r="BV29">
        <v>15.218093735</v>
      </c>
      <c r="BW29">
        <v>13.768905965</v>
      </c>
      <c r="BX29">
        <v>10.713533245000001</v>
      </c>
      <c r="BY29">
        <v>10.73823973</v>
      </c>
      <c r="BZ29">
        <v>9.41508928649999</v>
      </c>
      <c r="CA29">
        <v>9.5693059164999994</v>
      </c>
      <c r="CB29">
        <v>10.085595189999999</v>
      </c>
      <c r="CC29">
        <v>8.104838397</v>
      </c>
      <c r="CD29">
        <v>7.0321962280000001</v>
      </c>
      <c r="CE29">
        <v>7.4050236140000001</v>
      </c>
      <c r="CF29">
        <v>6.3432970429999997</v>
      </c>
      <c r="CG29">
        <v>4.9490583829999997</v>
      </c>
      <c r="CH29">
        <v>6.3638281955</v>
      </c>
      <c r="CI29">
        <v>6.4040720625000001</v>
      </c>
      <c r="CJ29">
        <v>5.2612970189999997</v>
      </c>
      <c r="CK29">
        <v>5.4874552459999997</v>
      </c>
      <c r="CL29">
        <v>5.2076250220000002</v>
      </c>
      <c r="CM29">
        <v>4.6292118670000004</v>
      </c>
      <c r="CN29">
        <v>3.8438540350000001</v>
      </c>
      <c r="CO29">
        <v>3.4907628965000002</v>
      </c>
      <c r="CP29">
        <v>3.5250784804999999</v>
      </c>
      <c r="CQ29">
        <v>3.3236783504999998</v>
      </c>
      <c r="CR29">
        <v>3.2549971329999998</v>
      </c>
      <c r="CS29">
        <v>3.3297358964999999</v>
      </c>
      <c r="CT29">
        <v>3.3683360045000001</v>
      </c>
    </row>
    <row r="30" spans="1:98" x14ac:dyDescent="0.3">
      <c r="A30" t="s">
        <v>33</v>
      </c>
      <c r="B30">
        <v>14.976742177299901</v>
      </c>
      <c r="C30">
        <v>15.7162241157399</v>
      </c>
      <c r="D30">
        <v>13.991966941139999</v>
      </c>
      <c r="E30">
        <v>13.47503227314</v>
      </c>
      <c r="F30">
        <v>14.422876388099899</v>
      </c>
      <c r="G30">
        <v>14.03879913948</v>
      </c>
      <c r="H30">
        <v>14.0934655521599</v>
      </c>
      <c r="I30">
        <v>14.801797623239899</v>
      </c>
      <c r="J30">
        <v>15.21844880628</v>
      </c>
      <c r="K30">
        <v>14.287181647499899</v>
      </c>
      <c r="L30">
        <v>13.647902181279999</v>
      </c>
      <c r="M30">
        <v>13.7455113569399</v>
      </c>
      <c r="N30">
        <v>13.7455113569399</v>
      </c>
      <c r="O30">
        <v>14.456817176059999</v>
      </c>
      <c r="P30">
        <v>14.687406382340001</v>
      </c>
      <c r="Q30">
        <v>13.5226827343</v>
      </c>
      <c r="R30">
        <v>12.9697871251</v>
      </c>
      <c r="S30">
        <v>13.4232049540199</v>
      </c>
      <c r="T30">
        <v>14.1464386430199</v>
      </c>
      <c r="U30">
        <v>14.2027293809199</v>
      </c>
      <c r="V30">
        <v>13.529235888279899</v>
      </c>
      <c r="W30">
        <v>13.7437228924399</v>
      </c>
      <c r="X30">
        <v>13.019527321459901</v>
      </c>
      <c r="Y30">
        <v>13.0866673709199</v>
      </c>
      <c r="Z30">
        <v>14.0494883604999</v>
      </c>
      <c r="AA30">
        <v>13.47503227314</v>
      </c>
      <c r="AB30">
        <v>13.06315921034</v>
      </c>
      <c r="AC30">
        <v>13.2718309447399</v>
      </c>
      <c r="AD30">
        <v>12.83034605882</v>
      </c>
      <c r="AE30">
        <v>12.615532635159999</v>
      </c>
      <c r="AF30">
        <v>12.986273583539999</v>
      </c>
      <c r="AG30">
        <v>13.3027613562999</v>
      </c>
      <c r="AH30">
        <v>13.705238854519999</v>
      </c>
      <c r="AI30">
        <v>13.575971681079899</v>
      </c>
      <c r="AJ30">
        <v>13.450726510779999</v>
      </c>
      <c r="AK30">
        <v>12.6347417709799</v>
      </c>
      <c r="AL30">
        <v>11.89568907486</v>
      </c>
      <c r="AM30">
        <v>12.022067778539901</v>
      </c>
      <c r="AN30">
        <v>11.7120365645199</v>
      </c>
      <c r="AO30">
        <v>11.670616599320001</v>
      </c>
      <c r="AP30">
        <v>11.53330235188</v>
      </c>
      <c r="AQ30">
        <v>12.224602240979999</v>
      </c>
      <c r="AR30">
        <v>12.638862222999901</v>
      </c>
      <c r="AS30">
        <v>12.46678017148</v>
      </c>
      <c r="AT30">
        <v>12.362065896139899</v>
      </c>
      <c r="AU30">
        <v>12.098786816219899</v>
      </c>
      <c r="AV30">
        <v>12.889926964359899</v>
      </c>
      <c r="AW30">
        <v>13.34599341178</v>
      </c>
      <c r="AX30">
        <v>12.197510679920001</v>
      </c>
      <c r="AY30">
        <v>11.69915689928</v>
      </c>
      <c r="AZ30">
        <v>12.9570726397799</v>
      </c>
      <c r="BA30">
        <v>13.765815007559899</v>
      </c>
      <c r="BB30">
        <v>16.5682644787199</v>
      </c>
      <c r="BC30">
        <v>22.831257170659999</v>
      </c>
      <c r="BD30">
        <v>24.262101626299899</v>
      </c>
      <c r="BE30">
        <v>34.71728980508</v>
      </c>
      <c r="BF30">
        <v>75.824024939579999</v>
      </c>
      <c r="BG30">
        <v>145.79900773017999</v>
      </c>
      <c r="BH30">
        <v>227.8663625552</v>
      </c>
      <c r="BI30">
        <v>304.135783809999</v>
      </c>
      <c r="BJ30">
        <v>346.2833034688</v>
      </c>
      <c r="BK30">
        <v>342.0933312226</v>
      </c>
      <c r="BL30">
        <v>333.48648634339997</v>
      </c>
      <c r="BM30">
        <v>333.08994391319999</v>
      </c>
      <c r="BN30">
        <v>308.59691025519999</v>
      </c>
      <c r="BO30">
        <v>278.52296758300002</v>
      </c>
      <c r="BP30">
        <v>253.787182802399</v>
      </c>
      <c r="BQ30">
        <v>223.08603426139999</v>
      </c>
      <c r="BR30">
        <v>197.05960049039999</v>
      </c>
      <c r="BS30">
        <v>186.70722612899999</v>
      </c>
      <c r="BT30">
        <v>176.9072041844</v>
      </c>
      <c r="BU30">
        <v>155.40155279320001</v>
      </c>
      <c r="BV30">
        <v>164.2861360874</v>
      </c>
      <c r="BW30">
        <v>148.5769406606</v>
      </c>
      <c r="BX30">
        <v>115.4567003758</v>
      </c>
      <c r="BY30">
        <v>115.7245186732</v>
      </c>
      <c r="BZ30">
        <v>101.38156786565899</v>
      </c>
      <c r="CA30">
        <v>103.05327613486</v>
      </c>
      <c r="CB30">
        <v>108.649851859599</v>
      </c>
      <c r="CC30">
        <v>87.178448223480004</v>
      </c>
      <c r="CD30">
        <v>75.551007111519993</v>
      </c>
      <c r="CE30">
        <v>79.592455975760004</v>
      </c>
      <c r="CF30">
        <v>68.083339946120006</v>
      </c>
      <c r="CG30">
        <v>52.969792871719903</v>
      </c>
      <c r="CH30">
        <v>68.305897639220007</v>
      </c>
      <c r="CI30">
        <v>68.742141157500001</v>
      </c>
      <c r="CJ30">
        <v>56.354459685960002</v>
      </c>
      <c r="CK30">
        <v>58.806014866639998</v>
      </c>
      <c r="CL30">
        <v>55.772655238479999</v>
      </c>
      <c r="CM30">
        <v>49.502656638280001</v>
      </c>
      <c r="CN30">
        <v>40.989377739399998</v>
      </c>
      <c r="CO30">
        <v>37.161869798060003</v>
      </c>
      <c r="CP30">
        <v>37.533850728620003</v>
      </c>
      <c r="CQ30">
        <v>35.350673319419997</v>
      </c>
      <c r="CR30">
        <v>34.606168921719998</v>
      </c>
      <c r="CS30">
        <v>35.41633711806</v>
      </c>
      <c r="CT30">
        <v>35.834762288779999</v>
      </c>
    </row>
    <row r="31" spans="1:98" x14ac:dyDescent="0.3">
      <c r="A31" t="s">
        <v>34</v>
      </c>
      <c r="B31" s="1">
        <v>44781.000694444447</v>
      </c>
      <c r="C31" s="1">
        <v>44781.011111111111</v>
      </c>
      <c r="D31" s="1">
        <v>44781.021527777775</v>
      </c>
      <c r="E31" s="1">
        <v>44781.031944444447</v>
      </c>
      <c r="F31" s="1">
        <v>44781.042361111111</v>
      </c>
      <c r="G31" s="1">
        <v>44781.052777777775</v>
      </c>
      <c r="H31" s="1">
        <v>44781.063194444447</v>
      </c>
      <c r="I31" s="1">
        <v>44781.073611111111</v>
      </c>
      <c r="J31" s="1">
        <v>44781.084027777775</v>
      </c>
      <c r="K31" s="1">
        <v>44781.094444444447</v>
      </c>
      <c r="L31" s="1">
        <v>44781.104861111111</v>
      </c>
      <c r="M31" s="1">
        <v>44781.115277777775</v>
      </c>
      <c r="N31" s="1">
        <v>44781.125694444447</v>
      </c>
      <c r="O31" s="1">
        <v>44781.136111111111</v>
      </c>
      <c r="P31" s="1">
        <v>44781.146527777775</v>
      </c>
      <c r="Q31" s="1">
        <v>44781.156944444447</v>
      </c>
      <c r="R31" s="1">
        <v>44781.167361111111</v>
      </c>
      <c r="S31" s="1">
        <v>44781.177777777775</v>
      </c>
      <c r="T31" s="1">
        <v>44781.188194444447</v>
      </c>
      <c r="U31" s="1">
        <v>44781.198611111111</v>
      </c>
      <c r="V31" s="1">
        <v>44781.209027777775</v>
      </c>
      <c r="W31" s="1">
        <v>44781.219444444447</v>
      </c>
      <c r="X31" s="1">
        <v>44781.229861111111</v>
      </c>
      <c r="Y31" s="1">
        <v>44781.240277777775</v>
      </c>
      <c r="Z31" s="1">
        <v>44781.250694444447</v>
      </c>
      <c r="AA31" s="1">
        <v>44781.261111111111</v>
      </c>
      <c r="AB31" s="1">
        <v>44781.271527777775</v>
      </c>
      <c r="AC31" s="1">
        <v>44781.281944444447</v>
      </c>
      <c r="AD31" s="1">
        <v>44781.292361111111</v>
      </c>
      <c r="AE31" s="1">
        <v>44781.302777777775</v>
      </c>
      <c r="AF31" s="1">
        <v>44781.313194444447</v>
      </c>
      <c r="AG31" s="1">
        <v>44781.323611111111</v>
      </c>
      <c r="AH31" s="1">
        <v>44781.334027777775</v>
      </c>
      <c r="AI31" s="1">
        <v>44781.344444444447</v>
      </c>
      <c r="AJ31" s="1">
        <v>44781.354861111111</v>
      </c>
      <c r="AK31" s="1">
        <v>44781.365277777775</v>
      </c>
      <c r="AL31" s="1">
        <v>44781.375694444447</v>
      </c>
      <c r="AM31" s="1">
        <v>44781.386111111111</v>
      </c>
      <c r="AN31" s="1">
        <v>44781.396527777775</v>
      </c>
      <c r="AO31" s="1">
        <v>44781.406944444447</v>
      </c>
      <c r="AP31" s="1">
        <v>44781.417361111111</v>
      </c>
      <c r="AQ31" s="1">
        <v>44781.427777777775</v>
      </c>
      <c r="AR31" s="1">
        <v>44781.438194444447</v>
      </c>
      <c r="AS31" s="1">
        <v>44781.448611111111</v>
      </c>
      <c r="AT31" s="1">
        <v>44781.459027777775</v>
      </c>
      <c r="AU31" s="1">
        <v>44781.469444444447</v>
      </c>
      <c r="AV31" s="1">
        <v>44781.479861111111</v>
      </c>
      <c r="AW31" s="1">
        <v>44781.490277777775</v>
      </c>
      <c r="AX31" s="1">
        <v>44781.500694444447</v>
      </c>
      <c r="AY31" s="1">
        <v>44781.511111111111</v>
      </c>
      <c r="AZ31" s="1">
        <v>44781.521527777775</v>
      </c>
      <c r="BA31" s="1">
        <v>44781.531944444447</v>
      </c>
      <c r="BB31" s="1">
        <v>44781.542361111111</v>
      </c>
      <c r="BC31" s="1">
        <v>44781.552777777775</v>
      </c>
      <c r="BD31" s="1">
        <v>44781.563194444447</v>
      </c>
      <c r="BE31" s="1">
        <v>44781.573611111111</v>
      </c>
      <c r="BF31" s="1">
        <v>44781.584027777775</v>
      </c>
      <c r="BG31" s="1">
        <v>44781.594444444447</v>
      </c>
      <c r="BH31" s="1">
        <v>44781.604861111111</v>
      </c>
      <c r="BI31" s="1">
        <v>44781.615277777775</v>
      </c>
      <c r="BJ31" s="1">
        <v>44781.625694444447</v>
      </c>
      <c r="BK31" s="1">
        <v>44781.636111111111</v>
      </c>
      <c r="BL31" s="1">
        <v>44781.646527777775</v>
      </c>
      <c r="BM31" s="1">
        <v>44781.656944444447</v>
      </c>
      <c r="BN31" s="1">
        <v>44781.667361111111</v>
      </c>
      <c r="BO31" s="1">
        <v>44781.677777777775</v>
      </c>
      <c r="BP31" s="1">
        <v>44781.688194444447</v>
      </c>
      <c r="BQ31" s="1">
        <v>44781.698611111111</v>
      </c>
      <c r="BR31" s="1">
        <v>44781.709027777775</v>
      </c>
      <c r="BS31" s="1">
        <v>44781.719444444447</v>
      </c>
      <c r="BT31" s="1">
        <v>44781.729861111111</v>
      </c>
      <c r="BU31" s="1">
        <v>44781.740277777775</v>
      </c>
      <c r="BV31" s="1">
        <v>44781.750694444447</v>
      </c>
      <c r="BW31" s="1">
        <v>44781.761111111111</v>
      </c>
      <c r="BX31" s="1">
        <v>44781.771527777775</v>
      </c>
      <c r="BY31" s="1">
        <v>44781.781944444447</v>
      </c>
      <c r="BZ31" s="1">
        <v>44781.792361111111</v>
      </c>
      <c r="CA31" s="1">
        <v>44781.802777777775</v>
      </c>
      <c r="CB31" s="1">
        <v>44781.813194444447</v>
      </c>
      <c r="CC31" s="1">
        <v>44781.823611111111</v>
      </c>
      <c r="CD31" s="1">
        <v>44781.834027777775</v>
      </c>
      <c r="CE31" s="1">
        <v>44781.844444444447</v>
      </c>
      <c r="CF31" s="1">
        <v>44781.854861111111</v>
      </c>
      <c r="CG31" s="1">
        <v>44781.865277777775</v>
      </c>
      <c r="CH31" s="1">
        <v>44781.875694444447</v>
      </c>
      <c r="CI31" s="1">
        <v>44781.886111111111</v>
      </c>
      <c r="CJ31" s="1">
        <v>44781.896527777775</v>
      </c>
      <c r="CK31" s="1">
        <v>44781.906944444447</v>
      </c>
      <c r="CL31" s="1">
        <v>44781.917361111111</v>
      </c>
      <c r="CM31" s="1">
        <v>44781.927777777775</v>
      </c>
      <c r="CN31" s="1">
        <v>44781.938194444447</v>
      </c>
      <c r="CO31" s="1">
        <v>44781.948611111111</v>
      </c>
      <c r="CP31" s="1">
        <v>44781.959027777775</v>
      </c>
      <c r="CQ31" s="1">
        <v>44781.969444444447</v>
      </c>
      <c r="CR31" s="1">
        <v>44781.979861111111</v>
      </c>
      <c r="CS31" s="1">
        <v>44781.990277777775</v>
      </c>
      <c r="CT31" s="1">
        <v>44782.000694444447</v>
      </c>
    </row>
    <row r="34" spans="1:27" x14ac:dyDescent="0.3">
      <c r="C34" s="2" t="s">
        <v>27</v>
      </c>
      <c r="E34" t="s">
        <v>28</v>
      </c>
      <c r="F34" t="s">
        <v>29</v>
      </c>
      <c r="G34" t="s">
        <v>30</v>
      </c>
      <c r="H34" t="s">
        <v>31</v>
      </c>
    </row>
    <row r="35" spans="1:27" x14ac:dyDescent="0.3">
      <c r="A35" t="str">
        <f>A2</f>
        <v>max_amp</v>
      </c>
      <c r="B35" s="2">
        <f>MAX(B2:CT2)</f>
        <v>0.14898440806176</v>
      </c>
      <c r="C35" s="3">
        <f>_xlfn.XLOOKUP(MAX(B2:CS2), B2:CS2, $B$1:$CS$1)</f>
        <v>44781.625694444447</v>
      </c>
      <c r="E35" s="1">
        <v>44781.000694444447</v>
      </c>
      <c r="F35">
        <v>6.0469231439594503E-3</v>
      </c>
      <c r="G35">
        <v>4.2978366290463803E-3</v>
      </c>
      <c r="H35">
        <v>4.2214043539768199E-3</v>
      </c>
      <c r="T35" t="s">
        <v>0</v>
      </c>
      <c r="U35">
        <v>0.14898440806176</v>
      </c>
    </row>
    <row r="36" spans="1:27" x14ac:dyDescent="0.3">
      <c r="A36" t="str">
        <f>A3</f>
        <v>mean_amp</v>
      </c>
      <c r="B36" s="2">
        <f>MAX(B3:CT3)</f>
        <v>0.112317926034409</v>
      </c>
      <c r="C36" s="3">
        <f>_xlfn.XLOOKUP(MAX(B3:CS3), B3:CS3, $B$1:$CS$1)</f>
        <v>44781.625694444447</v>
      </c>
      <c r="E36" s="1">
        <v>44781.011111111111</v>
      </c>
      <c r="F36">
        <v>6.56375554635191E-3</v>
      </c>
      <c r="G36">
        <v>4.3354804229423999E-3</v>
      </c>
      <c r="H36">
        <v>4.1355140429463902E-3</v>
      </c>
      <c r="T36" t="s">
        <v>1</v>
      </c>
      <c r="U36">
        <v>0.112317926034409</v>
      </c>
    </row>
    <row r="37" spans="1:27" x14ac:dyDescent="0.3">
      <c r="A37" t="str">
        <f>A4</f>
        <v>median_amp</v>
      </c>
      <c r="B37" s="2">
        <f>MAX(B4:CT4)</f>
        <v>0.11117301127726099</v>
      </c>
      <c r="C37" s="3">
        <f>_xlfn.XLOOKUP(MAX(B4:CS4), B4:CS4, $B$1:$CS$1)</f>
        <v>44781.625694444447</v>
      </c>
      <c r="E37" s="1">
        <v>44781.021527777775</v>
      </c>
      <c r="F37">
        <v>7.2204425823677396E-3</v>
      </c>
      <c r="G37">
        <v>4.0944428440284402E-3</v>
      </c>
      <c r="H37">
        <v>3.93937249440072E-3</v>
      </c>
      <c r="T37" t="s">
        <v>2</v>
      </c>
      <c r="U37">
        <v>0.11117301127726099</v>
      </c>
    </row>
    <row r="38" spans="1:27" x14ac:dyDescent="0.3">
      <c r="A38" t="str">
        <f>A5</f>
        <v>impulses_ch6</v>
      </c>
      <c r="B38" s="2">
        <f>MAX(B5:CT5)</f>
        <v>1</v>
      </c>
      <c r="C38" s="3">
        <f>_xlfn.XLOOKUP(MAX(B5:CS5), B5:CS5, $B$1:$CS$1)</f>
        <v>44781.615277777775</v>
      </c>
      <c r="E38" s="1">
        <v>44781.031944444447</v>
      </c>
      <c r="F38">
        <v>4.9163669325153203E-3</v>
      </c>
      <c r="G38">
        <v>3.7842686388332202E-3</v>
      </c>
      <c r="H38">
        <v>3.7598306188590699E-3</v>
      </c>
      <c r="T38" t="s">
        <v>3</v>
      </c>
      <c r="U38">
        <v>1</v>
      </c>
    </row>
    <row r="39" spans="1:27" x14ac:dyDescent="0.3">
      <c r="A39" t="str">
        <f>A6</f>
        <v>impulses_ch5</v>
      </c>
      <c r="B39" s="2">
        <f>MAX(B6:CT6)</f>
        <v>251</v>
      </c>
      <c r="C39" s="3">
        <f>_xlfn.XLOOKUP(MAX(B6:CS6), B6:CS6, $B$1:$CS$1)</f>
        <v>44781.625694444447</v>
      </c>
      <c r="E39" s="1">
        <v>44781.042361111111</v>
      </c>
      <c r="F39">
        <v>6.1432910420409197E-3</v>
      </c>
      <c r="G39">
        <v>4.1292433220953698E-3</v>
      </c>
      <c r="H39">
        <v>3.9930890306564297E-3</v>
      </c>
      <c r="T39" t="s">
        <v>4</v>
      </c>
      <c r="U39">
        <v>251</v>
      </c>
    </row>
    <row r="40" spans="1:27" x14ac:dyDescent="0.3">
      <c r="A40" t="str">
        <f>A7</f>
        <v>impulses_ch4</v>
      </c>
      <c r="B40" s="2">
        <f>MAX(B7:CT7)</f>
        <v>10425</v>
      </c>
      <c r="C40" s="3">
        <f>_xlfn.XLOOKUP(MAX(B7:CS7), B7:CS7, $B$1:$CS$1)</f>
        <v>44781.625694444447</v>
      </c>
      <c r="E40" s="1">
        <v>44781.052777777775</v>
      </c>
      <c r="F40">
        <v>5.0617427489876698E-3</v>
      </c>
      <c r="G40">
        <v>4.0280544764842996E-3</v>
      </c>
      <c r="H40">
        <v>3.9720545726618798E-3</v>
      </c>
      <c r="T40" t="s">
        <v>5</v>
      </c>
      <c r="U40">
        <v>10425</v>
      </c>
    </row>
    <row r="41" spans="1:27" x14ac:dyDescent="0.3">
      <c r="A41" t="str">
        <f>A8</f>
        <v>impulses_ch3</v>
      </c>
      <c r="B41" s="2">
        <f>MAX(B8:CT8)</f>
        <v>14547</v>
      </c>
      <c r="C41" s="3">
        <f>_xlfn.XLOOKUP(MAX(B8:CS8), B8:CS8, $B$1:$CS$1)</f>
        <v>44781.594444444447</v>
      </c>
      <c r="E41" s="1">
        <v>44781.063194444447</v>
      </c>
      <c r="F41">
        <v>6.5557852933517801E-3</v>
      </c>
      <c r="G41">
        <v>4.1249052371093598E-3</v>
      </c>
      <c r="H41">
        <v>4.0597090080328E-3</v>
      </c>
      <c r="T41" t="s">
        <v>6</v>
      </c>
      <c r="U41">
        <v>14547</v>
      </c>
    </row>
    <row r="42" spans="1:27" x14ac:dyDescent="0.3">
      <c r="A42" t="str">
        <f>A9</f>
        <v>impulses_ch2</v>
      </c>
      <c r="B42" s="2">
        <f>MAX(B9:CT9)</f>
        <v>15000</v>
      </c>
      <c r="C42" s="3">
        <f>_xlfn.XLOOKUP(MAX(B9:CS9), B9:CS9, $B$1:$CS$1)</f>
        <v>44781.584027777775</v>
      </c>
      <c r="E42" s="1">
        <v>44781.073611111111</v>
      </c>
      <c r="F42">
        <v>7.52871241158087E-3</v>
      </c>
      <c r="G42">
        <v>4.3941123828622596E-3</v>
      </c>
      <c r="H42">
        <v>4.2045191490001303E-3</v>
      </c>
      <c r="T42" t="s">
        <v>7</v>
      </c>
      <c r="U42">
        <v>15000</v>
      </c>
    </row>
    <row r="43" spans="1:27" x14ac:dyDescent="0.3">
      <c r="A43" t="str">
        <f>A10</f>
        <v>impulses_ch1</v>
      </c>
      <c r="B43" s="2">
        <f>MAX(B10:CT10)</f>
        <v>13501</v>
      </c>
      <c r="C43" s="3">
        <f>_xlfn.XLOOKUP(MAX(B10:CS10), B10:CS10, $B$1:$CS$1)</f>
        <v>44781.427777777775</v>
      </c>
      <c r="E43" s="1">
        <v>44781.084027777775</v>
      </c>
      <c r="F43">
        <v>6.5611424295337999E-3</v>
      </c>
      <c r="G43">
        <v>4.5892224696299899E-3</v>
      </c>
      <c r="H43">
        <v>4.5350806438014101E-3</v>
      </c>
      <c r="T43" t="s">
        <v>8</v>
      </c>
      <c r="U43">
        <v>13501</v>
      </c>
    </row>
    <row r="44" spans="1:27" x14ac:dyDescent="0.3">
      <c r="A44" t="str">
        <f>A11</f>
        <v>max_env_ch6</v>
      </c>
      <c r="B44" s="2">
        <f>MAX(B11:CT11)</f>
        <v>0.125763766867726</v>
      </c>
      <c r="C44" s="3">
        <f>_xlfn.XLOOKUP(MAX(B11:CS11), B11:CS11, $B$1:$CS$1)</f>
        <v>44781.615277777775</v>
      </c>
      <c r="E44" s="1">
        <v>44781.094444444447</v>
      </c>
      <c r="F44">
        <v>7.3380045432390904E-3</v>
      </c>
      <c r="G44">
        <v>4.0858377218463797E-3</v>
      </c>
      <c r="H44">
        <v>4.08218835816358E-3</v>
      </c>
    </row>
    <row r="45" spans="1:27" x14ac:dyDescent="0.3">
      <c r="A45" t="str">
        <f>A12</f>
        <v>mean_env_ch6</v>
      </c>
      <c r="B45" s="2">
        <f>MAX(B12:CT12)</f>
        <v>0.125763766867726</v>
      </c>
      <c r="C45" s="3">
        <f>_xlfn.XLOOKUP(MAX(B12:CS12), B12:CS12, $B$1:$CS$1)</f>
        <v>44781.615277777775</v>
      </c>
      <c r="E45" s="1">
        <v>44781.104861111111</v>
      </c>
      <c r="F45">
        <v>5.6957477230565297E-3</v>
      </c>
      <c r="G45">
        <v>3.9752375415591096E-3</v>
      </c>
      <c r="H45">
        <v>3.9787822523928203E-3</v>
      </c>
    </row>
    <row r="46" spans="1:27" x14ac:dyDescent="0.3">
      <c r="A46" t="str">
        <f>A13</f>
        <v>median_env_ch6</v>
      </c>
      <c r="B46" s="2">
        <f>MAX(B13:CT13)</f>
        <v>0.125763766867726</v>
      </c>
      <c r="C46" s="3">
        <f>_xlfn.XLOOKUP(MAX(B13:CS13), B13:CS13, $B$1:$CS$1)</f>
        <v>44781.615277777775</v>
      </c>
      <c r="E46" s="1">
        <v>44781.115277777775</v>
      </c>
      <c r="F46">
        <v>5.6481304996276703E-3</v>
      </c>
      <c r="G46">
        <v>3.9070010454437896E-3</v>
      </c>
      <c r="H46">
        <v>3.7123539353702099E-3</v>
      </c>
      <c r="U46" t="s">
        <v>35</v>
      </c>
    </row>
    <row r="47" spans="1:27" x14ac:dyDescent="0.3">
      <c r="A47" t="str">
        <f>A14</f>
        <v>max_env_ch5</v>
      </c>
      <c r="B47" s="2">
        <f>MAX(B14:CT14)</f>
        <v>0.59593763224704199</v>
      </c>
      <c r="C47" s="3">
        <f>_xlfn.XLOOKUP(MAX(B14:CS14), B14:CS14, $B$1:$CS$1)</f>
        <v>44781.625694444447</v>
      </c>
      <c r="E47" s="1">
        <v>44781.125694444447</v>
      </c>
      <c r="F47">
        <v>5.1988495392241204E-3</v>
      </c>
      <c r="G47">
        <v>3.9012524312458702E-3</v>
      </c>
      <c r="H47">
        <v>3.8359472461533101E-3</v>
      </c>
      <c r="U47" t="s">
        <v>36</v>
      </c>
      <c r="V47" t="s">
        <v>37</v>
      </c>
      <c r="W47" t="s">
        <v>38</v>
      </c>
      <c r="Y47" t="s">
        <v>36</v>
      </c>
      <c r="Z47" t="s">
        <v>37</v>
      </c>
      <c r="AA47" t="s">
        <v>38</v>
      </c>
    </row>
    <row r="48" spans="1:27" x14ac:dyDescent="0.3">
      <c r="A48" t="str">
        <f>A15</f>
        <v>mean_env_ch5</v>
      </c>
      <c r="B48" s="2">
        <f>MAX(B15:CT15)</f>
        <v>0.45707255569017602</v>
      </c>
      <c r="C48" s="3">
        <f>_xlfn.XLOOKUP(MAX(B15:CS15), B15:CS15, $B$1:$CS$1)</f>
        <v>44781.625694444447</v>
      </c>
      <c r="E48" s="1">
        <v>44781.136111111111</v>
      </c>
      <c r="F48">
        <v>5.8988777260034304E-3</v>
      </c>
      <c r="G48">
        <v>4.0889586860962199E-3</v>
      </c>
      <c r="H48">
        <v>4.0252430949198796E-3</v>
      </c>
      <c r="T48" t="s">
        <v>39</v>
      </c>
      <c r="U48" s="4">
        <f>B44</f>
        <v>0.125763766867726</v>
      </c>
      <c r="V48" s="4">
        <f>B45</f>
        <v>0.125763766867726</v>
      </c>
      <c r="W48" s="4">
        <f>B46</f>
        <v>0.125763766867726</v>
      </c>
      <c r="Y48" s="2">
        <v>0.125763766867726</v>
      </c>
      <c r="Z48" s="2">
        <v>0.125763766867726</v>
      </c>
      <c r="AA48" s="2">
        <v>0.125763766867726</v>
      </c>
    </row>
    <row r="49" spans="1:27" x14ac:dyDescent="0.3">
      <c r="A49" t="str">
        <f>A16</f>
        <v>median_env_ch5</v>
      </c>
      <c r="B49" s="2">
        <f>MAX(B16:CT16)</f>
        <v>0.45011245031699898</v>
      </c>
      <c r="C49" s="3">
        <f>_xlfn.XLOOKUP(MAX(B16:CS16), B16:CS16, $B$1:$CS$1)</f>
        <v>44781.625694444447</v>
      </c>
      <c r="E49" s="1">
        <v>44781.146527777775</v>
      </c>
      <c r="F49">
        <v>5.6017388441390696E-3</v>
      </c>
      <c r="G49">
        <v>4.07709574845293E-3</v>
      </c>
      <c r="H49">
        <v>3.9450253515288698E-3</v>
      </c>
      <c r="T49" t="s">
        <v>40</v>
      </c>
      <c r="U49" s="4">
        <f>B47</f>
        <v>0.59593763224704199</v>
      </c>
      <c r="V49" s="4">
        <f>B48</f>
        <v>0.45707255569017602</v>
      </c>
      <c r="W49" s="4">
        <f>B49</f>
        <v>0.45011245031699898</v>
      </c>
      <c r="Y49" s="2">
        <v>0.59593763224704199</v>
      </c>
      <c r="Z49" s="2">
        <v>0.45707255569017602</v>
      </c>
      <c r="AA49" s="2">
        <v>0.45011245031699898</v>
      </c>
    </row>
    <row r="50" spans="1:27" x14ac:dyDescent="0.3">
      <c r="A50" t="str">
        <f>A17</f>
        <v>max_env_ch4</v>
      </c>
      <c r="B50" s="2">
        <f>MAX(B17:CT17)</f>
        <v>2.38375052898816</v>
      </c>
      <c r="C50" s="3">
        <f>_xlfn.XLOOKUP(MAX(B17:CS17), B17:CS17, $B$1:$CS$1)</f>
        <v>44781.625694444447</v>
      </c>
      <c r="E50" s="1">
        <v>44781.156944444447</v>
      </c>
      <c r="F50">
        <v>5.4404997995698198E-3</v>
      </c>
      <c r="G50">
        <v>3.8052749570223398E-3</v>
      </c>
      <c r="H50">
        <v>3.83532372073454E-3</v>
      </c>
      <c r="T50" t="s">
        <v>41</v>
      </c>
      <c r="U50" s="4">
        <f>B50</f>
        <v>2.38375052898816</v>
      </c>
      <c r="V50" s="4">
        <f>B51</f>
        <v>1.79708681655055</v>
      </c>
      <c r="W50" s="4">
        <f>B52</f>
        <v>1.7787681804361799</v>
      </c>
      <c r="Y50" s="2">
        <v>2.38375052898816</v>
      </c>
      <c r="Z50" s="2">
        <v>1.79708681655055</v>
      </c>
      <c r="AA50" s="2">
        <v>1.7787681804361799</v>
      </c>
    </row>
    <row r="51" spans="1:27" x14ac:dyDescent="0.3">
      <c r="A51" t="str">
        <f>A18</f>
        <v>mean_env_ch4</v>
      </c>
      <c r="B51" s="2">
        <f>MAX(B18:CT18)</f>
        <v>1.79708681655055</v>
      </c>
      <c r="C51" s="3">
        <f>_xlfn.XLOOKUP(MAX(B18:CS18), B18:CS18, $B$1:$CS$1)</f>
        <v>44781.625694444447</v>
      </c>
      <c r="E51" s="1">
        <v>44781.167361111111</v>
      </c>
      <c r="F51">
        <v>5.1089359989938297E-3</v>
      </c>
      <c r="G51">
        <v>3.4671254175256102E-3</v>
      </c>
      <c r="H51">
        <v>3.4385899934590101E-3</v>
      </c>
      <c r="T51" t="s">
        <v>42</v>
      </c>
      <c r="U51" s="4">
        <f>B53</f>
        <v>9.5350021159526701</v>
      </c>
      <c r="V51" s="4">
        <f>B54</f>
        <v>7.1883472662022196</v>
      </c>
      <c r="W51" s="4">
        <f>B55</f>
        <v>7.11507272174474</v>
      </c>
      <c r="Y51" s="2">
        <v>9.5350021159526701</v>
      </c>
      <c r="Z51" s="2">
        <v>7.1883472662022196</v>
      </c>
      <c r="AA51" s="2">
        <v>7.11507272174474</v>
      </c>
    </row>
    <row r="52" spans="1:27" x14ac:dyDescent="0.3">
      <c r="A52" t="str">
        <f>A19</f>
        <v>median_env_ch4</v>
      </c>
      <c r="B52" s="2">
        <f>MAX(B19:CT19)</f>
        <v>1.7787681804361799</v>
      </c>
      <c r="C52" s="3">
        <f>_xlfn.XLOOKUP(MAX(B19:CS19), B19:CS19, $B$1:$CS$1)</f>
        <v>44781.625694444447</v>
      </c>
      <c r="E52" s="1">
        <v>44781.177777777775</v>
      </c>
      <c r="F52">
        <v>5.3707034162350604E-3</v>
      </c>
      <c r="G52">
        <v>3.7146140536783601E-3</v>
      </c>
      <c r="H52">
        <v>3.6154305753680598E-3</v>
      </c>
      <c r="T52" t="s">
        <v>43</v>
      </c>
      <c r="U52" s="4">
        <f>B56</f>
        <v>38.140008463810602</v>
      </c>
      <c r="V52" s="4">
        <f>B57</f>
        <v>28.7533890648089</v>
      </c>
      <c r="W52" s="4">
        <f>B58</f>
        <v>28.4602908869789</v>
      </c>
      <c r="Y52" s="2">
        <v>38.140008463810602</v>
      </c>
      <c r="Z52" s="2">
        <v>28.7533890648089</v>
      </c>
      <c r="AA52" s="2">
        <v>28.4602908869789</v>
      </c>
    </row>
    <row r="53" spans="1:27" x14ac:dyDescent="0.3">
      <c r="A53" t="str">
        <f>A20</f>
        <v>max_env_ch3</v>
      </c>
      <c r="B53" s="2">
        <f>MAX(B20:CT20)</f>
        <v>9.5350021159526701</v>
      </c>
      <c r="C53" s="3">
        <f>_xlfn.XLOOKUP(MAX(B20:CS20), B20:CS20, $B$1:$CS$1)</f>
        <v>44781.625694444447</v>
      </c>
      <c r="E53" s="1">
        <v>44781.188194444447</v>
      </c>
      <c r="F53">
        <v>5.8773466869862798E-3</v>
      </c>
      <c r="G53">
        <v>3.9119781453504504E-3</v>
      </c>
      <c r="H53">
        <v>3.8008196010379798E-3</v>
      </c>
      <c r="T53" t="s">
        <v>44</v>
      </c>
      <c r="U53" s="4">
        <f>B59</f>
        <v>152.56003385524201</v>
      </c>
      <c r="V53" s="4">
        <f>B60</f>
        <v>115.013556259235</v>
      </c>
      <c r="W53" s="4">
        <f>B61</f>
        <v>113.841163547915</v>
      </c>
      <c r="Y53" s="2">
        <v>152.56003385524201</v>
      </c>
      <c r="Z53" s="2">
        <v>115.013556259235</v>
      </c>
      <c r="AA53" s="2">
        <v>113.841163547915</v>
      </c>
    </row>
    <row r="54" spans="1:27" x14ac:dyDescent="0.3">
      <c r="A54" t="str">
        <f>A21</f>
        <v>mean_env_ch3</v>
      </c>
      <c r="B54" s="2">
        <f>MAX(B21:CT21)</f>
        <v>7.1883472662022196</v>
      </c>
      <c r="C54" s="3">
        <f>_xlfn.XLOOKUP(MAX(B21:CS21), B21:CS21, $B$1:$CS$1)</f>
        <v>44781.625694444447</v>
      </c>
      <c r="E54" s="1">
        <v>44781.198611111111</v>
      </c>
      <c r="F54">
        <v>5.0061447360213798E-3</v>
      </c>
      <c r="G54">
        <v>3.790573677145E-3</v>
      </c>
      <c r="H54">
        <v>3.6928981466345999E-3</v>
      </c>
    </row>
    <row r="55" spans="1:27" x14ac:dyDescent="0.3">
      <c r="A55" t="str">
        <f>A22</f>
        <v>median_env_ch3</v>
      </c>
      <c r="B55" s="2">
        <f>MAX(B22:CT22)</f>
        <v>7.11507272174474</v>
      </c>
      <c r="C55" s="3">
        <f>_xlfn.XLOOKUP(MAX(B22:CS22), B22:CS22, $B$1:$CS$1)</f>
        <v>44781.625694444447</v>
      </c>
      <c r="E55" s="1">
        <v>44781.209027777775</v>
      </c>
      <c r="F55">
        <v>5.04844433035272E-3</v>
      </c>
      <c r="G55">
        <v>3.7308992331199701E-3</v>
      </c>
      <c r="H55">
        <v>3.7671015672028699E-3</v>
      </c>
    </row>
    <row r="56" spans="1:27" x14ac:dyDescent="0.3">
      <c r="A56" t="str">
        <f>A23</f>
        <v>max_env_ch2</v>
      </c>
      <c r="B56" s="2">
        <f>MAX(B23:CT23)</f>
        <v>38.140008463810602</v>
      </c>
      <c r="C56" s="3">
        <f>_xlfn.XLOOKUP(MAX(B23:CS23), B23:CS23, $B$1:$CS$1)</f>
        <v>44781.625694444447</v>
      </c>
      <c r="E56" s="1">
        <v>44781.219444444447</v>
      </c>
      <c r="F56">
        <v>6.3804371436353103E-3</v>
      </c>
      <c r="G56">
        <v>3.7388754956157299E-3</v>
      </c>
      <c r="H56">
        <v>3.6669072629212799E-3</v>
      </c>
    </row>
    <row r="57" spans="1:27" x14ac:dyDescent="0.3">
      <c r="A57" t="str">
        <f>A24</f>
        <v>mean_env_ch2</v>
      </c>
      <c r="B57" s="2">
        <f>MAX(B24:CT24)</f>
        <v>28.7533890648089</v>
      </c>
      <c r="C57" s="3">
        <f>_xlfn.XLOOKUP(MAX(B24:CS24), B24:CS24, $B$1:$CS$1)</f>
        <v>44781.625694444447</v>
      </c>
      <c r="E57" s="1">
        <v>44781.229861111111</v>
      </c>
      <c r="F57">
        <v>4.56356600210381E-3</v>
      </c>
      <c r="G57">
        <v>3.5030189744991698E-3</v>
      </c>
      <c r="H57">
        <v>3.51542645722361E-3</v>
      </c>
    </row>
    <row r="58" spans="1:27" x14ac:dyDescent="0.3">
      <c r="A58" t="str">
        <f>A25</f>
        <v>median_env_ch2</v>
      </c>
      <c r="B58" s="2">
        <f>MAX(B25:CT25)</f>
        <v>28.4602908869789</v>
      </c>
      <c r="C58" s="3">
        <f>_xlfn.XLOOKUP(MAX(B25:CS25), B25:CS25, $B$1:$CS$1)</f>
        <v>44781.625694444447</v>
      </c>
      <c r="E58" s="1">
        <v>44781.240277777775</v>
      </c>
      <c r="F58">
        <v>5.5992226027756402E-3</v>
      </c>
      <c r="G58">
        <v>3.5837547039298898E-3</v>
      </c>
      <c r="H58">
        <v>3.5247701643568098E-3</v>
      </c>
    </row>
    <row r="59" spans="1:27" x14ac:dyDescent="0.3">
      <c r="A59" t="str">
        <f>A26</f>
        <v>max_env_ch1</v>
      </c>
      <c r="B59" s="2">
        <f>MAX(B26:CT26)</f>
        <v>152.56003385524201</v>
      </c>
      <c r="C59" s="3">
        <f>_xlfn.XLOOKUP(MAX(B26:CS26), B26:CS26, $B$1:$CS$1)</f>
        <v>44781.625694444447</v>
      </c>
      <c r="E59" s="1">
        <v>44781.250694444447</v>
      </c>
      <c r="F59">
        <v>5.3684220822813001E-3</v>
      </c>
      <c r="G59">
        <v>3.8262493935479502E-3</v>
      </c>
      <c r="H59">
        <v>3.7332270342890599E-3</v>
      </c>
    </row>
    <row r="60" spans="1:27" x14ac:dyDescent="0.3">
      <c r="A60" t="str">
        <f>A27</f>
        <v>mean_env_ch1</v>
      </c>
      <c r="B60" s="2">
        <f>MAX(B27:CT27)</f>
        <v>115.013556259235</v>
      </c>
      <c r="C60" s="3">
        <f>_xlfn.XLOOKUP(MAX(B27:CS27), B27:CS27, $B$1:$CS$1)</f>
        <v>44781.625694444447</v>
      </c>
      <c r="E60" s="1">
        <v>44781.261111111111</v>
      </c>
      <c r="F60">
        <v>4.5941422717085002E-3</v>
      </c>
      <c r="G60">
        <v>3.4106431538840202E-3</v>
      </c>
      <c r="H60">
        <v>3.36002607646963E-3</v>
      </c>
    </row>
    <row r="61" spans="1:27" x14ac:dyDescent="0.3">
      <c r="A61" t="str">
        <f t="shared" ref="A61" si="0">A28</f>
        <v>median_env_ch1</v>
      </c>
      <c r="B61" s="2">
        <f t="shared" ref="B61" si="1">MAX(B28:CT28)</f>
        <v>113.841163547915</v>
      </c>
      <c r="C61" s="3">
        <f t="shared" ref="C61" si="2">_xlfn.XLOOKUP(MAX(B28:CS28), B28:CS28, $B$1:$CS$1)</f>
        <v>44781.625694444447</v>
      </c>
      <c r="E61" s="1">
        <v>44781.271527777775</v>
      </c>
      <c r="F61">
        <v>5.3744022701121804E-3</v>
      </c>
      <c r="G61">
        <v>3.3830972671215699E-3</v>
      </c>
      <c r="H61">
        <v>3.3001168570297901E-3</v>
      </c>
    </row>
    <row r="62" spans="1:27" x14ac:dyDescent="0.3">
      <c r="E62" s="1">
        <v>44781.281944444447</v>
      </c>
      <c r="F62">
        <v>4.7606439425484301E-3</v>
      </c>
      <c r="G62">
        <v>3.3719429654378999E-3</v>
      </c>
      <c r="H62">
        <v>3.38594871084115E-3</v>
      </c>
    </row>
    <row r="63" spans="1:27" x14ac:dyDescent="0.3">
      <c r="E63" s="1">
        <v>44781.292361111111</v>
      </c>
      <c r="F63">
        <v>4.4952284162685704E-3</v>
      </c>
      <c r="G63">
        <v>3.3679296994318601E-3</v>
      </c>
      <c r="H63">
        <v>3.3154635160283401E-3</v>
      </c>
    </row>
    <row r="64" spans="1:27" x14ac:dyDescent="0.3">
      <c r="E64" s="1">
        <v>44781.302777777775</v>
      </c>
      <c r="F64">
        <v>5.0175661086275403E-3</v>
      </c>
      <c r="G64">
        <v>3.2280981077944001E-3</v>
      </c>
      <c r="H64">
        <v>3.1099516412563602E-3</v>
      </c>
    </row>
    <row r="65" spans="5:8" x14ac:dyDescent="0.3">
      <c r="E65" s="1">
        <v>44781.313194444447</v>
      </c>
      <c r="F65">
        <v>5.2176956595004903E-3</v>
      </c>
      <c r="G65">
        <v>3.3464846770408199E-3</v>
      </c>
      <c r="H65">
        <v>3.2906117940857101E-3</v>
      </c>
    </row>
    <row r="66" spans="5:8" x14ac:dyDescent="0.3">
      <c r="E66" s="1">
        <v>44781.323611111111</v>
      </c>
      <c r="F66">
        <v>4.9774134811304202E-3</v>
      </c>
      <c r="G66">
        <v>3.3800084881188898E-3</v>
      </c>
      <c r="H66">
        <v>3.2625178425159298E-3</v>
      </c>
    </row>
    <row r="67" spans="5:8" x14ac:dyDescent="0.3">
      <c r="E67" s="1">
        <v>44781.334027777775</v>
      </c>
      <c r="F67">
        <v>5.7448168450008399E-3</v>
      </c>
      <c r="G67">
        <v>3.5479468852484602E-3</v>
      </c>
      <c r="H67">
        <v>3.5288885217538099E-3</v>
      </c>
    </row>
    <row r="68" spans="5:8" x14ac:dyDescent="0.3">
      <c r="E68" s="1">
        <v>44781.344444444447</v>
      </c>
      <c r="F68">
        <v>6.0881835700110198E-3</v>
      </c>
      <c r="G68">
        <v>3.4971172185128199E-3</v>
      </c>
      <c r="H68">
        <v>3.4635492241953101E-3</v>
      </c>
    </row>
    <row r="69" spans="5:8" x14ac:dyDescent="0.3">
      <c r="E69" s="1">
        <v>44781.354861111111</v>
      </c>
      <c r="F69">
        <v>5.3679535363414799E-3</v>
      </c>
      <c r="G69">
        <v>3.4089648339401201E-3</v>
      </c>
      <c r="H69">
        <v>3.3382552766769002E-3</v>
      </c>
    </row>
    <row r="70" spans="5:8" x14ac:dyDescent="0.3">
      <c r="E70" s="1">
        <v>44781.365277777775</v>
      </c>
      <c r="F70">
        <v>4.9211957060063998E-3</v>
      </c>
      <c r="G70">
        <v>3.19795330886066E-3</v>
      </c>
      <c r="H70">
        <v>3.10283704798579E-3</v>
      </c>
    </row>
    <row r="71" spans="5:8" x14ac:dyDescent="0.3">
      <c r="E71" s="1">
        <v>44781.375694444447</v>
      </c>
      <c r="F71">
        <v>4.7084380599530301E-3</v>
      </c>
      <c r="G71">
        <v>3.0842268293183399E-3</v>
      </c>
      <c r="H71">
        <v>3.0290434177092001E-3</v>
      </c>
    </row>
    <row r="72" spans="5:8" x14ac:dyDescent="0.3">
      <c r="E72" s="1">
        <v>44781.386111111111</v>
      </c>
      <c r="F72">
        <v>5.3160367847957402E-3</v>
      </c>
      <c r="G72">
        <v>3.23353756623539E-3</v>
      </c>
      <c r="H72">
        <v>3.25888723418934E-3</v>
      </c>
    </row>
    <row r="73" spans="5:8" x14ac:dyDescent="0.3">
      <c r="E73" s="1">
        <v>44781.396527777775</v>
      </c>
      <c r="F73">
        <v>4.3226318666192897E-3</v>
      </c>
      <c r="G73">
        <v>3.0068126845065901E-3</v>
      </c>
      <c r="H73">
        <v>2.9743992333987799E-3</v>
      </c>
    </row>
    <row r="74" spans="5:8" x14ac:dyDescent="0.3">
      <c r="E74" s="1">
        <v>44781.406944444447</v>
      </c>
      <c r="F74">
        <v>4.65503133411056E-3</v>
      </c>
      <c r="G74">
        <v>2.93963850044574E-3</v>
      </c>
      <c r="H74">
        <v>2.76255448575022E-3</v>
      </c>
    </row>
    <row r="75" spans="5:8" x14ac:dyDescent="0.3">
      <c r="E75" s="1">
        <v>44781.417361111111</v>
      </c>
      <c r="F75">
        <v>4.9603241773081303E-3</v>
      </c>
      <c r="G75">
        <v>2.99721981099726E-3</v>
      </c>
      <c r="H75">
        <v>2.87937947177902E-3</v>
      </c>
    </row>
    <row r="76" spans="5:8" x14ac:dyDescent="0.3">
      <c r="E76" s="1">
        <v>44781.427777777775</v>
      </c>
      <c r="F76">
        <v>4.59958796512926E-3</v>
      </c>
      <c r="G76">
        <v>3.32697779325205E-3</v>
      </c>
      <c r="H76">
        <v>3.2897554368750701E-3</v>
      </c>
    </row>
    <row r="77" spans="5:8" x14ac:dyDescent="0.3">
      <c r="E77" s="1">
        <v>44781.438194444447</v>
      </c>
      <c r="F77">
        <v>5.2048343185654902E-3</v>
      </c>
      <c r="G77">
        <v>3.35964134267685E-3</v>
      </c>
      <c r="H77">
        <v>3.2656572177539602E-3</v>
      </c>
    </row>
    <row r="78" spans="5:8" x14ac:dyDescent="0.3">
      <c r="E78" s="1">
        <v>44781.448611111111</v>
      </c>
      <c r="F78">
        <v>4.22498111988344E-3</v>
      </c>
      <c r="G78">
        <v>3.1415377613526101E-3</v>
      </c>
      <c r="H78">
        <v>3.0594164258563599E-3</v>
      </c>
    </row>
    <row r="79" spans="5:8" x14ac:dyDescent="0.3">
      <c r="E79" s="1">
        <v>44781.459027777775</v>
      </c>
      <c r="F79">
        <v>5.10226766732917E-3</v>
      </c>
      <c r="G79">
        <v>3.2232042790338701E-3</v>
      </c>
      <c r="H79">
        <v>3.12639724555734E-3</v>
      </c>
    </row>
    <row r="80" spans="5:8" x14ac:dyDescent="0.3">
      <c r="E80" s="1">
        <v>44781.469444444447</v>
      </c>
      <c r="F80">
        <v>4.3809882203171601E-3</v>
      </c>
      <c r="G80">
        <v>3.17368055431398E-3</v>
      </c>
      <c r="H80">
        <v>3.20198169904699E-3</v>
      </c>
    </row>
    <row r="81" spans="5:8" x14ac:dyDescent="0.3">
      <c r="E81" s="1">
        <v>44781.479861111111</v>
      </c>
      <c r="F81">
        <v>4.8217006396481903E-3</v>
      </c>
      <c r="G81">
        <v>3.2692585681471701E-3</v>
      </c>
      <c r="H81">
        <v>3.2555746238574E-3</v>
      </c>
    </row>
    <row r="82" spans="5:8" x14ac:dyDescent="0.3">
      <c r="E82" s="1">
        <v>44781.490277777775</v>
      </c>
      <c r="F82">
        <v>4.8660516081840801E-3</v>
      </c>
      <c r="G82">
        <v>3.3529127955948799E-3</v>
      </c>
      <c r="H82">
        <v>3.3439355965117199E-3</v>
      </c>
    </row>
    <row r="83" spans="5:8" x14ac:dyDescent="0.3">
      <c r="E83" s="1">
        <v>44781.500694444447</v>
      </c>
      <c r="F83">
        <v>4.2024248391712097E-3</v>
      </c>
      <c r="G83">
        <v>3.18324412785109E-3</v>
      </c>
      <c r="H83">
        <v>3.1490327434539802E-3</v>
      </c>
    </row>
    <row r="84" spans="5:8" x14ac:dyDescent="0.3">
      <c r="E84" s="1">
        <v>44781.511111111111</v>
      </c>
      <c r="F84">
        <v>4.9520539198106396E-3</v>
      </c>
      <c r="G84">
        <v>2.9297995357477099E-3</v>
      </c>
      <c r="H84">
        <v>2.79124916702165E-3</v>
      </c>
    </row>
    <row r="85" spans="5:8" x14ac:dyDescent="0.3">
      <c r="E85" s="1">
        <v>44781.521527777775</v>
      </c>
      <c r="F85">
        <v>4.9703996341896898E-3</v>
      </c>
      <c r="G85">
        <v>3.0945842533160999E-3</v>
      </c>
      <c r="H85">
        <v>3.0475697918924899E-3</v>
      </c>
    </row>
    <row r="86" spans="5:8" x14ac:dyDescent="0.3">
      <c r="E86" s="1">
        <v>44781.531944444447</v>
      </c>
      <c r="F86">
        <v>5.5003071162387802E-3</v>
      </c>
      <c r="G86">
        <v>3.4653386962368699E-3</v>
      </c>
      <c r="H86">
        <v>3.4142584247201799E-3</v>
      </c>
    </row>
    <row r="87" spans="5:8" x14ac:dyDescent="0.3">
      <c r="E87" s="1">
        <v>44781.542361111111</v>
      </c>
      <c r="F87">
        <v>7.6506695299502197E-3</v>
      </c>
      <c r="G87">
        <v>4.9273474325603603E-3</v>
      </c>
      <c r="H87">
        <v>4.9029267827727504E-3</v>
      </c>
    </row>
    <row r="88" spans="5:8" x14ac:dyDescent="0.3">
      <c r="E88" s="1">
        <v>44781.552777777775</v>
      </c>
      <c r="F88">
        <v>1.04420908899672E-2</v>
      </c>
      <c r="G88">
        <v>6.7038398064537402E-3</v>
      </c>
      <c r="H88">
        <v>6.6168342833052996E-3</v>
      </c>
    </row>
    <row r="89" spans="5:8" x14ac:dyDescent="0.3">
      <c r="E89" s="1">
        <v>44781.563194444447</v>
      </c>
      <c r="F89">
        <v>9.6862058472059493E-3</v>
      </c>
      <c r="G89">
        <v>6.6912226684940597E-3</v>
      </c>
      <c r="H89">
        <v>6.5550655993598401E-3</v>
      </c>
    </row>
    <row r="90" spans="5:8" x14ac:dyDescent="0.3">
      <c r="E90" s="1">
        <v>44781.573611111111</v>
      </c>
      <c r="F90">
        <v>1.23056027378025E-2</v>
      </c>
      <c r="G90">
        <v>7.32326448834746E-3</v>
      </c>
      <c r="H90">
        <v>7.0028550550338201E-3</v>
      </c>
    </row>
    <row r="91" spans="5:8" x14ac:dyDescent="0.3">
      <c r="E91" s="1">
        <v>44781.584027777775</v>
      </c>
      <c r="F91">
        <v>2.1525909077523799E-2</v>
      </c>
      <c r="G91">
        <v>1.55905101081247E-2</v>
      </c>
      <c r="H91">
        <v>1.5239189938143501E-2</v>
      </c>
    </row>
    <row r="92" spans="5:8" x14ac:dyDescent="0.3">
      <c r="E92" s="1">
        <v>44781.594444444447</v>
      </c>
      <c r="F92">
        <v>4.8026862903487698E-2</v>
      </c>
      <c r="G92">
        <v>3.80233828784972E-2</v>
      </c>
      <c r="H92">
        <v>3.69778228503857E-2</v>
      </c>
    </row>
    <row r="93" spans="5:8" x14ac:dyDescent="0.3">
      <c r="E93" s="1">
        <v>44781.604861111111</v>
      </c>
      <c r="F93">
        <v>7.9099307862730103E-2</v>
      </c>
      <c r="G93">
        <v>6.5524366909018195E-2</v>
      </c>
      <c r="H93">
        <v>6.5132434922791693E-2</v>
      </c>
    </row>
    <row r="94" spans="5:8" x14ac:dyDescent="0.3">
      <c r="E94" s="1">
        <v>44781.615277777775</v>
      </c>
      <c r="F94">
        <v>0.125763766867726</v>
      </c>
      <c r="G94">
        <v>9.42298996976738E-2</v>
      </c>
      <c r="H94">
        <v>9.4198046066039196E-2</v>
      </c>
    </row>
    <row r="95" spans="5:8" x14ac:dyDescent="0.3">
      <c r="E95" s="1">
        <v>44781.625694444447</v>
      </c>
      <c r="F95">
        <v>0.14898440806176</v>
      </c>
      <c r="G95">
        <v>0.112317926034409</v>
      </c>
      <c r="H95">
        <v>0.11117301127726099</v>
      </c>
    </row>
    <row r="96" spans="5:8" x14ac:dyDescent="0.3">
      <c r="E96" s="1">
        <v>44781.636111111111</v>
      </c>
      <c r="F96">
        <v>0.13069273245333601</v>
      </c>
      <c r="G96">
        <v>9.6872100755935095E-2</v>
      </c>
      <c r="H96">
        <v>9.5120726130380501E-2</v>
      </c>
    </row>
    <row r="97" spans="5:8" x14ac:dyDescent="0.3">
      <c r="E97" s="1">
        <v>44781.646527777775</v>
      </c>
      <c r="F97">
        <v>0.118790651501351</v>
      </c>
      <c r="G97">
        <v>9.6752035820534293E-2</v>
      </c>
      <c r="H97">
        <v>9.5429424735123003E-2</v>
      </c>
    </row>
    <row r="98" spans="5:8" x14ac:dyDescent="0.3">
      <c r="E98" s="1">
        <v>44781.656944444447</v>
      </c>
      <c r="F98">
        <v>0.12673989217933301</v>
      </c>
      <c r="G98">
        <v>9.3233783637502704E-2</v>
      </c>
      <c r="H98">
        <v>9.0685598882993004E-2</v>
      </c>
    </row>
    <row r="99" spans="5:8" x14ac:dyDescent="0.3">
      <c r="E99" s="1">
        <v>44781.667361111111</v>
      </c>
      <c r="F99">
        <v>0.10354758441207899</v>
      </c>
      <c r="G99">
        <v>7.8904942565815595E-2</v>
      </c>
      <c r="H99">
        <v>7.9608792325490105E-2</v>
      </c>
    </row>
    <row r="100" spans="5:8" x14ac:dyDescent="0.3">
      <c r="E100" s="1">
        <v>44781.677777777775</v>
      </c>
      <c r="F100">
        <v>9.4201877594349406E-2</v>
      </c>
      <c r="G100">
        <v>6.84450930757496E-2</v>
      </c>
      <c r="H100">
        <v>6.9254094273616298E-2</v>
      </c>
    </row>
    <row r="101" spans="5:8" x14ac:dyDescent="0.3">
      <c r="E101" s="1">
        <v>44781.688194444447</v>
      </c>
      <c r="F101">
        <v>8.5587935763626402E-2</v>
      </c>
      <c r="G101">
        <v>6.0081525752502897E-2</v>
      </c>
      <c r="H101">
        <v>5.8558937655701901E-2</v>
      </c>
    </row>
    <row r="102" spans="5:8" x14ac:dyDescent="0.3">
      <c r="E102" s="1">
        <v>44781.698611111111</v>
      </c>
      <c r="F102">
        <v>7.4458695677547898E-2</v>
      </c>
      <c r="G102">
        <v>5.1293627927884902E-2</v>
      </c>
      <c r="H102">
        <v>4.9909409063400099E-2</v>
      </c>
    </row>
    <row r="103" spans="5:8" x14ac:dyDescent="0.3">
      <c r="E103" s="1">
        <v>44781.709027777775</v>
      </c>
      <c r="F103">
        <v>5.6821260966276897E-2</v>
      </c>
      <c r="G103">
        <v>4.67404287310434E-2</v>
      </c>
      <c r="H103">
        <v>4.6621464764009302E-2</v>
      </c>
    </row>
    <row r="104" spans="5:8" x14ac:dyDescent="0.3">
      <c r="E104" s="1">
        <v>44781.719444444447</v>
      </c>
      <c r="F104">
        <v>6.3782830247344602E-2</v>
      </c>
      <c r="G104">
        <v>4.2257922573562597E-2</v>
      </c>
      <c r="H104">
        <v>4.1215251613171799E-2</v>
      </c>
    </row>
    <row r="105" spans="5:8" x14ac:dyDescent="0.3">
      <c r="E105" s="1">
        <v>44781.729861111111</v>
      </c>
      <c r="F105">
        <v>5.7784456072931402E-2</v>
      </c>
      <c r="G105">
        <v>3.8739828789986601E-2</v>
      </c>
      <c r="H105">
        <v>3.7896688860561099E-2</v>
      </c>
    </row>
    <row r="106" spans="5:8" x14ac:dyDescent="0.3">
      <c r="E106" s="1">
        <v>44781.740277777775</v>
      </c>
      <c r="F106">
        <v>5.09341083626405E-2</v>
      </c>
      <c r="G106">
        <v>3.7215807117580199E-2</v>
      </c>
      <c r="H106">
        <v>3.7116012952805498E-2</v>
      </c>
    </row>
    <row r="107" spans="5:8" x14ac:dyDescent="0.3">
      <c r="E107" s="1">
        <v>44781.750694444447</v>
      </c>
      <c r="F107">
        <v>5.7510447425839203E-2</v>
      </c>
      <c r="G107">
        <v>3.9514653670973302E-2</v>
      </c>
      <c r="H107">
        <v>3.8460690871589397E-2</v>
      </c>
    </row>
    <row r="108" spans="5:8" x14ac:dyDescent="0.3">
      <c r="E108" s="1">
        <v>44781.761111111111</v>
      </c>
      <c r="F108">
        <v>4.9065347632356503E-2</v>
      </c>
      <c r="G108">
        <v>3.70180763923951E-2</v>
      </c>
      <c r="H108">
        <v>3.7285937092730502E-2</v>
      </c>
    </row>
    <row r="109" spans="5:8" x14ac:dyDescent="0.3">
      <c r="E109" s="1">
        <v>44781.771527777775</v>
      </c>
      <c r="F109">
        <v>4.3548141834394399E-2</v>
      </c>
      <c r="G109">
        <v>2.5503627851957401E-2</v>
      </c>
      <c r="H109">
        <v>2.4817690715165899E-2</v>
      </c>
    </row>
    <row r="110" spans="5:8" x14ac:dyDescent="0.3">
      <c r="E110" s="1">
        <v>44781.781944444447</v>
      </c>
      <c r="F110">
        <v>3.4963117041307598E-2</v>
      </c>
      <c r="G110">
        <v>2.50185522251191E-2</v>
      </c>
      <c r="H110">
        <v>2.4322595482781598E-2</v>
      </c>
    </row>
    <row r="111" spans="5:8" x14ac:dyDescent="0.3">
      <c r="E111" s="1">
        <v>44781.792361111111</v>
      </c>
      <c r="F111">
        <v>3.1753489006234203E-2</v>
      </c>
      <c r="G111">
        <v>2.06558539457204E-2</v>
      </c>
      <c r="H111">
        <v>2.0006926906232299E-2</v>
      </c>
    </row>
    <row r="112" spans="5:8" x14ac:dyDescent="0.3">
      <c r="E112" s="1">
        <v>44781.802777777775</v>
      </c>
      <c r="F112">
        <v>3.7303662119903297E-2</v>
      </c>
      <c r="G112">
        <v>2.1762350545425E-2</v>
      </c>
      <c r="H112">
        <v>2.1258590536423601E-2</v>
      </c>
    </row>
    <row r="113" spans="5:8" x14ac:dyDescent="0.3">
      <c r="E113" s="1">
        <v>44781.813194444447</v>
      </c>
      <c r="F113">
        <v>3.52392289085489E-2</v>
      </c>
      <c r="G113">
        <v>2.26329879273897E-2</v>
      </c>
      <c r="H113">
        <v>2.2424540445267201E-2</v>
      </c>
    </row>
    <row r="114" spans="5:8" x14ac:dyDescent="0.3">
      <c r="E114" s="1">
        <v>44781.823611111111</v>
      </c>
      <c r="F114">
        <v>2.86889963387141E-2</v>
      </c>
      <c r="G114">
        <v>1.8001057081932101E-2</v>
      </c>
      <c r="H114">
        <v>1.7619326967609299E-2</v>
      </c>
    </row>
    <row r="115" spans="5:8" x14ac:dyDescent="0.3">
      <c r="E115" s="1">
        <v>44781.834027777775</v>
      </c>
      <c r="F115">
        <v>2.4121373670035199E-2</v>
      </c>
      <c r="G115">
        <v>1.6000665293482201E-2</v>
      </c>
      <c r="H115">
        <v>1.56955665984784E-2</v>
      </c>
    </row>
    <row r="116" spans="5:8" x14ac:dyDescent="0.3">
      <c r="E116" s="1">
        <v>44781.844444444447</v>
      </c>
      <c r="F116">
        <v>2.2651880474234901E-2</v>
      </c>
      <c r="G116">
        <v>1.57360141252402E-2</v>
      </c>
      <c r="H116">
        <v>1.4970843333007499E-2</v>
      </c>
    </row>
    <row r="117" spans="5:8" x14ac:dyDescent="0.3">
      <c r="E117" s="1">
        <v>44781.854861111111</v>
      </c>
      <c r="F117">
        <v>2.25952595003041E-2</v>
      </c>
      <c r="G117">
        <v>1.40880191216453E-2</v>
      </c>
      <c r="H117">
        <v>1.3611249456278099E-2</v>
      </c>
    </row>
    <row r="118" spans="5:8" x14ac:dyDescent="0.3">
      <c r="E118" s="1">
        <v>44781.865277777775</v>
      </c>
      <c r="F118">
        <v>1.6206851920628301E-2</v>
      </c>
      <c r="G118">
        <v>1.05603042027095E-2</v>
      </c>
      <c r="H118">
        <v>1.0118690940643899E-2</v>
      </c>
    </row>
    <row r="119" spans="5:8" x14ac:dyDescent="0.3">
      <c r="E119" s="1">
        <v>44781.875694444447</v>
      </c>
      <c r="F119">
        <v>2.0088667249784201E-2</v>
      </c>
      <c r="G119">
        <v>1.3881305638617201E-2</v>
      </c>
      <c r="H119">
        <v>1.37709439950159E-2</v>
      </c>
    </row>
    <row r="120" spans="5:8" x14ac:dyDescent="0.3">
      <c r="E120" s="1">
        <v>44781.886111111111</v>
      </c>
      <c r="F120">
        <v>2.1843490104407601E-2</v>
      </c>
      <c r="G120">
        <v>1.40444217212438E-2</v>
      </c>
      <c r="H120">
        <v>1.41707040747943E-2</v>
      </c>
    </row>
    <row r="121" spans="5:8" x14ac:dyDescent="0.3">
      <c r="E121" s="1">
        <v>44781.896527777775</v>
      </c>
      <c r="F121">
        <v>1.51091693943352E-2</v>
      </c>
      <c r="G121">
        <v>1.13685106789185E-2</v>
      </c>
      <c r="H121">
        <v>1.1272176824964701E-2</v>
      </c>
    </row>
    <row r="122" spans="5:8" x14ac:dyDescent="0.3">
      <c r="E122" s="1">
        <v>44781.906944444447</v>
      </c>
      <c r="F122">
        <v>1.83874188249997E-2</v>
      </c>
      <c r="G122">
        <v>1.18473628048879E-2</v>
      </c>
      <c r="H122">
        <v>1.19269930508407E-2</v>
      </c>
    </row>
    <row r="123" spans="5:8" x14ac:dyDescent="0.3">
      <c r="E123" s="1">
        <v>44781.917361111111</v>
      </c>
      <c r="F123">
        <v>1.8043770474096801E-2</v>
      </c>
      <c r="G123">
        <v>1.1524051555923899E-2</v>
      </c>
      <c r="H123">
        <v>1.15942291740888E-2</v>
      </c>
    </row>
    <row r="124" spans="5:8" x14ac:dyDescent="0.3">
      <c r="E124" s="1">
        <v>44781.927777777775</v>
      </c>
      <c r="F124">
        <v>1.44813568044581E-2</v>
      </c>
      <c r="G124">
        <v>1.02403308021814E-2</v>
      </c>
      <c r="H124">
        <v>1.01524169063487E-2</v>
      </c>
    </row>
    <row r="125" spans="5:8" x14ac:dyDescent="0.3">
      <c r="E125" s="1">
        <v>44781.938194444447</v>
      </c>
      <c r="F125">
        <v>1.27571944955887E-2</v>
      </c>
      <c r="G125">
        <v>8.6774009883348099E-3</v>
      </c>
      <c r="H125">
        <v>8.6037437582043592E-3</v>
      </c>
    </row>
    <row r="126" spans="5:8" x14ac:dyDescent="0.3">
      <c r="E126" s="1">
        <v>44781.948611111111</v>
      </c>
      <c r="F126">
        <v>1.2274801710485801E-2</v>
      </c>
      <c r="G126">
        <v>7.9564659707876302E-3</v>
      </c>
      <c r="H126">
        <v>7.9246006534368901E-3</v>
      </c>
    </row>
    <row r="127" spans="5:8" x14ac:dyDescent="0.3">
      <c r="E127" s="1">
        <v>44781.959027777775</v>
      </c>
      <c r="F127">
        <v>1.0464780666479099E-2</v>
      </c>
      <c r="G127">
        <v>7.47733264156178E-3</v>
      </c>
      <c r="H127">
        <v>7.3158004850959598E-3</v>
      </c>
    </row>
    <row r="128" spans="5:8" x14ac:dyDescent="0.3">
      <c r="E128" s="1">
        <v>44781.969444444447</v>
      </c>
      <c r="F128">
        <v>1.1066729388304299E-2</v>
      </c>
      <c r="G128">
        <v>7.3748166462134397E-3</v>
      </c>
      <c r="H128">
        <v>7.2643617683434804E-3</v>
      </c>
    </row>
    <row r="129" spans="5:8" x14ac:dyDescent="0.3">
      <c r="E129" s="1">
        <v>44781.979861111111</v>
      </c>
      <c r="F129">
        <v>1.0484186866458E-2</v>
      </c>
      <c r="G129">
        <v>7.17855054991499E-3</v>
      </c>
      <c r="H129">
        <v>7.0447031843164703E-3</v>
      </c>
    </row>
    <row r="130" spans="5:8" x14ac:dyDescent="0.3">
      <c r="E130" s="1">
        <v>44781.990277777775</v>
      </c>
      <c r="F130">
        <v>1.08237724901467E-2</v>
      </c>
      <c r="G130">
        <v>7.3793974429948997E-3</v>
      </c>
      <c r="H130">
        <v>7.1063398715474997E-3</v>
      </c>
    </row>
    <row r="131" spans="5:8" x14ac:dyDescent="0.3">
      <c r="E131" s="1">
        <v>44782.000694444447</v>
      </c>
      <c r="F131">
        <v>1.28205548613227E-2</v>
      </c>
      <c r="G131">
        <v>7.7682894860226503E-3</v>
      </c>
      <c r="H131">
        <v>7.5873409581722799E-3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storm3_results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2025-10-23T18:00:53Z</dcterms:created>
  <dcterms:modified xsi:type="dcterms:W3CDTF">2025-11-15T01:34:48Z</dcterms:modified>
</cp:coreProperties>
</file>