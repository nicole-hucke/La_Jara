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ol\Documents\GitHub\La_Jara\Hydrophones\Results\noise_corrected\calculations\"/>
    </mc:Choice>
  </mc:AlternateContent>
  <xr:revisionPtr revIDLastSave="0" documentId="13_ncr:1_{1232BA17-48EA-478E-8178-CD9D7A4BEB2F}" xr6:coauthVersionLast="47" xr6:coauthVersionMax="47" xr10:uidLastSave="{00000000-0000-0000-0000-000000000000}"/>
  <bookViews>
    <workbookView xWindow="-108" yWindow="-108" windowWidth="23256" windowHeight="12456" xr2:uid="{B7416B8A-9362-444F-89FB-DD7D5E3DE839}"/>
  </bookViews>
  <sheets>
    <sheet name="storm7_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52" i="1" l="1"/>
  <c r="U51" i="1"/>
  <c r="U47" i="1"/>
  <c r="V52" i="1"/>
  <c r="U52" i="1"/>
  <c r="W51" i="1"/>
  <c r="V51" i="1"/>
  <c r="W50" i="1"/>
  <c r="V50" i="1"/>
  <c r="U50" i="1"/>
  <c r="W49" i="1"/>
  <c r="V49" i="1"/>
  <c r="U49" i="1"/>
  <c r="W48" i="1"/>
  <c r="V48" i="1"/>
  <c r="U48" i="1"/>
  <c r="W47" i="1"/>
  <c r="V47" i="1"/>
  <c r="B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A60" i="1"/>
  <c r="A57" i="1"/>
  <c r="A58" i="1"/>
  <c r="A59" i="1"/>
  <c r="A48" i="1"/>
  <c r="A49" i="1"/>
  <c r="A50" i="1"/>
  <c r="A51" i="1"/>
  <c r="A52" i="1"/>
  <c r="A53" i="1"/>
  <c r="A54" i="1"/>
  <c r="A55" i="1"/>
  <c r="A56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C34" i="1"/>
  <c r="A34" i="1"/>
</calcChain>
</file>

<file path=xl/sharedStrings.xml><?xml version="1.0" encoding="utf-8"?>
<sst xmlns="http://schemas.openxmlformats.org/spreadsheetml/2006/main" count="64" uniqueCount="45">
  <si>
    <t>max_amp</t>
  </si>
  <si>
    <t>mean_amp</t>
  </si>
  <si>
    <t>median_amp</t>
  </si>
  <si>
    <t>impulses_ch6</t>
  </si>
  <si>
    <t>impulses_ch5</t>
  </si>
  <si>
    <t>impulses_ch4</t>
  </si>
  <si>
    <t>impulses_ch3</t>
  </si>
  <si>
    <t>impulses_ch2</t>
  </si>
  <si>
    <t>impulses_ch1</t>
  </si>
  <si>
    <t>max_env_ch6</t>
  </si>
  <si>
    <t>mean_env_ch6</t>
  </si>
  <si>
    <t>median_env_ch6</t>
  </si>
  <si>
    <t>max_env_ch5</t>
  </si>
  <si>
    <t>mean_env_ch5</t>
  </si>
  <si>
    <t>median_env_ch5</t>
  </si>
  <si>
    <t>max_env_ch4</t>
  </si>
  <si>
    <t>mean_env_ch4</t>
  </si>
  <si>
    <t>median_env_ch4</t>
  </si>
  <si>
    <t>max_env_ch3</t>
  </si>
  <si>
    <t>mean_env_ch3</t>
  </si>
  <si>
    <t>median_env_ch3</t>
  </si>
  <si>
    <t>max_env_ch2</t>
  </si>
  <si>
    <t>mean_env_ch2</t>
  </si>
  <si>
    <t>median_env_ch2</t>
  </si>
  <si>
    <t>max_env_ch1</t>
  </si>
  <si>
    <t>mean_env_ch1</t>
  </si>
  <si>
    <t>median_env_ch1</t>
  </si>
  <si>
    <t>when</t>
  </si>
  <si>
    <t xml:space="preserve">Time </t>
  </si>
  <si>
    <t>Max Amp</t>
  </si>
  <si>
    <t>Mean Amp</t>
  </si>
  <si>
    <t>Med Amp</t>
  </si>
  <si>
    <t>tau</t>
  </si>
  <si>
    <t>amp_factor</t>
  </si>
  <si>
    <t>timestamp</t>
  </si>
  <si>
    <t>impulses</t>
  </si>
  <si>
    <t>max</t>
  </si>
  <si>
    <t>mean</t>
  </si>
  <si>
    <t>med</t>
  </si>
  <si>
    <t>ch6</t>
  </si>
  <si>
    <t>ch5</t>
  </si>
  <si>
    <t>ch4</t>
  </si>
  <si>
    <t>ch3</t>
  </si>
  <si>
    <t>ch2</t>
  </si>
  <si>
    <t>ch1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</si>
</sst>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2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 Amp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storm7_results!$E$34:$E$130</c:f>
              <c:numCache>
                <c:formatCode>m/d/yyyy\ h:mm</c:formatCode>
                <c:ptCount val="97"/>
                <c:pt idx="0">
                  <c:v>45183</c:v>
                </c:pt>
                <c:pt idx="1">
                  <c:v>45183.010416666664</c:v>
                </c:pt>
                <c:pt idx="2">
                  <c:v>45183.020833333336</c:v>
                </c:pt>
                <c:pt idx="3">
                  <c:v>45183.03125</c:v>
                </c:pt>
                <c:pt idx="4">
                  <c:v>45183.041666666664</c:v>
                </c:pt>
                <c:pt idx="5">
                  <c:v>45183.052083333336</c:v>
                </c:pt>
                <c:pt idx="6">
                  <c:v>45183.0625</c:v>
                </c:pt>
                <c:pt idx="7">
                  <c:v>45183.072916666664</c:v>
                </c:pt>
                <c:pt idx="8">
                  <c:v>45183.083333333336</c:v>
                </c:pt>
                <c:pt idx="9">
                  <c:v>45183.09375</c:v>
                </c:pt>
                <c:pt idx="10">
                  <c:v>45183.104166666664</c:v>
                </c:pt>
                <c:pt idx="11">
                  <c:v>45183.114583333336</c:v>
                </c:pt>
                <c:pt idx="12">
                  <c:v>45183.125</c:v>
                </c:pt>
                <c:pt idx="13">
                  <c:v>45183.135416666664</c:v>
                </c:pt>
                <c:pt idx="14">
                  <c:v>45183.145833333336</c:v>
                </c:pt>
                <c:pt idx="15">
                  <c:v>45183.15625</c:v>
                </c:pt>
                <c:pt idx="16">
                  <c:v>45183.166666666664</c:v>
                </c:pt>
                <c:pt idx="17">
                  <c:v>45183.177083333336</c:v>
                </c:pt>
                <c:pt idx="18">
                  <c:v>45183.1875</c:v>
                </c:pt>
                <c:pt idx="19">
                  <c:v>45183.197916666664</c:v>
                </c:pt>
                <c:pt idx="20">
                  <c:v>45183.208333333336</c:v>
                </c:pt>
                <c:pt idx="21">
                  <c:v>45183.21875</c:v>
                </c:pt>
                <c:pt idx="22">
                  <c:v>45183.229166666664</c:v>
                </c:pt>
                <c:pt idx="23">
                  <c:v>45183.239583333336</c:v>
                </c:pt>
                <c:pt idx="24">
                  <c:v>45183.25</c:v>
                </c:pt>
                <c:pt idx="25">
                  <c:v>45183.260416666664</c:v>
                </c:pt>
                <c:pt idx="26">
                  <c:v>45183.270833333336</c:v>
                </c:pt>
                <c:pt idx="27">
                  <c:v>45183.28125</c:v>
                </c:pt>
                <c:pt idx="28">
                  <c:v>45183.291666666664</c:v>
                </c:pt>
                <c:pt idx="29">
                  <c:v>45183.302083333336</c:v>
                </c:pt>
                <c:pt idx="30">
                  <c:v>45183.3125</c:v>
                </c:pt>
                <c:pt idx="31">
                  <c:v>45183.322916666664</c:v>
                </c:pt>
                <c:pt idx="32">
                  <c:v>45183.333333333336</c:v>
                </c:pt>
                <c:pt idx="33">
                  <c:v>45183.34375</c:v>
                </c:pt>
                <c:pt idx="34">
                  <c:v>45183.354166666664</c:v>
                </c:pt>
                <c:pt idx="35">
                  <c:v>45183.364583333336</c:v>
                </c:pt>
                <c:pt idx="36">
                  <c:v>45183.375</c:v>
                </c:pt>
                <c:pt idx="37">
                  <c:v>45183.385416666664</c:v>
                </c:pt>
                <c:pt idx="38">
                  <c:v>45183.395833333336</c:v>
                </c:pt>
                <c:pt idx="39">
                  <c:v>45183.40625</c:v>
                </c:pt>
                <c:pt idx="40">
                  <c:v>45183.416666666664</c:v>
                </c:pt>
                <c:pt idx="41">
                  <c:v>45183.427083333336</c:v>
                </c:pt>
                <c:pt idx="42">
                  <c:v>45183.4375</c:v>
                </c:pt>
                <c:pt idx="43">
                  <c:v>45183.447916666664</c:v>
                </c:pt>
                <c:pt idx="44">
                  <c:v>45183.458333333336</c:v>
                </c:pt>
                <c:pt idx="45">
                  <c:v>45183.46875</c:v>
                </c:pt>
                <c:pt idx="46">
                  <c:v>45183.479166666664</c:v>
                </c:pt>
                <c:pt idx="47">
                  <c:v>45183.489583333336</c:v>
                </c:pt>
                <c:pt idx="48">
                  <c:v>45183.5</c:v>
                </c:pt>
                <c:pt idx="49">
                  <c:v>45183.510416666664</c:v>
                </c:pt>
                <c:pt idx="50">
                  <c:v>45183.520833333336</c:v>
                </c:pt>
                <c:pt idx="51">
                  <c:v>45183.53125</c:v>
                </c:pt>
                <c:pt idx="52">
                  <c:v>45183.541666666664</c:v>
                </c:pt>
                <c:pt idx="53">
                  <c:v>45183.552083333336</c:v>
                </c:pt>
                <c:pt idx="54">
                  <c:v>45183.5625</c:v>
                </c:pt>
                <c:pt idx="55">
                  <c:v>45183.572916666664</c:v>
                </c:pt>
                <c:pt idx="56">
                  <c:v>45183.583333333336</c:v>
                </c:pt>
                <c:pt idx="57">
                  <c:v>45183.59375</c:v>
                </c:pt>
                <c:pt idx="58">
                  <c:v>45183.604166666664</c:v>
                </c:pt>
                <c:pt idx="59">
                  <c:v>45183.614583333336</c:v>
                </c:pt>
                <c:pt idx="60">
                  <c:v>45183.625</c:v>
                </c:pt>
                <c:pt idx="61">
                  <c:v>45183.635416666664</c:v>
                </c:pt>
                <c:pt idx="62">
                  <c:v>45183.645833333336</c:v>
                </c:pt>
                <c:pt idx="63">
                  <c:v>45183.65625</c:v>
                </c:pt>
                <c:pt idx="64">
                  <c:v>45183.666666666664</c:v>
                </c:pt>
                <c:pt idx="65">
                  <c:v>45183.677083333336</c:v>
                </c:pt>
                <c:pt idx="66">
                  <c:v>45183.6875</c:v>
                </c:pt>
                <c:pt idx="67">
                  <c:v>45183.697916666664</c:v>
                </c:pt>
                <c:pt idx="68">
                  <c:v>45183.708333333336</c:v>
                </c:pt>
                <c:pt idx="69">
                  <c:v>45183.71875</c:v>
                </c:pt>
                <c:pt idx="70">
                  <c:v>45183.729166666664</c:v>
                </c:pt>
                <c:pt idx="71">
                  <c:v>45183.739583333336</c:v>
                </c:pt>
                <c:pt idx="72">
                  <c:v>45183.75</c:v>
                </c:pt>
                <c:pt idx="73">
                  <c:v>45183.760416666664</c:v>
                </c:pt>
                <c:pt idx="74">
                  <c:v>45183.770833333336</c:v>
                </c:pt>
                <c:pt idx="75">
                  <c:v>45183.78125</c:v>
                </c:pt>
                <c:pt idx="76">
                  <c:v>45183.791666666664</c:v>
                </c:pt>
                <c:pt idx="77">
                  <c:v>45183.802083333336</c:v>
                </c:pt>
                <c:pt idx="78">
                  <c:v>45183.8125</c:v>
                </c:pt>
                <c:pt idx="79">
                  <c:v>45183.822916666664</c:v>
                </c:pt>
                <c:pt idx="80">
                  <c:v>45183.833333333336</c:v>
                </c:pt>
                <c:pt idx="81">
                  <c:v>45183.84375</c:v>
                </c:pt>
                <c:pt idx="82">
                  <c:v>45183.854166666664</c:v>
                </c:pt>
                <c:pt idx="83">
                  <c:v>45183.864583333336</c:v>
                </c:pt>
                <c:pt idx="84">
                  <c:v>45183.875</c:v>
                </c:pt>
                <c:pt idx="85">
                  <c:v>45183.885416666664</c:v>
                </c:pt>
                <c:pt idx="86">
                  <c:v>45183.895833333336</c:v>
                </c:pt>
                <c:pt idx="87">
                  <c:v>45183.90625</c:v>
                </c:pt>
                <c:pt idx="88">
                  <c:v>45183.916666666664</c:v>
                </c:pt>
                <c:pt idx="89">
                  <c:v>45183.927083333336</c:v>
                </c:pt>
                <c:pt idx="90">
                  <c:v>45183.9375</c:v>
                </c:pt>
                <c:pt idx="91">
                  <c:v>45183.947916666664</c:v>
                </c:pt>
                <c:pt idx="92">
                  <c:v>45183.958333333336</c:v>
                </c:pt>
                <c:pt idx="93">
                  <c:v>45183.96875</c:v>
                </c:pt>
                <c:pt idx="94">
                  <c:v>45183.979166666664</c:v>
                </c:pt>
                <c:pt idx="95">
                  <c:v>45183.989583333336</c:v>
                </c:pt>
                <c:pt idx="96">
                  <c:v>45184</c:v>
                </c:pt>
              </c:numCache>
            </c:numRef>
          </c:xVal>
          <c:yVal>
            <c:numRef>
              <c:f>storm7_results!$F$34:$F$130</c:f>
              <c:numCache>
                <c:formatCode>General</c:formatCode>
                <c:ptCount val="97"/>
                <c:pt idx="0">
                  <c:v>4.2072347000285497E-3</c:v>
                </c:pt>
                <c:pt idx="1">
                  <c:v>7.0346519497871103E-3</c:v>
                </c:pt>
                <c:pt idx="2">
                  <c:v>4.5112112790446496E-3</c:v>
                </c:pt>
                <c:pt idx="3">
                  <c:v>7.6159647545828903E-3</c:v>
                </c:pt>
                <c:pt idx="4">
                  <c:v>5.4287319681273396E-3</c:v>
                </c:pt>
                <c:pt idx="5">
                  <c:v>7.1873392070551899E-3</c:v>
                </c:pt>
                <c:pt idx="6">
                  <c:v>7.0477951333742603E-3</c:v>
                </c:pt>
                <c:pt idx="7">
                  <c:v>5.6470706578480101E-3</c:v>
                </c:pt>
                <c:pt idx="8">
                  <c:v>7.4783023536862904E-3</c:v>
                </c:pt>
                <c:pt idx="9">
                  <c:v>6.3768660431115804E-3</c:v>
                </c:pt>
                <c:pt idx="10">
                  <c:v>5.9178056688593203E-3</c:v>
                </c:pt>
                <c:pt idx="11">
                  <c:v>6.6857096586161501E-3</c:v>
                </c:pt>
                <c:pt idx="12">
                  <c:v>9.7657639621777006E-3</c:v>
                </c:pt>
                <c:pt idx="13">
                  <c:v>6.3585886170623501E-3</c:v>
                </c:pt>
                <c:pt idx="14">
                  <c:v>7.1762633094527503E-3</c:v>
                </c:pt>
                <c:pt idx="15">
                  <c:v>6.6364593683922498E-3</c:v>
                </c:pt>
                <c:pt idx="16">
                  <c:v>7.0276613216916596E-3</c:v>
                </c:pt>
                <c:pt idx="17">
                  <c:v>6.5891829836278197E-3</c:v>
                </c:pt>
                <c:pt idx="18">
                  <c:v>6.2664490097283296E-3</c:v>
                </c:pt>
                <c:pt idx="19">
                  <c:v>6.90793683633633E-3</c:v>
                </c:pt>
                <c:pt idx="20">
                  <c:v>9.6437434565644301E-3</c:v>
                </c:pt>
                <c:pt idx="21">
                  <c:v>5.8111062065697603E-3</c:v>
                </c:pt>
                <c:pt idx="22">
                  <c:v>1.0703230764021399E-2</c:v>
                </c:pt>
                <c:pt idx="23">
                  <c:v>6.2227064268062298E-3</c:v>
                </c:pt>
                <c:pt idx="24">
                  <c:v>6.6895273100458699E-3</c:v>
                </c:pt>
                <c:pt idx="25">
                  <c:v>7.2613258391148201E-3</c:v>
                </c:pt>
                <c:pt idx="26">
                  <c:v>4.7194779780740399E-3</c:v>
                </c:pt>
                <c:pt idx="27">
                  <c:v>7.2471400234077801E-3</c:v>
                </c:pt>
                <c:pt idx="28">
                  <c:v>4.5555065357865202E-3</c:v>
                </c:pt>
                <c:pt idx="29">
                  <c:v>5.4054085352765596E-3</c:v>
                </c:pt>
                <c:pt idx="30">
                  <c:v>5.9419905709959002E-3</c:v>
                </c:pt>
                <c:pt idx="31">
                  <c:v>6.16552591445835E-3</c:v>
                </c:pt>
                <c:pt idx="32">
                  <c:v>5.5689468094676604E-3</c:v>
                </c:pt>
                <c:pt idx="33">
                  <c:v>6.2929665796027196E-3</c:v>
                </c:pt>
                <c:pt idx="34">
                  <c:v>9.0961229079548605E-3</c:v>
                </c:pt>
                <c:pt idx="35">
                  <c:v>5.6605885293089398E-3</c:v>
                </c:pt>
                <c:pt idx="36">
                  <c:v>3.9981916182037702E-3</c:v>
                </c:pt>
                <c:pt idx="37">
                  <c:v>5.5708417347322499E-3</c:v>
                </c:pt>
                <c:pt idx="38">
                  <c:v>3.2976991208342999E-3</c:v>
                </c:pt>
                <c:pt idx="39">
                  <c:v>5.2840856751277801E-3</c:v>
                </c:pt>
                <c:pt idx="40">
                  <c:v>5.5078495528929298E-3</c:v>
                </c:pt>
                <c:pt idx="41">
                  <c:v>3.2299851306196599E-3</c:v>
                </c:pt>
                <c:pt idx="42">
                  <c:v>4.2754041538176297E-3</c:v>
                </c:pt>
                <c:pt idx="43">
                  <c:v>4.9539658809393001E-3</c:v>
                </c:pt>
                <c:pt idx="44">
                  <c:v>4.62284650535581E-3</c:v>
                </c:pt>
                <c:pt idx="45">
                  <c:v>5.3538755134562299E-3</c:v>
                </c:pt>
                <c:pt idx="46">
                  <c:v>4.8978891133043103E-3</c:v>
                </c:pt>
                <c:pt idx="47">
                  <c:v>4.6603520164618696E-3</c:v>
                </c:pt>
                <c:pt idx="48">
                  <c:v>4.7162408784258503E-3</c:v>
                </c:pt>
                <c:pt idx="49">
                  <c:v>7.1573047619624503E-3</c:v>
                </c:pt>
                <c:pt idx="50">
                  <c:v>5.5667064822703697E-3</c:v>
                </c:pt>
                <c:pt idx="51">
                  <c:v>5.1818065909306297E-3</c:v>
                </c:pt>
                <c:pt idx="52">
                  <c:v>5.2317085364958701E-3</c:v>
                </c:pt>
                <c:pt idx="53">
                  <c:v>5.8004587568954496E-3</c:v>
                </c:pt>
                <c:pt idx="54">
                  <c:v>6.0693515473427403E-3</c:v>
                </c:pt>
                <c:pt idx="55">
                  <c:v>5.3411784980409204E-3</c:v>
                </c:pt>
                <c:pt idx="56">
                  <c:v>8.8661816868626699E-3</c:v>
                </c:pt>
                <c:pt idx="57">
                  <c:v>2.4144929111246601E-2</c:v>
                </c:pt>
                <c:pt idx="58">
                  <c:v>1.9781090680697899E-2</c:v>
                </c:pt>
                <c:pt idx="59">
                  <c:v>7.8323781556648098E-2</c:v>
                </c:pt>
                <c:pt idx="60">
                  <c:v>9.5227683354109402E-2</c:v>
                </c:pt>
                <c:pt idx="61">
                  <c:v>8.3501508164946198E-2</c:v>
                </c:pt>
                <c:pt idx="62">
                  <c:v>5.2480419789072003E-2</c:v>
                </c:pt>
                <c:pt idx="63">
                  <c:v>0.108203356781746</c:v>
                </c:pt>
                <c:pt idx="64">
                  <c:v>0.123348743464346</c:v>
                </c:pt>
                <c:pt idx="65">
                  <c:v>0.159361458967232</c:v>
                </c:pt>
                <c:pt idx="66">
                  <c:v>0.17501293888175501</c:v>
                </c:pt>
                <c:pt idx="67">
                  <c:v>0.140120008346797</c:v>
                </c:pt>
                <c:pt idx="68">
                  <c:v>0.22039276005109401</c:v>
                </c:pt>
                <c:pt idx="69">
                  <c:v>0.14858885600914801</c:v>
                </c:pt>
                <c:pt idx="70">
                  <c:v>0.15791301840910801</c:v>
                </c:pt>
                <c:pt idx="71">
                  <c:v>0.27712484545157101</c:v>
                </c:pt>
                <c:pt idx="72">
                  <c:v>0.50996100240963405</c:v>
                </c:pt>
                <c:pt idx="73">
                  <c:v>0.155096317860936</c:v>
                </c:pt>
                <c:pt idx="74">
                  <c:v>0.12311418745968999</c:v>
                </c:pt>
                <c:pt idx="75">
                  <c:v>0.124064689299707</c:v>
                </c:pt>
                <c:pt idx="76">
                  <c:v>0.10329814865204801</c:v>
                </c:pt>
                <c:pt idx="77">
                  <c:v>9.6039941565308498E-2</c:v>
                </c:pt>
                <c:pt idx="78">
                  <c:v>9.3808873279711394E-2</c:v>
                </c:pt>
                <c:pt idx="79">
                  <c:v>9.9043228211665696E-2</c:v>
                </c:pt>
                <c:pt idx="80">
                  <c:v>9.5002710047601802E-2</c:v>
                </c:pt>
                <c:pt idx="81">
                  <c:v>8.5698119771007497E-2</c:v>
                </c:pt>
                <c:pt idx="82">
                  <c:v>8.4801411048379405E-2</c:v>
                </c:pt>
                <c:pt idx="83">
                  <c:v>0.103862093743985</c:v>
                </c:pt>
                <c:pt idx="84">
                  <c:v>8.22003347081465E-2</c:v>
                </c:pt>
                <c:pt idx="85">
                  <c:v>9.8628062207964495E-2</c:v>
                </c:pt>
                <c:pt idx="86">
                  <c:v>9.4369790844787096E-2</c:v>
                </c:pt>
                <c:pt idx="87">
                  <c:v>8.2146580723569604E-2</c:v>
                </c:pt>
                <c:pt idx="88">
                  <c:v>8.7184933854543498E-2</c:v>
                </c:pt>
                <c:pt idx="89">
                  <c:v>9.9346239128742103E-2</c:v>
                </c:pt>
                <c:pt idx="90">
                  <c:v>0.13710233286210399</c:v>
                </c:pt>
                <c:pt idx="91">
                  <c:v>0.14197340899171301</c:v>
                </c:pt>
                <c:pt idx="92">
                  <c:v>0.109145921623359</c:v>
                </c:pt>
                <c:pt idx="93">
                  <c:v>0.106743672351633</c:v>
                </c:pt>
                <c:pt idx="94">
                  <c:v>0.105009685809016</c:v>
                </c:pt>
                <c:pt idx="95">
                  <c:v>6.9465330616129695E-2</c:v>
                </c:pt>
                <c:pt idx="96">
                  <c:v>6.1614250000930897E-2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762-4E69-B28F-3ED6AC4D2D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5919519"/>
        <c:axId val="905903199"/>
      </c:scatterChart>
      <c:valAx>
        <c:axId val="905919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903199"/>
        <c:crosses val="autoZero"/>
        <c:crossBetween val="midCat"/>
      </c:valAx>
      <c:valAx>
        <c:axId val="90590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9195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 Amp Over Time</a:t>
            </a:r>
          </a:p>
        </c:rich>
      </c:tx>
      <c:layout>
        <c:manualLayout>
          <c:xMode val="edge"/>
          <c:yMode val="edge"/>
          <c:x val="0.38794824590588139"/>
          <c:y val="3.30578512396694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storm7_results!$E$34:$E$130</c:f>
              <c:numCache>
                <c:formatCode>m/d/yyyy\ h:mm</c:formatCode>
                <c:ptCount val="97"/>
                <c:pt idx="0">
                  <c:v>45183</c:v>
                </c:pt>
                <c:pt idx="1">
                  <c:v>45183.010416666664</c:v>
                </c:pt>
                <c:pt idx="2">
                  <c:v>45183.020833333336</c:v>
                </c:pt>
                <c:pt idx="3">
                  <c:v>45183.03125</c:v>
                </c:pt>
                <c:pt idx="4">
                  <c:v>45183.041666666664</c:v>
                </c:pt>
                <c:pt idx="5">
                  <c:v>45183.052083333336</c:v>
                </c:pt>
                <c:pt idx="6">
                  <c:v>45183.0625</c:v>
                </c:pt>
                <c:pt idx="7">
                  <c:v>45183.072916666664</c:v>
                </c:pt>
                <c:pt idx="8">
                  <c:v>45183.083333333336</c:v>
                </c:pt>
                <c:pt idx="9">
                  <c:v>45183.09375</c:v>
                </c:pt>
                <c:pt idx="10">
                  <c:v>45183.104166666664</c:v>
                </c:pt>
                <c:pt idx="11">
                  <c:v>45183.114583333336</c:v>
                </c:pt>
                <c:pt idx="12">
                  <c:v>45183.125</c:v>
                </c:pt>
                <c:pt idx="13">
                  <c:v>45183.135416666664</c:v>
                </c:pt>
                <c:pt idx="14">
                  <c:v>45183.145833333336</c:v>
                </c:pt>
                <c:pt idx="15">
                  <c:v>45183.15625</c:v>
                </c:pt>
                <c:pt idx="16">
                  <c:v>45183.166666666664</c:v>
                </c:pt>
                <c:pt idx="17">
                  <c:v>45183.177083333336</c:v>
                </c:pt>
                <c:pt idx="18">
                  <c:v>45183.1875</c:v>
                </c:pt>
                <c:pt idx="19">
                  <c:v>45183.197916666664</c:v>
                </c:pt>
                <c:pt idx="20">
                  <c:v>45183.208333333336</c:v>
                </c:pt>
                <c:pt idx="21">
                  <c:v>45183.21875</c:v>
                </c:pt>
                <c:pt idx="22">
                  <c:v>45183.229166666664</c:v>
                </c:pt>
                <c:pt idx="23">
                  <c:v>45183.239583333336</c:v>
                </c:pt>
                <c:pt idx="24">
                  <c:v>45183.25</c:v>
                </c:pt>
                <c:pt idx="25">
                  <c:v>45183.260416666664</c:v>
                </c:pt>
                <c:pt idx="26">
                  <c:v>45183.270833333336</c:v>
                </c:pt>
                <c:pt idx="27">
                  <c:v>45183.28125</c:v>
                </c:pt>
                <c:pt idx="28">
                  <c:v>45183.291666666664</c:v>
                </c:pt>
                <c:pt idx="29">
                  <c:v>45183.302083333336</c:v>
                </c:pt>
                <c:pt idx="30">
                  <c:v>45183.3125</c:v>
                </c:pt>
                <c:pt idx="31">
                  <c:v>45183.322916666664</c:v>
                </c:pt>
                <c:pt idx="32">
                  <c:v>45183.333333333336</c:v>
                </c:pt>
                <c:pt idx="33">
                  <c:v>45183.34375</c:v>
                </c:pt>
                <c:pt idx="34">
                  <c:v>45183.354166666664</c:v>
                </c:pt>
                <c:pt idx="35">
                  <c:v>45183.364583333336</c:v>
                </c:pt>
                <c:pt idx="36">
                  <c:v>45183.375</c:v>
                </c:pt>
                <c:pt idx="37">
                  <c:v>45183.385416666664</c:v>
                </c:pt>
                <c:pt idx="38">
                  <c:v>45183.395833333336</c:v>
                </c:pt>
                <c:pt idx="39">
                  <c:v>45183.40625</c:v>
                </c:pt>
                <c:pt idx="40">
                  <c:v>45183.416666666664</c:v>
                </c:pt>
                <c:pt idx="41">
                  <c:v>45183.427083333336</c:v>
                </c:pt>
                <c:pt idx="42">
                  <c:v>45183.4375</c:v>
                </c:pt>
                <c:pt idx="43">
                  <c:v>45183.447916666664</c:v>
                </c:pt>
                <c:pt idx="44">
                  <c:v>45183.458333333336</c:v>
                </c:pt>
                <c:pt idx="45">
                  <c:v>45183.46875</c:v>
                </c:pt>
                <c:pt idx="46">
                  <c:v>45183.479166666664</c:v>
                </c:pt>
                <c:pt idx="47">
                  <c:v>45183.489583333336</c:v>
                </c:pt>
                <c:pt idx="48">
                  <c:v>45183.5</c:v>
                </c:pt>
                <c:pt idx="49">
                  <c:v>45183.510416666664</c:v>
                </c:pt>
                <c:pt idx="50">
                  <c:v>45183.520833333336</c:v>
                </c:pt>
                <c:pt idx="51">
                  <c:v>45183.53125</c:v>
                </c:pt>
                <c:pt idx="52">
                  <c:v>45183.541666666664</c:v>
                </c:pt>
                <c:pt idx="53">
                  <c:v>45183.552083333336</c:v>
                </c:pt>
                <c:pt idx="54">
                  <c:v>45183.5625</c:v>
                </c:pt>
                <c:pt idx="55">
                  <c:v>45183.572916666664</c:v>
                </c:pt>
                <c:pt idx="56">
                  <c:v>45183.583333333336</c:v>
                </c:pt>
                <c:pt idx="57">
                  <c:v>45183.59375</c:v>
                </c:pt>
                <c:pt idx="58">
                  <c:v>45183.604166666664</c:v>
                </c:pt>
                <c:pt idx="59">
                  <c:v>45183.614583333336</c:v>
                </c:pt>
                <c:pt idx="60">
                  <c:v>45183.625</c:v>
                </c:pt>
                <c:pt idx="61">
                  <c:v>45183.635416666664</c:v>
                </c:pt>
                <c:pt idx="62">
                  <c:v>45183.645833333336</c:v>
                </c:pt>
                <c:pt idx="63">
                  <c:v>45183.65625</c:v>
                </c:pt>
                <c:pt idx="64">
                  <c:v>45183.666666666664</c:v>
                </c:pt>
                <c:pt idx="65">
                  <c:v>45183.677083333336</c:v>
                </c:pt>
                <c:pt idx="66">
                  <c:v>45183.6875</c:v>
                </c:pt>
                <c:pt idx="67">
                  <c:v>45183.697916666664</c:v>
                </c:pt>
                <c:pt idx="68">
                  <c:v>45183.708333333336</c:v>
                </c:pt>
                <c:pt idx="69">
                  <c:v>45183.71875</c:v>
                </c:pt>
                <c:pt idx="70">
                  <c:v>45183.729166666664</c:v>
                </c:pt>
                <c:pt idx="71">
                  <c:v>45183.739583333336</c:v>
                </c:pt>
                <c:pt idx="72">
                  <c:v>45183.75</c:v>
                </c:pt>
                <c:pt idx="73">
                  <c:v>45183.760416666664</c:v>
                </c:pt>
                <c:pt idx="74">
                  <c:v>45183.770833333336</c:v>
                </c:pt>
                <c:pt idx="75">
                  <c:v>45183.78125</c:v>
                </c:pt>
                <c:pt idx="76">
                  <c:v>45183.791666666664</c:v>
                </c:pt>
                <c:pt idx="77">
                  <c:v>45183.802083333336</c:v>
                </c:pt>
                <c:pt idx="78">
                  <c:v>45183.8125</c:v>
                </c:pt>
                <c:pt idx="79">
                  <c:v>45183.822916666664</c:v>
                </c:pt>
                <c:pt idx="80">
                  <c:v>45183.833333333336</c:v>
                </c:pt>
                <c:pt idx="81">
                  <c:v>45183.84375</c:v>
                </c:pt>
                <c:pt idx="82">
                  <c:v>45183.854166666664</c:v>
                </c:pt>
                <c:pt idx="83">
                  <c:v>45183.864583333336</c:v>
                </c:pt>
                <c:pt idx="84">
                  <c:v>45183.875</c:v>
                </c:pt>
                <c:pt idx="85">
                  <c:v>45183.885416666664</c:v>
                </c:pt>
                <c:pt idx="86">
                  <c:v>45183.895833333336</c:v>
                </c:pt>
                <c:pt idx="87">
                  <c:v>45183.90625</c:v>
                </c:pt>
                <c:pt idx="88">
                  <c:v>45183.916666666664</c:v>
                </c:pt>
                <c:pt idx="89">
                  <c:v>45183.927083333336</c:v>
                </c:pt>
                <c:pt idx="90">
                  <c:v>45183.9375</c:v>
                </c:pt>
                <c:pt idx="91">
                  <c:v>45183.947916666664</c:v>
                </c:pt>
                <c:pt idx="92">
                  <c:v>45183.958333333336</c:v>
                </c:pt>
                <c:pt idx="93">
                  <c:v>45183.96875</c:v>
                </c:pt>
                <c:pt idx="94">
                  <c:v>45183.979166666664</c:v>
                </c:pt>
                <c:pt idx="95">
                  <c:v>45183.989583333336</c:v>
                </c:pt>
                <c:pt idx="96">
                  <c:v>45184</c:v>
                </c:pt>
              </c:numCache>
            </c:numRef>
          </c:xVal>
          <c:yVal>
            <c:numRef>
              <c:f>storm7_results!$G$34:$G$130</c:f>
              <c:numCache>
                <c:formatCode>General</c:formatCode>
                <c:ptCount val="97"/>
                <c:pt idx="0">
                  <c:v>2.8689812741706298E-3</c:v>
                </c:pt>
                <c:pt idx="1">
                  <c:v>3.3780048829848801E-3</c:v>
                </c:pt>
                <c:pt idx="2">
                  <c:v>3.08213764937755E-3</c:v>
                </c:pt>
                <c:pt idx="3">
                  <c:v>4.3235337282550397E-3</c:v>
                </c:pt>
                <c:pt idx="4">
                  <c:v>2.87449227020723E-3</c:v>
                </c:pt>
                <c:pt idx="5">
                  <c:v>3.87030017823048E-3</c:v>
                </c:pt>
                <c:pt idx="6">
                  <c:v>3.9770886926360997E-3</c:v>
                </c:pt>
                <c:pt idx="7">
                  <c:v>3.6763245425729001E-3</c:v>
                </c:pt>
                <c:pt idx="8">
                  <c:v>3.8380131988670499E-3</c:v>
                </c:pt>
                <c:pt idx="9">
                  <c:v>3.7745330575675198E-3</c:v>
                </c:pt>
                <c:pt idx="10">
                  <c:v>4.0061789607287804E-3</c:v>
                </c:pt>
                <c:pt idx="11">
                  <c:v>3.8204541388423001E-3</c:v>
                </c:pt>
                <c:pt idx="12">
                  <c:v>3.9436343396587296E-3</c:v>
                </c:pt>
                <c:pt idx="13">
                  <c:v>3.29092751599967E-3</c:v>
                </c:pt>
                <c:pt idx="14">
                  <c:v>4.6775760537611198E-3</c:v>
                </c:pt>
                <c:pt idx="15">
                  <c:v>3.42191386025106E-3</c:v>
                </c:pt>
                <c:pt idx="16">
                  <c:v>4.1454075112221499E-3</c:v>
                </c:pt>
                <c:pt idx="17">
                  <c:v>3.9644551735158696E-3</c:v>
                </c:pt>
                <c:pt idx="18">
                  <c:v>4.4483996577214299E-3</c:v>
                </c:pt>
                <c:pt idx="19">
                  <c:v>3.7074927314003901E-3</c:v>
                </c:pt>
                <c:pt idx="20">
                  <c:v>4.4624771774469697E-3</c:v>
                </c:pt>
                <c:pt idx="21">
                  <c:v>3.3240617702482902E-3</c:v>
                </c:pt>
                <c:pt idx="22">
                  <c:v>5.1106130926254403E-3</c:v>
                </c:pt>
                <c:pt idx="23">
                  <c:v>3.1317728726963298E-3</c:v>
                </c:pt>
                <c:pt idx="24">
                  <c:v>4.5654323271524496E-3</c:v>
                </c:pt>
                <c:pt idx="25">
                  <c:v>3.2805323265440401E-3</c:v>
                </c:pt>
                <c:pt idx="26">
                  <c:v>3.3956863234268302E-3</c:v>
                </c:pt>
                <c:pt idx="27">
                  <c:v>3.3942375974157302E-3</c:v>
                </c:pt>
                <c:pt idx="28">
                  <c:v>3.3514378860015899E-3</c:v>
                </c:pt>
                <c:pt idx="29">
                  <c:v>3.31376457708188E-3</c:v>
                </c:pt>
                <c:pt idx="30">
                  <c:v>4.0297012204261601E-3</c:v>
                </c:pt>
                <c:pt idx="31">
                  <c:v>3.4213885515476401E-3</c:v>
                </c:pt>
                <c:pt idx="32">
                  <c:v>2.82691597102251E-3</c:v>
                </c:pt>
                <c:pt idx="33">
                  <c:v>3.6673119847281401E-3</c:v>
                </c:pt>
                <c:pt idx="34">
                  <c:v>4.9644284981536996E-3</c:v>
                </c:pt>
                <c:pt idx="35">
                  <c:v>3.0015741610203502E-3</c:v>
                </c:pt>
                <c:pt idx="36">
                  <c:v>2.8243133574541498E-3</c:v>
                </c:pt>
                <c:pt idx="37">
                  <c:v>3.2621483686761498E-3</c:v>
                </c:pt>
                <c:pt idx="38">
                  <c:v>1.66045639244667E-3</c:v>
                </c:pt>
                <c:pt idx="39">
                  <c:v>2.4974507975437398E-3</c:v>
                </c:pt>
                <c:pt idx="40">
                  <c:v>2.39208771660721E-3</c:v>
                </c:pt>
                <c:pt idx="41">
                  <c:v>2.0883396839178401E-3</c:v>
                </c:pt>
                <c:pt idx="42">
                  <c:v>2.63540516022187E-3</c:v>
                </c:pt>
                <c:pt idx="43">
                  <c:v>3.1028373543388801E-3</c:v>
                </c:pt>
                <c:pt idx="44">
                  <c:v>2.45611417229825E-3</c:v>
                </c:pt>
                <c:pt idx="45">
                  <c:v>3.0967847378044898E-3</c:v>
                </c:pt>
                <c:pt idx="46">
                  <c:v>3.23028674004681E-3</c:v>
                </c:pt>
                <c:pt idx="47">
                  <c:v>2.9371684122248302E-3</c:v>
                </c:pt>
                <c:pt idx="48">
                  <c:v>3.0690553925491601E-3</c:v>
                </c:pt>
                <c:pt idx="49">
                  <c:v>3.12623744321856E-3</c:v>
                </c:pt>
                <c:pt idx="50">
                  <c:v>3.4712716015040399E-3</c:v>
                </c:pt>
                <c:pt idx="51">
                  <c:v>3.09282535201877E-3</c:v>
                </c:pt>
                <c:pt idx="52">
                  <c:v>3.4821063814727601E-3</c:v>
                </c:pt>
                <c:pt idx="53">
                  <c:v>3.1530114538743702E-3</c:v>
                </c:pt>
                <c:pt idx="54">
                  <c:v>3.5165068316251398E-3</c:v>
                </c:pt>
                <c:pt idx="55">
                  <c:v>2.8163360499575498E-3</c:v>
                </c:pt>
                <c:pt idx="56">
                  <c:v>5.27146571224119E-3</c:v>
                </c:pt>
                <c:pt idx="57">
                  <c:v>1.4038106988203E-2</c:v>
                </c:pt>
                <c:pt idx="58">
                  <c:v>1.27149788137325E-2</c:v>
                </c:pt>
                <c:pt idx="59">
                  <c:v>3.2495964187402498E-2</c:v>
                </c:pt>
                <c:pt idx="60">
                  <c:v>5.2624368092254702E-2</c:v>
                </c:pt>
                <c:pt idx="61">
                  <c:v>5.0119989158250597E-2</c:v>
                </c:pt>
                <c:pt idx="62">
                  <c:v>2.9984786062465001E-2</c:v>
                </c:pt>
                <c:pt idx="63">
                  <c:v>6.0636259703796297E-2</c:v>
                </c:pt>
                <c:pt idx="64">
                  <c:v>7.2528030674117699E-2</c:v>
                </c:pt>
                <c:pt idx="65">
                  <c:v>0.12077262023449099</c:v>
                </c:pt>
                <c:pt idx="66">
                  <c:v>0.11219164632487801</c:v>
                </c:pt>
                <c:pt idx="67">
                  <c:v>9.78351290551603E-2</c:v>
                </c:pt>
                <c:pt idx="68">
                  <c:v>0.13022074172758899</c:v>
                </c:pt>
                <c:pt idx="69">
                  <c:v>0.109834709925708</c:v>
                </c:pt>
                <c:pt idx="70">
                  <c:v>0.10565969789206001</c:v>
                </c:pt>
                <c:pt idx="71">
                  <c:v>0.16468921188300101</c:v>
                </c:pt>
                <c:pt idx="72">
                  <c:v>0.26572684049964401</c:v>
                </c:pt>
                <c:pt idx="73">
                  <c:v>0.106108154340727</c:v>
                </c:pt>
                <c:pt idx="74">
                  <c:v>8.3999993812861801E-2</c:v>
                </c:pt>
                <c:pt idx="75">
                  <c:v>8.6017546061245898E-2</c:v>
                </c:pt>
                <c:pt idx="76">
                  <c:v>7.3706867530408005E-2</c:v>
                </c:pt>
                <c:pt idx="77">
                  <c:v>6.5014852491690395E-2</c:v>
                </c:pt>
                <c:pt idx="78">
                  <c:v>6.30767093533421E-2</c:v>
                </c:pt>
                <c:pt idx="79">
                  <c:v>5.4676487182681803E-2</c:v>
                </c:pt>
                <c:pt idx="80">
                  <c:v>6.3875585115533901E-2</c:v>
                </c:pt>
                <c:pt idx="81">
                  <c:v>5.8522539748435E-2</c:v>
                </c:pt>
                <c:pt idx="82">
                  <c:v>5.0492673127966702E-2</c:v>
                </c:pt>
                <c:pt idx="83">
                  <c:v>5.5934196765654601E-2</c:v>
                </c:pt>
                <c:pt idx="84">
                  <c:v>5.6477469918913697E-2</c:v>
                </c:pt>
                <c:pt idx="85">
                  <c:v>5.8278085991843899E-2</c:v>
                </c:pt>
                <c:pt idx="86">
                  <c:v>5.8935449229605599E-2</c:v>
                </c:pt>
                <c:pt idx="87">
                  <c:v>5.4684873132165301E-2</c:v>
                </c:pt>
                <c:pt idx="88">
                  <c:v>5.5184757563659502E-2</c:v>
                </c:pt>
                <c:pt idx="89">
                  <c:v>5.9009998263317098E-2</c:v>
                </c:pt>
                <c:pt idx="90">
                  <c:v>6.1030542243978303E-2</c:v>
                </c:pt>
                <c:pt idx="91">
                  <c:v>8.3337975759531002E-2</c:v>
                </c:pt>
                <c:pt idx="92">
                  <c:v>5.9973268821616799E-2</c:v>
                </c:pt>
                <c:pt idx="93">
                  <c:v>6.6419499323123299E-2</c:v>
                </c:pt>
                <c:pt idx="94">
                  <c:v>5.6537462805079597E-2</c:v>
                </c:pt>
                <c:pt idx="95">
                  <c:v>4.1565092870044902E-2</c:v>
                </c:pt>
                <c:pt idx="96">
                  <c:v>4.1708775185637398E-2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5D9-4B79-A482-EF7CB4EAC9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5919519"/>
        <c:axId val="905903199"/>
      </c:scatterChart>
      <c:valAx>
        <c:axId val="905919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903199"/>
        <c:crosses val="autoZero"/>
        <c:crossBetween val="midCat"/>
      </c:valAx>
      <c:valAx>
        <c:axId val="90590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9195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Median Amp Over Time</a:t>
            </a:r>
          </a:p>
        </c:rich>
      </c:tx>
      <c:layout>
        <c:manualLayout>
          <c:xMode val="edge"/>
          <c:yMode val="edge"/>
          <c:x val="0.38794824590588139"/>
          <c:y val="3.30578512396694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storm7_results!$E$34:$E$130</c:f>
              <c:numCache>
                <c:formatCode>m/d/yyyy\ h:mm</c:formatCode>
                <c:ptCount val="97"/>
                <c:pt idx="0">
                  <c:v>45183</c:v>
                </c:pt>
                <c:pt idx="1">
                  <c:v>45183.010416666664</c:v>
                </c:pt>
                <c:pt idx="2">
                  <c:v>45183.020833333336</c:v>
                </c:pt>
                <c:pt idx="3">
                  <c:v>45183.03125</c:v>
                </c:pt>
                <c:pt idx="4">
                  <c:v>45183.041666666664</c:v>
                </c:pt>
                <c:pt idx="5">
                  <c:v>45183.052083333336</c:v>
                </c:pt>
                <c:pt idx="6">
                  <c:v>45183.0625</c:v>
                </c:pt>
                <c:pt idx="7">
                  <c:v>45183.072916666664</c:v>
                </c:pt>
                <c:pt idx="8">
                  <c:v>45183.083333333336</c:v>
                </c:pt>
                <c:pt idx="9">
                  <c:v>45183.09375</c:v>
                </c:pt>
                <c:pt idx="10">
                  <c:v>45183.104166666664</c:v>
                </c:pt>
                <c:pt idx="11">
                  <c:v>45183.114583333336</c:v>
                </c:pt>
                <c:pt idx="12">
                  <c:v>45183.125</c:v>
                </c:pt>
                <c:pt idx="13">
                  <c:v>45183.135416666664</c:v>
                </c:pt>
                <c:pt idx="14">
                  <c:v>45183.145833333336</c:v>
                </c:pt>
                <c:pt idx="15">
                  <c:v>45183.15625</c:v>
                </c:pt>
                <c:pt idx="16">
                  <c:v>45183.166666666664</c:v>
                </c:pt>
                <c:pt idx="17">
                  <c:v>45183.177083333336</c:v>
                </c:pt>
                <c:pt idx="18">
                  <c:v>45183.1875</c:v>
                </c:pt>
                <c:pt idx="19">
                  <c:v>45183.197916666664</c:v>
                </c:pt>
                <c:pt idx="20">
                  <c:v>45183.208333333336</c:v>
                </c:pt>
                <c:pt idx="21">
                  <c:v>45183.21875</c:v>
                </c:pt>
                <c:pt idx="22">
                  <c:v>45183.229166666664</c:v>
                </c:pt>
                <c:pt idx="23">
                  <c:v>45183.239583333336</c:v>
                </c:pt>
                <c:pt idx="24">
                  <c:v>45183.25</c:v>
                </c:pt>
                <c:pt idx="25">
                  <c:v>45183.260416666664</c:v>
                </c:pt>
                <c:pt idx="26">
                  <c:v>45183.270833333336</c:v>
                </c:pt>
                <c:pt idx="27">
                  <c:v>45183.28125</c:v>
                </c:pt>
                <c:pt idx="28">
                  <c:v>45183.291666666664</c:v>
                </c:pt>
                <c:pt idx="29">
                  <c:v>45183.302083333336</c:v>
                </c:pt>
                <c:pt idx="30">
                  <c:v>45183.3125</c:v>
                </c:pt>
                <c:pt idx="31">
                  <c:v>45183.322916666664</c:v>
                </c:pt>
                <c:pt idx="32">
                  <c:v>45183.333333333336</c:v>
                </c:pt>
                <c:pt idx="33">
                  <c:v>45183.34375</c:v>
                </c:pt>
                <c:pt idx="34">
                  <c:v>45183.354166666664</c:v>
                </c:pt>
                <c:pt idx="35">
                  <c:v>45183.364583333336</c:v>
                </c:pt>
                <c:pt idx="36">
                  <c:v>45183.375</c:v>
                </c:pt>
                <c:pt idx="37">
                  <c:v>45183.385416666664</c:v>
                </c:pt>
                <c:pt idx="38">
                  <c:v>45183.395833333336</c:v>
                </c:pt>
                <c:pt idx="39">
                  <c:v>45183.40625</c:v>
                </c:pt>
                <c:pt idx="40">
                  <c:v>45183.416666666664</c:v>
                </c:pt>
                <c:pt idx="41">
                  <c:v>45183.427083333336</c:v>
                </c:pt>
                <c:pt idx="42">
                  <c:v>45183.4375</c:v>
                </c:pt>
                <c:pt idx="43">
                  <c:v>45183.447916666664</c:v>
                </c:pt>
                <c:pt idx="44">
                  <c:v>45183.458333333336</c:v>
                </c:pt>
                <c:pt idx="45">
                  <c:v>45183.46875</c:v>
                </c:pt>
                <c:pt idx="46">
                  <c:v>45183.479166666664</c:v>
                </c:pt>
                <c:pt idx="47">
                  <c:v>45183.489583333336</c:v>
                </c:pt>
                <c:pt idx="48">
                  <c:v>45183.5</c:v>
                </c:pt>
                <c:pt idx="49">
                  <c:v>45183.510416666664</c:v>
                </c:pt>
                <c:pt idx="50">
                  <c:v>45183.520833333336</c:v>
                </c:pt>
                <c:pt idx="51">
                  <c:v>45183.53125</c:v>
                </c:pt>
                <c:pt idx="52">
                  <c:v>45183.541666666664</c:v>
                </c:pt>
                <c:pt idx="53">
                  <c:v>45183.552083333336</c:v>
                </c:pt>
                <c:pt idx="54">
                  <c:v>45183.5625</c:v>
                </c:pt>
                <c:pt idx="55">
                  <c:v>45183.572916666664</c:v>
                </c:pt>
                <c:pt idx="56">
                  <c:v>45183.583333333336</c:v>
                </c:pt>
                <c:pt idx="57">
                  <c:v>45183.59375</c:v>
                </c:pt>
                <c:pt idx="58">
                  <c:v>45183.604166666664</c:v>
                </c:pt>
                <c:pt idx="59">
                  <c:v>45183.614583333336</c:v>
                </c:pt>
                <c:pt idx="60">
                  <c:v>45183.625</c:v>
                </c:pt>
                <c:pt idx="61">
                  <c:v>45183.635416666664</c:v>
                </c:pt>
                <c:pt idx="62">
                  <c:v>45183.645833333336</c:v>
                </c:pt>
                <c:pt idx="63">
                  <c:v>45183.65625</c:v>
                </c:pt>
                <c:pt idx="64">
                  <c:v>45183.666666666664</c:v>
                </c:pt>
                <c:pt idx="65">
                  <c:v>45183.677083333336</c:v>
                </c:pt>
                <c:pt idx="66">
                  <c:v>45183.6875</c:v>
                </c:pt>
                <c:pt idx="67">
                  <c:v>45183.697916666664</c:v>
                </c:pt>
                <c:pt idx="68">
                  <c:v>45183.708333333336</c:v>
                </c:pt>
                <c:pt idx="69">
                  <c:v>45183.71875</c:v>
                </c:pt>
                <c:pt idx="70">
                  <c:v>45183.729166666664</c:v>
                </c:pt>
                <c:pt idx="71">
                  <c:v>45183.739583333336</c:v>
                </c:pt>
                <c:pt idx="72">
                  <c:v>45183.75</c:v>
                </c:pt>
                <c:pt idx="73">
                  <c:v>45183.760416666664</c:v>
                </c:pt>
                <c:pt idx="74">
                  <c:v>45183.770833333336</c:v>
                </c:pt>
                <c:pt idx="75">
                  <c:v>45183.78125</c:v>
                </c:pt>
                <c:pt idx="76">
                  <c:v>45183.791666666664</c:v>
                </c:pt>
                <c:pt idx="77">
                  <c:v>45183.802083333336</c:v>
                </c:pt>
                <c:pt idx="78">
                  <c:v>45183.8125</c:v>
                </c:pt>
                <c:pt idx="79">
                  <c:v>45183.822916666664</c:v>
                </c:pt>
                <c:pt idx="80">
                  <c:v>45183.833333333336</c:v>
                </c:pt>
                <c:pt idx="81">
                  <c:v>45183.84375</c:v>
                </c:pt>
                <c:pt idx="82">
                  <c:v>45183.854166666664</c:v>
                </c:pt>
                <c:pt idx="83">
                  <c:v>45183.864583333336</c:v>
                </c:pt>
                <c:pt idx="84">
                  <c:v>45183.875</c:v>
                </c:pt>
                <c:pt idx="85">
                  <c:v>45183.885416666664</c:v>
                </c:pt>
                <c:pt idx="86">
                  <c:v>45183.895833333336</c:v>
                </c:pt>
                <c:pt idx="87">
                  <c:v>45183.90625</c:v>
                </c:pt>
                <c:pt idx="88">
                  <c:v>45183.916666666664</c:v>
                </c:pt>
                <c:pt idx="89">
                  <c:v>45183.927083333336</c:v>
                </c:pt>
                <c:pt idx="90">
                  <c:v>45183.9375</c:v>
                </c:pt>
                <c:pt idx="91">
                  <c:v>45183.947916666664</c:v>
                </c:pt>
                <c:pt idx="92">
                  <c:v>45183.958333333336</c:v>
                </c:pt>
                <c:pt idx="93">
                  <c:v>45183.96875</c:v>
                </c:pt>
                <c:pt idx="94">
                  <c:v>45183.979166666664</c:v>
                </c:pt>
                <c:pt idx="95">
                  <c:v>45183.989583333336</c:v>
                </c:pt>
                <c:pt idx="96">
                  <c:v>45184</c:v>
                </c:pt>
              </c:numCache>
            </c:numRef>
          </c:xVal>
          <c:yVal>
            <c:numRef>
              <c:f>storm7_results!$H$34:$H$130</c:f>
              <c:numCache>
                <c:formatCode>General</c:formatCode>
                <c:ptCount val="97"/>
                <c:pt idx="0">
                  <c:v>2.7825601816821401E-3</c:v>
                </c:pt>
                <c:pt idx="1">
                  <c:v>3.31684394201556E-3</c:v>
                </c:pt>
                <c:pt idx="2">
                  <c:v>3.0169008533253898E-3</c:v>
                </c:pt>
                <c:pt idx="3">
                  <c:v>4.0254678004470398E-3</c:v>
                </c:pt>
                <c:pt idx="4">
                  <c:v>2.7058696859742098E-3</c:v>
                </c:pt>
                <c:pt idx="5">
                  <c:v>3.7371598539261198E-3</c:v>
                </c:pt>
                <c:pt idx="6">
                  <c:v>3.8675020106589898E-3</c:v>
                </c:pt>
                <c:pt idx="7">
                  <c:v>3.6754864273115398E-3</c:v>
                </c:pt>
                <c:pt idx="8">
                  <c:v>3.7420591684563199E-3</c:v>
                </c:pt>
                <c:pt idx="9">
                  <c:v>3.56148421177228E-3</c:v>
                </c:pt>
                <c:pt idx="10">
                  <c:v>3.9977959773217098E-3</c:v>
                </c:pt>
                <c:pt idx="11">
                  <c:v>3.6412431736499201E-3</c:v>
                </c:pt>
                <c:pt idx="12">
                  <c:v>3.7553527318031099E-3</c:v>
                </c:pt>
                <c:pt idx="13">
                  <c:v>3.1753207255848402E-3</c:v>
                </c:pt>
                <c:pt idx="14">
                  <c:v>4.6273383020132902E-3</c:v>
                </c:pt>
                <c:pt idx="15">
                  <c:v>3.19824956606476E-3</c:v>
                </c:pt>
                <c:pt idx="16">
                  <c:v>3.9204317271189304E-3</c:v>
                </c:pt>
                <c:pt idx="17">
                  <c:v>3.7455873832963598E-3</c:v>
                </c:pt>
                <c:pt idx="18">
                  <c:v>4.4412095449452797E-3</c:v>
                </c:pt>
                <c:pt idx="19">
                  <c:v>3.6418246418379601E-3</c:v>
                </c:pt>
                <c:pt idx="20">
                  <c:v>4.2389937515238604E-3</c:v>
                </c:pt>
                <c:pt idx="21">
                  <c:v>3.1798407629793101E-3</c:v>
                </c:pt>
                <c:pt idx="22">
                  <c:v>4.8318042044744498E-3</c:v>
                </c:pt>
                <c:pt idx="23">
                  <c:v>3.02844811886E-3</c:v>
                </c:pt>
                <c:pt idx="24">
                  <c:v>4.5580502385521001E-3</c:v>
                </c:pt>
                <c:pt idx="25">
                  <c:v>3.0154506145571199E-3</c:v>
                </c:pt>
                <c:pt idx="26">
                  <c:v>3.4297890185735901E-3</c:v>
                </c:pt>
                <c:pt idx="27">
                  <c:v>3.2440271310913401E-3</c:v>
                </c:pt>
                <c:pt idx="28">
                  <c:v>3.3801364761825302E-3</c:v>
                </c:pt>
                <c:pt idx="29">
                  <c:v>3.20789316118522E-3</c:v>
                </c:pt>
                <c:pt idx="30">
                  <c:v>3.8775761803852399E-3</c:v>
                </c:pt>
                <c:pt idx="31">
                  <c:v>3.3052856823723802E-3</c:v>
                </c:pt>
                <c:pt idx="32">
                  <c:v>2.71266373287241E-3</c:v>
                </c:pt>
                <c:pt idx="33">
                  <c:v>3.6534129875168599E-3</c:v>
                </c:pt>
                <c:pt idx="34">
                  <c:v>4.8992213435718702E-3</c:v>
                </c:pt>
                <c:pt idx="35">
                  <c:v>2.7916235906602798E-3</c:v>
                </c:pt>
                <c:pt idx="36">
                  <c:v>2.7978967029623401E-3</c:v>
                </c:pt>
                <c:pt idx="37">
                  <c:v>3.1997581145374299E-3</c:v>
                </c:pt>
                <c:pt idx="38">
                  <c:v>1.5762344547249399E-3</c:v>
                </c:pt>
                <c:pt idx="39">
                  <c:v>2.3855751561693201E-3</c:v>
                </c:pt>
                <c:pt idx="40">
                  <c:v>2.2214380463727599E-3</c:v>
                </c:pt>
                <c:pt idx="41">
                  <c:v>2.0481530577815899E-3</c:v>
                </c:pt>
                <c:pt idx="42">
                  <c:v>2.5108428800004498E-3</c:v>
                </c:pt>
                <c:pt idx="43">
                  <c:v>2.9589214794485002E-3</c:v>
                </c:pt>
                <c:pt idx="44">
                  <c:v>2.3019315422214601E-3</c:v>
                </c:pt>
                <c:pt idx="45">
                  <c:v>2.9402166481768202E-3</c:v>
                </c:pt>
                <c:pt idx="46">
                  <c:v>3.1200219689148001E-3</c:v>
                </c:pt>
                <c:pt idx="47">
                  <c:v>2.92563861132642E-3</c:v>
                </c:pt>
                <c:pt idx="48">
                  <c:v>3.0697097505174701E-3</c:v>
                </c:pt>
                <c:pt idx="49">
                  <c:v>2.96415770695533E-3</c:v>
                </c:pt>
                <c:pt idx="50">
                  <c:v>3.36716550499753E-3</c:v>
                </c:pt>
                <c:pt idx="51">
                  <c:v>2.9788679698751299E-3</c:v>
                </c:pt>
                <c:pt idx="52">
                  <c:v>3.4240500782549898E-3</c:v>
                </c:pt>
                <c:pt idx="53">
                  <c:v>3.0996490423676002E-3</c:v>
                </c:pt>
                <c:pt idx="54">
                  <c:v>3.4280634774339598E-3</c:v>
                </c:pt>
                <c:pt idx="55">
                  <c:v>2.7565296907238598E-3</c:v>
                </c:pt>
                <c:pt idx="56">
                  <c:v>5.2209934443536096E-3</c:v>
                </c:pt>
                <c:pt idx="57">
                  <c:v>1.3972742401540899E-2</c:v>
                </c:pt>
                <c:pt idx="58">
                  <c:v>1.21679581639778E-2</c:v>
                </c:pt>
                <c:pt idx="59">
                  <c:v>2.77398237296268E-2</c:v>
                </c:pt>
                <c:pt idx="60">
                  <c:v>5.1600757711994703E-2</c:v>
                </c:pt>
                <c:pt idx="61">
                  <c:v>5.0711509705510402E-2</c:v>
                </c:pt>
                <c:pt idx="62">
                  <c:v>2.83546452971561E-2</c:v>
                </c:pt>
                <c:pt idx="63">
                  <c:v>5.7154993106312398E-2</c:v>
                </c:pt>
                <c:pt idx="64">
                  <c:v>7.0951810745093699E-2</c:v>
                </c:pt>
                <c:pt idx="65">
                  <c:v>0.118763415968887</c:v>
                </c:pt>
                <c:pt idx="66">
                  <c:v>0.11084624697481101</c:v>
                </c:pt>
                <c:pt idx="67">
                  <c:v>9.72214763410887E-2</c:v>
                </c:pt>
                <c:pt idx="68">
                  <c:v>0.12755828025576299</c:v>
                </c:pt>
                <c:pt idx="69">
                  <c:v>0.109406391485756</c:v>
                </c:pt>
                <c:pt idx="70">
                  <c:v>0.104113502105342</c:v>
                </c:pt>
                <c:pt idx="71">
                  <c:v>0.15971851052775299</c:v>
                </c:pt>
                <c:pt idx="72">
                  <c:v>0.24654742040365599</c:v>
                </c:pt>
                <c:pt idx="73">
                  <c:v>0.104493034876507</c:v>
                </c:pt>
                <c:pt idx="74">
                  <c:v>8.0101259012846607E-2</c:v>
                </c:pt>
                <c:pt idx="75">
                  <c:v>8.4080577098758102E-2</c:v>
                </c:pt>
                <c:pt idx="76">
                  <c:v>7.4598035808525601E-2</c:v>
                </c:pt>
                <c:pt idx="77">
                  <c:v>6.3569323465144101E-2</c:v>
                </c:pt>
                <c:pt idx="78">
                  <c:v>6.23244920273055E-2</c:v>
                </c:pt>
                <c:pt idx="79">
                  <c:v>5.1982113214697999E-2</c:v>
                </c:pt>
                <c:pt idx="80">
                  <c:v>6.3888364853241397E-2</c:v>
                </c:pt>
                <c:pt idx="81">
                  <c:v>5.76557569351486E-2</c:v>
                </c:pt>
                <c:pt idx="82">
                  <c:v>4.9432977870129499E-2</c:v>
                </c:pt>
                <c:pt idx="83">
                  <c:v>5.4146467392486297E-2</c:v>
                </c:pt>
                <c:pt idx="84">
                  <c:v>5.5324348816749198E-2</c:v>
                </c:pt>
                <c:pt idx="85">
                  <c:v>5.6107211213047403E-2</c:v>
                </c:pt>
                <c:pt idx="86">
                  <c:v>5.8502417730614799E-2</c:v>
                </c:pt>
                <c:pt idx="87">
                  <c:v>5.3487147769933199E-2</c:v>
                </c:pt>
                <c:pt idx="88">
                  <c:v>5.2688223892774E-2</c:v>
                </c:pt>
                <c:pt idx="89">
                  <c:v>5.86228714111202E-2</c:v>
                </c:pt>
                <c:pt idx="90">
                  <c:v>5.9650573447838702E-2</c:v>
                </c:pt>
                <c:pt idx="91">
                  <c:v>8.3307070828283605E-2</c:v>
                </c:pt>
                <c:pt idx="92">
                  <c:v>5.74513809330474E-2</c:v>
                </c:pt>
                <c:pt idx="93">
                  <c:v>6.3668520556787594E-2</c:v>
                </c:pt>
                <c:pt idx="94">
                  <c:v>5.4506426724540299E-2</c:v>
                </c:pt>
                <c:pt idx="95">
                  <c:v>3.9139726613867297E-2</c:v>
                </c:pt>
                <c:pt idx="96">
                  <c:v>4.1139298070570797E-2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2B4-434F-A32F-2326F27574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5919519"/>
        <c:axId val="905903199"/>
      </c:scatterChart>
      <c:valAx>
        <c:axId val="905919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903199"/>
        <c:crosses val="autoZero"/>
        <c:crossBetween val="midCat"/>
      </c:valAx>
      <c:valAx>
        <c:axId val="90590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9195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118110</xdr:colOff>
      <xdr:row>32</xdr:row>
      <xdr:rowOff>28575</xdr:rowOff>
    </xdr:from>
    <xdr:to>
      <xdr:col>18</xdr:col>
      <xdr:colOff>434340</xdr:colOff>
      <xdr:row>44</xdr:row>
      <xdr:rowOff>47625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C619A36-FBAF-4BDB-93B5-C8C1ACA52D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95250</xdr:colOff>
      <xdr:row>44</xdr:row>
      <xdr:rowOff>104775</xdr:rowOff>
    </xdr:from>
    <xdr:to>
      <xdr:col>18</xdr:col>
      <xdr:colOff>472440</xdr:colOff>
      <xdr:row>56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664D49-848E-4D1F-BA45-0E1B175772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114300</xdr:colOff>
      <xdr:row>57</xdr:row>
      <xdr:rowOff>47625</xdr:rowOff>
    </xdr:from>
    <xdr:to>
      <xdr:col>19</xdr:col>
      <xdr:colOff>171450</xdr:colOff>
      <xdr:row>69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09CE33C-5351-430E-8072-751B6FC6B1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B3EE7-9F25-49D2-9950-CA5E6E11E08F}">
  <dimension ref="A1:CT130"/>
  <sheetViews>
    <sheetView tabSelected="1" topLeftCell="M28" workbookViewId="0">
      <selection activeCell="AD37" sqref="AD37"/>
    </sheetView>
  </sheetViews>
  <sheetFormatPr defaultRowHeight="14.4" x14ac:dyDescent="0.3"/>
  <cols>
    <col min="1" max="1" width="15.88671875" customWidth="1"/>
    <col min="3" max="3" width="13.44140625" customWidth="1"/>
    <col min="21" max="21" width="11.6640625" customWidth="1"/>
  </cols>
  <sheetData>
    <row r="1" spans="1:98" x14ac:dyDescent="0.3">
      <c r="B1" s="1">
        <v>45183</v>
      </c>
      <c r="C1" s="1">
        <v>45183.010416666664</v>
      </c>
      <c r="D1" s="1">
        <v>45183.020833333336</v>
      </c>
      <c r="E1" s="1">
        <v>45183.03125</v>
      </c>
      <c r="F1" s="1">
        <v>45183.041666666664</v>
      </c>
      <c r="G1" s="1">
        <v>45183.052083333336</v>
      </c>
      <c r="H1" s="1">
        <v>45183.0625</v>
      </c>
      <c r="I1" s="1">
        <v>45183.072916666664</v>
      </c>
      <c r="J1" s="1">
        <v>45183.083333333336</v>
      </c>
      <c r="K1" s="1">
        <v>45183.09375</v>
      </c>
      <c r="L1" s="1">
        <v>45183.104166666664</v>
      </c>
      <c r="M1" s="1">
        <v>45183.114583333336</v>
      </c>
      <c r="N1" s="1">
        <v>45183.125</v>
      </c>
      <c r="O1" s="1">
        <v>45183.135416666664</v>
      </c>
      <c r="P1" s="1">
        <v>45183.145833333336</v>
      </c>
      <c r="Q1" s="1">
        <v>45183.15625</v>
      </c>
      <c r="R1" s="1">
        <v>45183.166666666664</v>
      </c>
      <c r="S1" s="1">
        <v>45183.177083333336</v>
      </c>
      <c r="T1" s="1">
        <v>45183.1875</v>
      </c>
      <c r="U1" s="1">
        <v>45183.197916666664</v>
      </c>
      <c r="V1" s="1">
        <v>45183.208333333336</v>
      </c>
      <c r="W1" s="1">
        <v>45183.21875</v>
      </c>
      <c r="X1" s="1">
        <v>45183.229166666664</v>
      </c>
      <c r="Y1" s="1">
        <v>45183.239583333336</v>
      </c>
      <c r="Z1" s="1">
        <v>45183.25</v>
      </c>
      <c r="AA1" s="1">
        <v>45183.260416666664</v>
      </c>
      <c r="AB1" s="1">
        <v>45183.270833333336</v>
      </c>
      <c r="AC1" s="1">
        <v>45183.28125</v>
      </c>
      <c r="AD1" s="1">
        <v>45183.291666666664</v>
      </c>
      <c r="AE1" s="1">
        <v>45183.302083333336</v>
      </c>
      <c r="AF1" s="1">
        <v>45183.3125</v>
      </c>
      <c r="AG1" s="1">
        <v>45183.322916666664</v>
      </c>
      <c r="AH1" s="1">
        <v>45183.333333333336</v>
      </c>
      <c r="AI1" s="1">
        <v>45183.34375</v>
      </c>
      <c r="AJ1" s="1">
        <v>45183.354166666664</v>
      </c>
      <c r="AK1" s="1">
        <v>45183.364583333336</v>
      </c>
      <c r="AL1" s="1">
        <v>45183.375</v>
      </c>
      <c r="AM1" s="1">
        <v>45183.385416666664</v>
      </c>
      <c r="AN1" s="1">
        <v>45183.395833333336</v>
      </c>
      <c r="AO1" s="1">
        <v>45183.40625</v>
      </c>
      <c r="AP1" s="1">
        <v>45183.416666666664</v>
      </c>
      <c r="AQ1" s="1">
        <v>45183.427083333336</v>
      </c>
      <c r="AR1" s="1">
        <v>45183.4375</v>
      </c>
      <c r="AS1" s="1">
        <v>45183.447916666664</v>
      </c>
      <c r="AT1" s="1">
        <v>45183.458333333336</v>
      </c>
      <c r="AU1" s="1">
        <v>45183.46875</v>
      </c>
      <c r="AV1" s="1">
        <v>45183.479166666664</v>
      </c>
      <c r="AW1" s="1">
        <v>45183.489583333336</v>
      </c>
      <c r="AX1" s="1">
        <v>45183.5</v>
      </c>
      <c r="AY1" s="1">
        <v>45183.510416666664</v>
      </c>
      <c r="AZ1" s="1">
        <v>45183.520833333336</v>
      </c>
      <c r="BA1" s="1">
        <v>45183.53125</v>
      </c>
      <c r="BB1" s="1">
        <v>45183.541666666664</v>
      </c>
      <c r="BC1" s="1">
        <v>45183.552083333336</v>
      </c>
      <c r="BD1" s="1">
        <v>45183.5625</v>
      </c>
      <c r="BE1" s="1">
        <v>45183.572916666664</v>
      </c>
      <c r="BF1" s="1">
        <v>45183.583333333336</v>
      </c>
      <c r="BG1" s="1">
        <v>45183.59375</v>
      </c>
      <c r="BH1" s="1">
        <v>45183.604166666664</v>
      </c>
      <c r="BI1" s="1">
        <v>45183.614583333336</v>
      </c>
      <c r="BJ1" s="1">
        <v>45183.625</v>
      </c>
      <c r="BK1" s="1">
        <v>45183.635416666664</v>
      </c>
      <c r="BL1" s="1">
        <v>45183.645833333336</v>
      </c>
      <c r="BM1" s="1">
        <v>45183.65625</v>
      </c>
      <c r="BN1" s="1">
        <v>45183.666666666664</v>
      </c>
      <c r="BO1" s="1">
        <v>45183.677083333336</v>
      </c>
      <c r="BP1" s="1">
        <v>45183.6875</v>
      </c>
      <c r="BQ1" s="1">
        <v>45183.697916666664</v>
      </c>
      <c r="BR1" s="1">
        <v>45183.708333333336</v>
      </c>
      <c r="BS1" s="1">
        <v>45183.71875</v>
      </c>
      <c r="BT1" s="1">
        <v>45183.729166666664</v>
      </c>
      <c r="BU1" s="1">
        <v>45183.739583333336</v>
      </c>
      <c r="BV1" s="1">
        <v>45183.75</v>
      </c>
      <c r="BW1" s="1">
        <v>45183.760416666664</v>
      </c>
      <c r="BX1" s="1">
        <v>45183.770833333336</v>
      </c>
      <c r="BY1" s="1">
        <v>45183.78125</v>
      </c>
      <c r="BZ1" s="1">
        <v>45183.791666666664</v>
      </c>
      <c r="CA1" s="1">
        <v>45183.802083333336</v>
      </c>
      <c r="CB1" s="1">
        <v>45183.8125</v>
      </c>
      <c r="CC1" s="1">
        <v>45183.822916666664</v>
      </c>
      <c r="CD1" s="1">
        <v>45183.833333333336</v>
      </c>
      <c r="CE1" s="1">
        <v>45183.84375</v>
      </c>
      <c r="CF1" s="1">
        <v>45183.854166666664</v>
      </c>
      <c r="CG1" s="1">
        <v>45183.864583333336</v>
      </c>
      <c r="CH1" s="1">
        <v>45183.875</v>
      </c>
      <c r="CI1" s="1">
        <v>45183.885416666664</v>
      </c>
      <c r="CJ1" s="1">
        <v>45183.895833333336</v>
      </c>
      <c r="CK1" s="1">
        <v>45183.90625</v>
      </c>
      <c r="CL1" s="1">
        <v>45183.916666666664</v>
      </c>
      <c r="CM1" s="1">
        <v>45183.927083333336</v>
      </c>
      <c r="CN1" s="1">
        <v>45183.9375</v>
      </c>
      <c r="CO1" s="1">
        <v>45183.947916666664</v>
      </c>
      <c r="CP1" s="1">
        <v>45183.958333333336</v>
      </c>
      <c r="CQ1" s="1">
        <v>45183.96875</v>
      </c>
      <c r="CR1" s="1">
        <v>45183.979166666664</v>
      </c>
      <c r="CS1" s="1">
        <v>45183.989583333336</v>
      </c>
      <c r="CT1" s="1">
        <v>45184</v>
      </c>
    </row>
    <row r="2" spans="1:98" x14ac:dyDescent="0.3">
      <c r="A2" t="s">
        <v>0</v>
      </c>
      <c r="B2">
        <v>4.2072347000285497E-3</v>
      </c>
      <c r="C2">
        <v>7.0346519497871103E-3</v>
      </c>
      <c r="D2">
        <v>4.5112112790446496E-3</v>
      </c>
      <c r="E2">
        <v>7.6159647545828903E-3</v>
      </c>
      <c r="F2">
        <v>5.4287319681273396E-3</v>
      </c>
      <c r="G2">
        <v>7.1873392070551899E-3</v>
      </c>
      <c r="H2">
        <v>7.0477951333742603E-3</v>
      </c>
      <c r="I2">
        <v>5.6470706578480101E-3</v>
      </c>
      <c r="J2">
        <v>7.4783023536862904E-3</v>
      </c>
      <c r="K2">
        <v>6.3768660431115804E-3</v>
      </c>
      <c r="L2">
        <v>5.9178056688593203E-3</v>
      </c>
      <c r="M2">
        <v>6.6857096586161501E-3</v>
      </c>
      <c r="N2">
        <v>9.7657639621777006E-3</v>
      </c>
      <c r="O2">
        <v>6.3585886170623501E-3</v>
      </c>
      <c r="P2">
        <v>7.1762633094527503E-3</v>
      </c>
      <c r="Q2">
        <v>6.6364593683922498E-3</v>
      </c>
      <c r="R2">
        <v>7.0276613216916596E-3</v>
      </c>
      <c r="S2">
        <v>6.5891829836278197E-3</v>
      </c>
      <c r="T2">
        <v>6.2664490097283296E-3</v>
      </c>
      <c r="U2">
        <v>6.90793683633633E-3</v>
      </c>
      <c r="V2">
        <v>9.6437434565644301E-3</v>
      </c>
      <c r="W2">
        <v>5.8111062065697603E-3</v>
      </c>
      <c r="X2">
        <v>1.0703230764021399E-2</v>
      </c>
      <c r="Y2">
        <v>6.2227064268062298E-3</v>
      </c>
      <c r="Z2">
        <v>6.6895273100458699E-3</v>
      </c>
      <c r="AA2">
        <v>7.2613258391148201E-3</v>
      </c>
      <c r="AB2">
        <v>4.7194779780740399E-3</v>
      </c>
      <c r="AC2">
        <v>7.2471400234077801E-3</v>
      </c>
      <c r="AD2">
        <v>4.5555065357865202E-3</v>
      </c>
      <c r="AE2">
        <v>5.4054085352765596E-3</v>
      </c>
      <c r="AF2">
        <v>5.9419905709959002E-3</v>
      </c>
      <c r="AG2">
        <v>6.16552591445835E-3</v>
      </c>
      <c r="AH2">
        <v>5.5689468094676604E-3</v>
      </c>
      <c r="AI2">
        <v>6.2929665796027196E-3</v>
      </c>
      <c r="AJ2">
        <v>9.0961229079548605E-3</v>
      </c>
      <c r="AK2">
        <v>5.6605885293089398E-3</v>
      </c>
      <c r="AL2">
        <v>3.9981916182037702E-3</v>
      </c>
      <c r="AM2">
        <v>5.5708417347322499E-3</v>
      </c>
      <c r="AN2">
        <v>3.2976991208342999E-3</v>
      </c>
      <c r="AO2">
        <v>5.2840856751277801E-3</v>
      </c>
      <c r="AP2">
        <v>5.5078495528929298E-3</v>
      </c>
      <c r="AQ2">
        <v>3.2299851306196599E-3</v>
      </c>
      <c r="AR2">
        <v>4.2754041538176297E-3</v>
      </c>
      <c r="AS2">
        <v>4.9539658809393001E-3</v>
      </c>
      <c r="AT2">
        <v>4.62284650535581E-3</v>
      </c>
      <c r="AU2">
        <v>5.3538755134562299E-3</v>
      </c>
      <c r="AV2">
        <v>4.8978891133043103E-3</v>
      </c>
      <c r="AW2">
        <v>4.6603520164618696E-3</v>
      </c>
      <c r="AX2">
        <v>4.7162408784258503E-3</v>
      </c>
      <c r="AY2">
        <v>7.1573047619624503E-3</v>
      </c>
      <c r="AZ2">
        <v>5.5667064822703697E-3</v>
      </c>
      <c r="BA2">
        <v>5.1818065909306297E-3</v>
      </c>
      <c r="BB2">
        <v>5.2317085364958701E-3</v>
      </c>
      <c r="BC2">
        <v>5.8004587568954496E-3</v>
      </c>
      <c r="BD2">
        <v>6.0693515473427403E-3</v>
      </c>
      <c r="BE2">
        <v>5.3411784980409204E-3</v>
      </c>
      <c r="BF2">
        <v>8.8661816868626699E-3</v>
      </c>
      <c r="BG2">
        <v>2.4144929111246601E-2</v>
      </c>
      <c r="BH2">
        <v>1.9781090680697899E-2</v>
      </c>
      <c r="BI2">
        <v>7.8323781556648098E-2</v>
      </c>
      <c r="BJ2">
        <v>9.5227683354109402E-2</v>
      </c>
      <c r="BK2">
        <v>8.3501508164946198E-2</v>
      </c>
      <c r="BL2">
        <v>5.2480419789072003E-2</v>
      </c>
      <c r="BM2">
        <v>0.108203356781746</v>
      </c>
      <c r="BN2">
        <v>0.123348743464346</v>
      </c>
      <c r="BO2">
        <v>0.159361458967232</v>
      </c>
      <c r="BP2">
        <v>0.17501293888175501</v>
      </c>
      <c r="BQ2">
        <v>0.140120008346797</v>
      </c>
      <c r="BR2">
        <v>0.22039276005109401</v>
      </c>
      <c r="BS2">
        <v>0.14858885600914801</v>
      </c>
      <c r="BT2">
        <v>0.15791301840910801</v>
      </c>
      <c r="BU2">
        <v>0.27712484545157101</v>
      </c>
      <c r="BV2">
        <v>0.50996100240963405</v>
      </c>
      <c r="BW2">
        <v>0.155096317860936</v>
      </c>
      <c r="BX2">
        <v>0.12311418745968999</v>
      </c>
      <c r="BY2">
        <v>0.124064689299707</v>
      </c>
      <c r="BZ2">
        <v>0.10329814865204801</v>
      </c>
      <c r="CA2">
        <v>9.6039941565308498E-2</v>
      </c>
      <c r="CB2">
        <v>9.3808873279711394E-2</v>
      </c>
      <c r="CC2">
        <v>9.9043228211665696E-2</v>
      </c>
      <c r="CD2">
        <v>9.5002710047601802E-2</v>
      </c>
      <c r="CE2">
        <v>8.5698119771007497E-2</v>
      </c>
      <c r="CF2">
        <v>8.4801411048379405E-2</v>
      </c>
      <c r="CG2">
        <v>0.103862093743985</v>
      </c>
      <c r="CH2">
        <v>8.22003347081465E-2</v>
      </c>
      <c r="CI2">
        <v>9.8628062207964495E-2</v>
      </c>
      <c r="CJ2">
        <v>9.4369790844787096E-2</v>
      </c>
      <c r="CK2">
        <v>8.2146580723569604E-2</v>
      </c>
      <c r="CL2">
        <v>8.7184933854543498E-2</v>
      </c>
      <c r="CM2">
        <v>9.9346239128742103E-2</v>
      </c>
      <c r="CN2">
        <v>0.13710233286210399</v>
      </c>
      <c r="CO2">
        <v>0.14197340899171301</v>
      </c>
      <c r="CP2">
        <v>0.109145921623359</v>
      </c>
      <c r="CQ2">
        <v>0.106743672351633</v>
      </c>
      <c r="CR2">
        <v>0.105009685809016</v>
      </c>
      <c r="CS2">
        <v>6.9465330616129695E-2</v>
      </c>
      <c r="CT2">
        <v>6.1614250000930897E-2</v>
      </c>
    </row>
    <row r="3" spans="1:98" x14ac:dyDescent="0.3">
      <c r="A3" t="s">
        <v>1</v>
      </c>
      <c r="B3">
        <v>2.8689812741706298E-3</v>
      </c>
      <c r="C3">
        <v>3.3780048829848801E-3</v>
      </c>
      <c r="D3">
        <v>3.08213764937755E-3</v>
      </c>
      <c r="E3">
        <v>4.3235337282550397E-3</v>
      </c>
      <c r="F3">
        <v>2.87449227020723E-3</v>
      </c>
      <c r="G3">
        <v>3.87030017823048E-3</v>
      </c>
      <c r="H3">
        <v>3.9770886926360997E-3</v>
      </c>
      <c r="I3">
        <v>3.6763245425729001E-3</v>
      </c>
      <c r="J3">
        <v>3.8380131988670499E-3</v>
      </c>
      <c r="K3">
        <v>3.7745330575675198E-3</v>
      </c>
      <c r="L3">
        <v>4.0061789607287804E-3</v>
      </c>
      <c r="M3">
        <v>3.8204541388423001E-3</v>
      </c>
      <c r="N3">
        <v>3.9436343396587296E-3</v>
      </c>
      <c r="O3">
        <v>3.29092751599967E-3</v>
      </c>
      <c r="P3">
        <v>4.6775760537611198E-3</v>
      </c>
      <c r="Q3">
        <v>3.42191386025106E-3</v>
      </c>
      <c r="R3">
        <v>4.1454075112221499E-3</v>
      </c>
      <c r="S3">
        <v>3.9644551735158696E-3</v>
      </c>
      <c r="T3">
        <v>4.4483996577214299E-3</v>
      </c>
      <c r="U3">
        <v>3.7074927314003901E-3</v>
      </c>
      <c r="V3">
        <v>4.4624771774469697E-3</v>
      </c>
      <c r="W3">
        <v>3.3240617702482902E-3</v>
      </c>
      <c r="X3">
        <v>5.1106130926254403E-3</v>
      </c>
      <c r="Y3">
        <v>3.1317728726963298E-3</v>
      </c>
      <c r="Z3">
        <v>4.5654323271524496E-3</v>
      </c>
      <c r="AA3">
        <v>3.2805323265440401E-3</v>
      </c>
      <c r="AB3">
        <v>3.3956863234268302E-3</v>
      </c>
      <c r="AC3">
        <v>3.3942375974157302E-3</v>
      </c>
      <c r="AD3">
        <v>3.3514378860015899E-3</v>
      </c>
      <c r="AE3">
        <v>3.31376457708188E-3</v>
      </c>
      <c r="AF3">
        <v>4.0297012204261601E-3</v>
      </c>
      <c r="AG3">
        <v>3.4213885515476401E-3</v>
      </c>
      <c r="AH3">
        <v>2.82691597102251E-3</v>
      </c>
      <c r="AI3">
        <v>3.6673119847281401E-3</v>
      </c>
      <c r="AJ3">
        <v>4.9644284981536996E-3</v>
      </c>
      <c r="AK3">
        <v>3.0015741610203502E-3</v>
      </c>
      <c r="AL3">
        <v>2.8243133574541498E-3</v>
      </c>
      <c r="AM3">
        <v>3.2621483686761498E-3</v>
      </c>
      <c r="AN3">
        <v>1.66045639244667E-3</v>
      </c>
      <c r="AO3">
        <v>2.4974507975437398E-3</v>
      </c>
      <c r="AP3">
        <v>2.39208771660721E-3</v>
      </c>
      <c r="AQ3">
        <v>2.0883396839178401E-3</v>
      </c>
      <c r="AR3">
        <v>2.63540516022187E-3</v>
      </c>
      <c r="AS3">
        <v>3.1028373543388801E-3</v>
      </c>
      <c r="AT3">
        <v>2.45611417229825E-3</v>
      </c>
      <c r="AU3">
        <v>3.0967847378044898E-3</v>
      </c>
      <c r="AV3">
        <v>3.23028674004681E-3</v>
      </c>
      <c r="AW3">
        <v>2.9371684122248302E-3</v>
      </c>
      <c r="AX3">
        <v>3.0690553925491601E-3</v>
      </c>
      <c r="AY3">
        <v>3.12623744321856E-3</v>
      </c>
      <c r="AZ3">
        <v>3.4712716015040399E-3</v>
      </c>
      <c r="BA3">
        <v>3.09282535201877E-3</v>
      </c>
      <c r="BB3">
        <v>3.4821063814727601E-3</v>
      </c>
      <c r="BC3">
        <v>3.1530114538743702E-3</v>
      </c>
      <c r="BD3">
        <v>3.5165068316251398E-3</v>
      </c>
      <c r="BE3">
        <v>2.8163360499575498E-3</v>
      </c>
      <c r="BF3">
        <v>5.27146571224119E-3</v>
      </c>
      <c r="BG3">
        <v>1.4038106988203E-2</v>
      </c>
      <c r="BH3">
        <v>1.27149788137325E-2</v>
      </c>
      <c r="BI3">
        <v>3.2495964187402498E-2</v>
      </c>
      <c r="BJ3">
        <v>5.2624368092254702E-2</v>
      </c>
      <c r="BK3">
        <v>5.0119989158250597E-2</v>
      </c>
      <c r="BL3">
        <v>2.9984786062465001E-2</v>
      </c>
      <c r="BM3">
        <v>6.0636259703796297E-2</v>
      </c>
      <c r="BN3">
        <v>7.2528030674117699E-2</v>
      </c>
      <c r="BO3">
        <v>0.12077262023449099</v>
      </c>
      <c r="BP3">
        <v>0.11219164632487801</v>
      </c>
      <c r="BQ3">
        <v>9.78351290551603E-2</v>
      </c>
      <c r="BR3">
        <v>0.13022074172758899</v>
      </c>
      <c r="BS3">
        <v>0.109834709925708</v>
      </c>
      <c r="BT3">
        <v>0.10565969789206001</v>
      </c>
      <c r="BU3">
        <v>0.16468921188300101</v>
      </c>
      <c r="BV3">
        <v>0.26572684049964401</v>
      </c>
      <c r="BW3">
        <v>0.106108154340727</v>
      </c>
      <c r="BX3">
        <v>8.3999993812861801E-2</v>
      </c>
      <c r="BY3">
        <v>8.6017546061245898E-2</v>
      </c>
      <c r="BZ3">
        <v>7.3706867530408005E-2</v>
      </c>
      <c r="CA3">
        <v>6.5014852491690395E-2</v>
      </c>
      <c r="CB3">
        <v>6.30767093533421E-2</v>
      </c>
      <c r="CC3">
        <v>5.4676487182681803E-2</v>
      </c>
      <c r="CD3">
        <v>6.3875585115533901E-2</v>
      </c>
      <c r="CE3">
        <v>5.8522539748435E-2</v>
      </c>
      <c r="CF3">
        <v>5.0492673127966702E-2</v>
      </c>
      <c r="CG3">
        <v>5.5934196765654601E-2</v>
      </c>
      <c r="CH3">
        <v>5.6477469918913697E-2</v>
      </c>
      <c r="CI3">
        <v>5.8278085991843899E-2</v>
      </c>
      <c r="CJ3">
        <v>5.8935449229605599E-2</v>
      </c>
      <c r="CK3">
        <v>5.4684873132165301E-2</v>
      </c>
      <c r="CL3">
        <v>5.5184757563659502E-2</v>
      </c>
      <c r="CM3">
        <v>5.9009998263317098E-2</v>
      </c>
      <c r="CN3">
        <v>6.1030542243978303E-2</v>
      </c>
      <c r="CO3">
        <v>8.3337975759531002E-2</v>
      </c>
      <c r="CP3">
        <v>5.9973268821616799E-2</v>
      </c>
      <c r="CQ3">
        <v>6.6419499323123299E-2</v>
      </c>
      <c r="CR3">
        <v>5.6537462805079597E-2</v>
      </c>
      <c r="CS3">
        <v>4.1565092870044902E-2</v>
      </c>
      <c r="CT3">
        <v>4.1708775185637398E-2</v>
      </c>
    </row>
    <row r="4" spans="1:98" x14ac:dyDescent="0.3">
      <c r="A4" t="s">
        <v>2</v>
      </c>
      <c r="B4">
        <v>2.7825601816821401E-3</v>
      </c>
      <c r="C4">
        <v>3.31684394201556E-3</v>
      </c>
      <c r="D4">
        <v>3.0169008533253898E-3</v>
      </c>
      <c r="E4">
        <v>4.0254678004470398E-3</v>
      </c>
      <c r="F4">
        <v>2.7058696859742098E-3</v>
      </c>
      <c r="G4">
        <v>3.7371598539261198E-3</v>
      </c>
      <c r="H4">
        <v>3.8675020106589898E-3</v>
      </c>
      <c r="I4">
        <v>3.6754864273115398E-3</v>
      </c>
      <c r="J4">
        <v>3.7420591684563199E-3</v>
      </c>
      <c r="K4">
        <v>3.56148421177228E-3</v>
      </c>
      <c r="L4">
        <v>3.9977959773217098E-3</v>
      </c>
      <c r="M4">
        <v>3.6412431736499201E-3</v>
      </c>
      <c r="N4">
        <v>3.7553527318031099E-3</v>
      </c>
      <c r="O4">
        <v>3.1753207255848402E-3</v>
      </c>
      <c r="P4">
        <v>4.6273383020132902E-3</v>
      </c>
      <c r="Q4">
        <v>3.19824956606476E-3</v>
      </c>
      <c r="R4">
        <v>3.9204317271189304E-3</v>
      </c>
      <c r="S4">
        <v>3.7455873832963598E-3</v>
      </c>
      <c r="T4">
        <v>4.4412095449452797E-3</v>
      </c>
      <c r="U4">
        <v>3.6418246418379601E-3</v>
      </c>
      <c r="V4">
        <v>4.2389937515238604E-3</v>
      </c>
      <c r="W4">
        <v>3.1798407629793101E-3</v>
      </c>
      <c r="X4">
        <v>4.8318042044744498E-3</v>
      </c>
      <c r="Y4">
        <v>3.02844811886E-3</v>
      </c>
      <c r="Z4">
        <v>4.5580502385521001E-3</v>
      </c>
      <c r="AA4">
        <v>3.0154506145571199E-3</v>
      </c>
      <c r="AB4">
        <v>3.4297890185735901E-3</v>
      </c>
      <c r="AC4">
        <v>3.2440271310913401E-3</v>
      </c>
      <c r="AD4">
        <v>3.3801364761825302E-3</v>
      </c>
      <c r="AE4">
        <v>3.20789316118522E-3</v>
      </c>
      <c r="AF4">
        <v>3.8775761803852399E-3</v>
      </c>
      <c r="AG4">
        <v>3.3052856823723802E-3</v>
      </c>
      <c r="AH4">
        <v>2.71266373287241E-3</v>
      </c>
      <c r="AI4">
        <v>3.6534129875168599E-3</v>
      </c>
      <c r="AJ4">
        <v>4.8992213435718702E-3</v>
      </c>
      <c r="AK4">
        <v>2.7916235906602798E-3</v>
      </c>
      <c r="AL4">
        <v>2.7978967029623401E-3</v>
      </c>
      <c r="AM4">
        <v>3.1997581145374299E-3</v>
      </c>
      <c r="AN4">
        <v>1.5762344547249399E-3</v>
      </c>
      <c r="AO4">
        <v>2.3855751561693201E-3</v>
      </c>
      <c r="AP4">
        <v>2.2214380463727599E-3</v>
      </c>
      <c r="AQ4">
        <v>2.0481530577815899E-3</v>
      </c>
      <c r="AR4">
        <v>2.5108428800004498E-3</v>
      </c>
      <c r="AS4">
        <v>2.9589214794485002E-3</v>
      </c>
      <c r="AT4">
        <v>2.3019315422214601E-3</v>
      </c>
      <c r="AU4">
        <v>2.9402166481768202E-3</v>
      </c>
      <c r="AV4">
        <v>3.1200219689148001E-3</v>
      </c>
      <c r="AW4">
        <v>2.92563861132642E-3</v>
      </c>
      <c r="AX4">
        <v>3.0697097505174701E-3</v>
      </c>
      <c r="AY4">
        <v>2.96415770695533E-3</v>
      </c>
      <c r="AZ4">
        <v>3.36716550499753E-3</v>
      </c>
      <c r="BA4">
        <v>2.9788679698751299E-3</v>
      </c>
      <c r="BB4">
        <v>3.4240500782549898E-3</v>
      </c>
      <c r="BC4">
        <v>3.0996490423676002E-3</v>
      </c>
      <c r="BD4">
        <v>3.4280634774339598E-3</v>
      </c>
      <c r="BE4">
        <v>2.7565296907238598E-3</v>
      </c>
      <c r="BF4">
        <v>5.2209934443536096E-3</v>
      </c>
      <c r="BG4">
        <v>1.3972742401540899E-2</v>
      </c>
      <c r="BH4">
        <v>1.21679581639778E-2</v>
      </c>
      <c r="BI4">
        <v>2.77398237296268E-2</v>
      </c>
      <c r="BJ4">
        <v>5.1600757711994703E-2</v>
      </c>
      <c r="BK4">
        <v>5.0711509705510402E-2</v>
      </c>
      <c r="BL4">
        <v>2.83546452971561E-2</v>
      </c>
      <c r="BM4">
        <v>5.7154993106312398E-2</v>
      </c>
      <c r="BN4">
        <v>7.0951810745093699E-2</v>
      </c>
      <c r="BO4">
        <v>0.118763415968887</v>
      </c>
      <c r="BP4">
        <v>0.11084624697481101</v>
      </c>
      <c r="BQ4">
        <v>9.72214763410887E-2</v>
      </c>
      <c r="BR4">
        <v>0.12755828025576299</v>
      </c>
      <c r="BS4">
        <v>0.109406391485756</v>
      </c>
      <c r="BT4">
        <v>0.104113502105342</v>
      </c>
      <c r="BU4">
        <v>0.15971851052775299</v>
      </c>
      <c r="BV4">
        <v>0.24654742040365599</v>
      </c>
      <c r="BW4">
        <v>0.104493034876507</v>
      </c>
      <c r="BX4">
        <v>8.0101259012846607E-2</v>
      </c>
      <c r="BY4">
        <v>8.4080577098758102E-2</v>
      </c>
      <c r="BZ4">
        <v>7.4598035808525601E-2</v>
      </c>
      <c r="CA4">
        <v>6.3569323465144101E-2</v>
      </c>
      <c r="CB4">
        <v>6.23244920273055E-2</v>
      </c>
      <c r="CC4">
        <v>5.1982113214697999E-2</v>
      </c>
      <c r="CD4">
        <v>6.3888364853241397E-2</v>
      </c>
      <c r="CE4">
        <v>5.76557569351486E-2</v>
      </c>
      <c r="CF4">
        <v>4.9432977870129499E-2</v>
      </c>
      <c r="CG4">
        <v>5.4146467392486297E-2</v>
      </c>
      <c r="CH4">
        <v>5.5324348816749198E-2</v>
      </c>
      <c r="CI4">
        <v>5.6107211213047403E-2</v>
      </c>
      <c r="CJ4">
        <v>5.8502417730614799E-2</v>
      </c>
      <c r="CK4">
        <v>5.3487147769933199E-2</v>
      </c>
      <c r="CL4">
        <v>5.2688223892774E-2</v>
      </c>
      <c r="CM4">
        <v>5.86228714111202E-2</v>
      </c>
      <c r="CN4">
        <v>5.9650573447838702E-2</v>
      </c>
      <c r="CO4">
        <v>8.3307070828283605E-2</v>
      </c>
      <c r="CP4">
        <v>5.74513809330474E-2</v>
      </c>
      <c r="CQ4">
        <v>6.3668520556787594E-2</v>
      </c>
      <c r="CR4">
        <v>5.4506426724540299E-2</v>
      </c>
      <c r="CS4">
        <v>3.9139726613867297E-2</v>
      </c>
      <c r="CT4">
        <v>4.1139298070570797E-2</v>
      </c>
    </row>
    <row r="5" spans="1:98" x14ac:dyDescent="0.3">
      <c r="A5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1</v>
      </c>
      <c r="BJ5">
        <v>2</v>
      </c>
      <c r="BK5">
        <v>0</v>
      </c>
      <c r="BL5">
        <v>1</v>
      </c>
      <c r="BM5">
        <v>6</v>
      </c>
      <c r="BN5">
        <v>6</v>
      </c>
      <c r="BO5">
        <v>11</v>
      </c>
      <c r="BP5">
        <v>13</v>
      </c>
      <c r="BQ5">
        <v>10</v>
      </c>
      <c r="BR5">
        <v>17</v>
      </c>
      <c r="BS5">
        <v>7</v>
      </c>
      <c r="BT5">
        <v>5</v>
      </c>
      <c r="BU5">
        <v>50</v>
      </c>
      <c r="BV5">
        <v>137</v>
      </c>
      <c r="BW5">
        <v>6</v>
      </c>
      <c r="BX5">
        <v>4</v>
      </c>
      <c r="BY5">
        <v>3</v>
      </c>
      <c r="BZ5">
        <v>0</v>
      </c>
      <c r="CA5">
        <v>0</v>
      </c>
      <c r="CB5">
        <v>0</v>
      </c>
      <c r="CC5">
        <v>0</v>
      </c>
      <c r="CD5">
        <v>4</v>
      </c>
      <c r="CE5">
        <v>0</v>
      </c>
      <c r="CF5">
        <v>2</v>
      </c>
      <c r="CG5">
        <v>3</v>
      </c>
      <c r="CH5">
        <v>1</v>
      </c>
      <c r="CI5">
        <v>0</v>
      </c>
      <c r="CJ5">
        <v>2</v>
      </c>
      <c r="CK5">
        <v>0</v>
      </c>
      <c r="CL5">
        <v>0</v>
      </c>
      <c r="CM5">
        <v>3</v>
      </c>
      <c r="CN5">
        <v>6</v>
      </c>
      <c r="CO5">
        <v>5</v>
      </c>
      <c r="CP5">
        <v>1</v>
      </c>
      <c r="CQ5">
        <v>0</v>
      </c>
      <c r="CR5">
        <v>1</v>
      </c>
      <c r="CS5">
        <v>0</v>
      </c>
      <c r="CT5">
        <v>0</v>
      </c>
    </row>
    <row r="6" spans="1:98" x14ac:dyDescent="0.3">
      <c r="A6" t="s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1</v>
      </c>
      <c r="BG6">
        <v>6</v>
      </c>
      <c r="BH6">
        <v>5</v>
      </c>
      <c r="BI6">
        <v>60</v>
      </c>
      <c r="BJ6">
        <v>74</v>
      </c>
      <c r="BK6">
        <v>71</v>
      </c>
      <c r="BL6">
        <v>27</v>
      </c>
      <c r="BM6">
        <v>128</v>
      </c>
      <c r="BN6">
        <v>146</v>
      </c>
      <c r="BO6">
        <v>492</v>
      </c>
      <c r="BP6">
        <v>411</v>
      </c>
      <c r="BQ6">
        <v>296</v>
      </c>
      <c r="BR6">
        <v>508</v>
      </c>
      <c r="BS6">
        <v>348</v>
      </c>
      <c r="BT6">
        <v>341</v>
      </c>
      <c r="BU6">
        <v>878</v>
      </c>
      <c r="BV6">
        <v>2265</v>
      </c>
      <c r="BW6">
        <v>293</v>
      </c>
      <c r="BX6">
        <v>174</v>
      </c>
      <c r="BY6">
        <v>170</v>
      </c>
      <c r="BZ6">
        <v>117</v>
      </c>
      <c r="CA6">
        <v>69</v>
      </c>
      <c r="CB6">
        <v>80</v>
      </c>
      <c r="CC6">
        <v>65</v>
      </c>
      <c r="CD6">
        <v>110</v>
      </c>
      <c r="CE6">
        <v>92</v>
      </c>
      <c r="CF6">
        <v>73</v>
      </c>
      <c r="CG6">
        <v>102</v>
      </c>
      <c r="CH6">
        <v>93</v>
      </c>
      <c r="CI6">
        <v>133</v>
      </c>
      <c r="CJ6">
        <v>147</v>
      </c>
      <c r="CK6">
        <v>102</v>
      </c>
      <c r="CL6">
        <v>133</v>
      </c>
      <c r="CM6">
        <v>137</v>
      </c>
      <c r="CN6">
        <v>157</v>
      </c>
      <c r="CO6">
        <v>298</v>
      </c>
      <c r="CP6">
        <v>160</v>
      </c>
      <c r="CQ6">
        <v>208</v>
      </c>
      <c r="CR6">
        <v>143</v>
      </c>
      <c r="CS6">
        <v>71</v>
      </c>
      <c r="CT6">
        <v>77</v>
      </c>
    </row>
    <row r="7" spans="1:98" x14ac:dyDescent="0.3">
      <c r="A7" t="s">
        <v>5</v>
      </c>
      <c r="B7">
        <v>0</v>
      </c>
      <c r="C7">
        <v>4</v>
      </c>
      <c r="D7">
        <v>0</v>
      </c>
      <c r="E7">
        <v>4</v>
      </c>
      <c r="F7">
        <v>2</v>
      </c>
      <c r="G7">
        <v>0</v>
      </c>
      <c r="H7">
        <v>2</v>
      </c>
      <c r="I7">
        <v>5</v>
      </c>
      <c r="J7">
        <v>3</v>
      </c>
      <c r="K7">
        <v>0</v>
      </c>
      <c r="L7">
        <v>4</v>
      </c>
      <c r="M7">
        <v>4</v>
      </c>
      <c r="N7">
        <v>2</v>
      </c>
      <c r="O7">
        <v>0</v>
      </c>
      <c r="P7">
        <v>2</v>
      </c>
      <c r="Q7">
        <v>10</v>
      </c>
      <c r="R7">
        <v>5</v>
      </c>
      <c r="S7">
        <v>2</v>
      </c>
      <c r="T7">
        <v>5</v>
      </c>
      <c r="U7">
        <v>1</v>
      </c>
      <c r="V7">
        <v>6</v>
      </c>
      <c r="W7">
        <v>1</v>
      </c>
      <c r="X7">
        <v>10</v>
      </c>
      <c r="Y7">
        <v>3</v>
      </c>
      <c r="Z7">
        <v>7</v>
      </c>
      <c r="AA7">
        <v>3</v>
      </c>
      <c r="AB7">
        <v>4</v>
      </c>
      <c r="AC7">
        <v>4</v>
      </c>
      <c r="AD7">
        <v>2</v>
      </c>
      <c r="AE7">
        <v>1</v>
      </c>
      <c r="AF7">
        <v>0</v>
      </c>
      <c r="AG7">
        <v>4</v>
      </c>
      <c r="AH7">
        <v>3</v>
      </c>
      <c r="AI7">
        <v>2</v>
      </c>
      <c r="AJ7">
        <v>5</v>
      </c>
      <c r="AK7">
        <v>2</v>
      </c>
      <c r="AL7">
        <v>0</v>
      </c>
      <c r="AM7">
        <v>3</v>
      </c>
      <c r="AN7">
        <v>0</v>
      </c>
      <c r="AO7">
        <v>0</v>
      </c>
      <c r="AP7">
        <v>0</v>
      </c>
      <c r="AQ7">
        <v>0</v>
      </c>
      <c r="AR7">
        <v>0</v>
      </c>
      <c r="AS7">
        <v>2</v>
      </c>
      <c r="AT7">
        <v>2</v>
      </c>
      <c r="AU7">
        <v>4</v>
      </c>
      <c r="AV7">
        <v>3</v>
      </c>
      <c r="AW7">
        <v>0</v>
      </c>
      <c r="AX7">
        <v>1</v>
      </c>
      <c r="AY7">
        <v>1</v>
      </c>
      <c r="AZ7">
        <v>4</v>
      </c>
      <c r="BA7">
        <v>2</v>
      </c>
      <c r="BB7">
        <v>3</v>
      </c>
      <c r="BC7">
        <v>1</v>
      </c>
      <c r="BD7">
        <v>2</v>
      </c>
      <c r="BE7">
        <v>2</v>
      </c>
      <c r="BF7">
        <v>16</v>
      </c>
      <c r="BG7">
        <v>101</v>
      </c>
      <c r="BH7">
        <v>101</v>
      </c>
      <c r="BI7">
        <v>618</v>
      </c>
      <c r="BJ7">
        <v>1475</v>
      </c>
      <c r="BK7">
        <v>1478</v>
      </c>
      <c r="BL7">
        <v>549</v>
      </c>
      <c r="BM7">
        <v>2111</v>
      </c>
      <c r="BN7">
        <v>2613</v>
      </c>
      <c r="BO7">
        <v>5500</v>
      </c>
      <c r="BP7">
        <v>5163</v>
      </c>
      <c r="BQ7">
        <v>4497</v>
      </c>
      <c r="BR7">
        <v>6545</v>
      </c>
      <c r="BS7">
        <v>5614</v>
      </c>
      <c r="BT7">
        <v>5022</v>
      </c>
      <c r="BU7">
        <v>7809</v>
      </c>
      <c r="BV7">
        <v>9697</v>
      </c>
      <c r="BW7">
        <v>5390</v>
      </c>
      <c r="BX7">
        <v>3849</v>
      </c>
      <c r="BY7">
        <v>3889</v>
      </c>
      <c r="BZ7">
        <v>3344</v>
      </c>
      <c r="CA7">
        <v>2663</v>
      </c>
      <c r="CB7">
        <v>2427</v>
      </c>
      <c r="CC7">
        <v>1812</v>
      </c>
      <c r="CD7">
        <v>2513</v>
      </c>
      <c r="CE7">
        <v>2202</v>
      </c>
      <c r="CF7">
        <v>1542</v>
      </c>
      <c r="CG7">
        <v>1836</v>
      </c>
      <c r="CH7">
        <v>1993</v>
      </c>
      <c r="CI7">
        <v>2150</v>
      </c>
      <c r="CJ7">
        <v>2235</v>
      </c>
      <c r="CK7">
        <v>1885</v>
      </c>
      <c r="CL7">
        <v>1998</v>
      </c>
      <c r="CM7">
        <v>2239</v>
      </c>
      <c r="CN7">
        <v>2254</v>
      </c>
      <c r="CO7">
        <v>3606</v>
      </c>
      <c r="CP7">
        <v>2222</v>
      </c>
      <c r="CQ7">
        <v>2722</v>
      </c>
      <c r="CR7">
        <v>2066</v>
      </c>
      <c r="CS7">
        <v>1250</v>
      </c>
      <c r="CT7">
        <v>1240</v>
      </c>
    </row>
    <row r="8" spans="1:98" x14ac:dyDescent="0.3">
      <c r="A8" t="s">
        <v>6</v>
      </c>
      <c r="B8">
        <v>57</v>
      </c>
      <c r="C8">
        <v>100</v>
      </c>
      <c r="D8">
        <v>67</v>
      </c>
      <c r="E8">
        <v>155</v>
      </c>
      <c r="F8">
        <v>75</v>
      </c>
      <c r="G8">
        <v>146</v>
      </c>
      <c r="H8">
        <v>165</v>
      </c>
      <c r="I8">
        <v>131</v>
      </c>
      <c r="J8">
        <v>141</v>
      </c>
      <c r="K8">
        <v>138</v>
      </c>
      <c r="L8">
        <v>152</v>
      </c>
      <c r="M8">
        <v>131</v>
      </c>
      <c r="N8">
        <v>142</v>
      </c>
      <c r="O8">
        <v>102</v>
      </c>
      <c r="P8">
        <v>221</v>
      </c>
      <c r="Q8">
        <v>101</v>
      </c>
      <c r="R8">
        <v>165</v>
      </c>
      <c r="S8">
        <v>131</v>
      </c>
      <c r="T8">
        <v>182</v>
      </c>
      <c r="U8">
        <v>142</v>
      </c>
      <c r="V8">
        <v>194</v>
      </c>
      <c r="W8">
        <v>109</v>
      </c>
      <c r="X8">
        <v>234</v>
      </c>
      <c r="Y8">
        <v>83</v>
      </c>
      <c r="Z8">
        <v>202</v>
      </c>
      <c r="AA8">
        <v>99</v>
      </c>
      <c r="AB8">
        <v>100</v>
      </c>
      <c r="AC8">
        <v>91</v>
      </c>
      <c r="AD8">
        <v>98</v>
      </c>
      <c r="AE8">
        <v>98</v>
      </c>
      <c r="AF8">
        <v>144</v>
      </c>
      <c r="AG8">
        <v>115</v>
      </c>
      <c r="AH8">
        <v>65</v>
      </c>
      <c r="AI8">
        <v>117</v>
      </c>
      <c r="AJ8">
        <v>217</v>
      </c>
      <c r="AK8">
        <v>84</v>
      </c>
      <c r="AL8">
        <v>67</v>
      </c>
      <c r="AM8">
        <v>90</v>
      </c>
      <c r="AN8">
        <v>8</v>
      </c>
      <c r="AO8">
        <v>46</v>
      </c>
      <c r="AP8">
        <v>43</v>
      </c>
      <c r="AQ8">
        <v>35</v>
      </c>
      <c r="AR8">
        <v>55</v>
      </c>
      <c r="AS8">
        <v>66</v>
      </c>
      <c r="AT8">
        <v>39</v>
      </c>
      <c r="AU8">
        <v>76</v>
      </c>
      <c r="AV8">
        <v>91</v>
      </c>
      <c r="AW8">
        <v>63</v>
      </c>
      <c r="AX8">
        <v>78</v>
      </c>
      <c r="AY8">
        <v>75</v>
      </c>
      <c r="AZ8">
        <v>101</v>
      </c>
      <c r="BA8">
        <v>81</v>
      </c>
      <c r="BB8">
        <v>103</v>
      </c>
      <c r="BC8">
        <v>79</v>
      </c>
      <c r="BD8">
        <v>106</v>
      </c>
      <c r="BE8">
        <v>60</v>
      </c>
      <c r="BF8">
        <v>294</v>
      </c>
      <c r="BG8">
        <v>1824</v>
      </c>
      <c r="BH8">
        <v>1335</v>
      </c>
      <c r="BI8">
        <v>4650</v>
      </c>
      <c r="BJ8">
        <v>8617</v>
      </c>
      <c r="BK8">
        <v>8026</v>
      </c>
      <c r="BL8">
        <v>5304</v>
      </c>
      <c r="BM8">
        <v>9337</v>
      </c>
      <c r="BN8">
        <v>9089</v>
      </c>
      <c r="BO8">
        <v>7830</v>
      </c>
      <c r="BP8">
        <v>8542</v>
      </c>
      <c r="BQ8">
        <v>8981</v>
      </c>
      <c r="BR8">
        <v>7626</v>
      </c>
      <c r="BS8">
        <v>8334</v>
      </c>
      <c r="BT8">
        <v>8498</v>
      </c>
      <c r="BU8">
        <v>6823</v>
      </c>
      <c r="BV8">
        <v>4452</v>
      </c>
      <c r="BW8">
        <v>8589</v>
      </c>
      <c r="BX8">
        <v>9545</v>
      </c>
      <c r="BY8">
        <v>9120</v>
      </c>
      <c r="BZ8">
        <v>9539</v>
      </c>
      <c r="CA8">
        <v>9803</v>
      </c>
      <c r="CB8">
        <v>9605</v>
      </c>
      <c r="CC8">
        <v>9353</v>
      </c>
      <c r="CD8">
        <v>9924</v>
      </c>
      <c r="CE8">
        <v>9519</v>
      </c>
      <c r="CF8">
        <v>9059</v>
      </c>
      <c r="CG8">
        <v>9375</v>
      </c>
      <c r="CH8">
        <v>9336</v>
      </c>
      <c r="CI8">
        <v>9532</v>
      </c>
      <c r="CJ8">
        <v>9376</v>
      </c>
      <c r="CK8">
        <v>9049</v>
      </c>
      <c r="CL8">
        <v>9483</v>
      </c>
      <c r="CM8">
        <v>9484</v>
      </c>
      <c r="CN8">
        <v>9360</v>
      </c>
      <c r="CO8">
        <v>9785</v>
      </c>
      <c r="CP8">
        <v>9246</v>
      </c>
      <c r="CQ8">
        <v>9473</v>
      </c>
      <c r="CR8">
        <v>9052</v>
      </c>
      <c r="CS8">
        <v>7369</v>
      </c>
      <c r="CT8">
        <v>7335</v>
      </c>
    </row>
    <row r="9" spans="1:98" x14ac:dyDescent="0.3">
      <c r="A9" t="s">
        <v>7</v>
      </c>
      <c r="B9">
        <v>1103</v>
      </c>
      <c r="C9">
        <v>1434</v>
      </c>
      <c r="D9">
        <v>1284</v>
      </c>
      <c r="E9">
        <v>2191</v>
      </c>
      <c r="F9">
        <v>1088</v>
      </c>
      <c r="G9">
        <v>1857</v>
      </c>
      <c r="H9">
        <v>1836</v>
      </c>
      <c r="I9">
        <v>1691</v>
      </c>
      <c r="J9">
        <v>1788</v>
      </c>
      <c r="K9">
        <v>1767</v>
      </c>
      <c r="L9">
        <v>1928</v>
      </c>
      <c r="M9">
        <v>1744</v>
      </c>
      <c r="N9">
        <v>1865</v>
      </c>
      <c r="O9">
        <v>1336</v>
      </c>
      <c r="P9">
        <v>2377</v>
      </c>
      <c r="Q9">
        <v>1298</v>
      </c>
      <c r="R9">
        <v>1889</v>
      </c>
      <c r="S9">
        <v>1870</v>
      </c>
      <c r="T9">
        <v>2341</v>
      </c>
      <c r="U9">
        <v>1598</v>
      </c>
      <c r="V9">
        <v>2173</v>
      </c>
      <c r="W9">
        <v>1307</v>
      </c>
      <c r="X9">
        <v>2548</v>
      </c>
      <c r="Y9">
        <v>1281</v>
      </c>
      <c r="Z9">
        <v>2188</v>
      </c>
      <c r="AA9">
        <v>1315</v>
      </c>
      <c r="AB9">
        <v>1406</v>
      </c>
      <c r="AC9">
        <v>1415</v>
      </c>
      <c r="AD9">
        <v>1514</v>
      </c>
      <c r="AE9">
        <v>1368</v>
      </c>
      <c r="AF9">
        <v>1856</v>
      </c>
      <c r="AG9">
        <v>1377</v>
      </c>
      <c r="AH9">
        <v>984</v>
      </c>
      <c r="AI9">
        <v>1593</v>
      </c>
      <c r="AJ9">
        <v>2534</v>
      </c>
      <c r="AK9">
        <v>1171</v>
      </c>
      <c r="AL9">
        <v>1120</v>
      </c>
      <c r="AM9">
        <v>1298</v>
      </c>
      <c r="AN9">
        <v>398</v>
      </c>
      <c r="AO9">
        <v>845</v>
      </c>
      <c r="AP9">
        <v>827</v>
      </c>
      <c r="AQ9">
        <v>609</v>
      </c>
      <c r="AR9">
        <v>958</v>
      </c>
      <c r="AS9">
        <v>1192</v>
      </c>
      <c r="AT9">
        <v>870</v>
      </c>
      <c r="AU9">
        <v>1229</v>
      </c>
      <c r="AV9">
        <v>1244</v>
      </c>
      <c r="AW9">
        <v>1154</v>
      </c>
      <c r="AX9">
        <v>1268</v>
      </c>
      <c r="AY9">
        <v>1277</v>
      </c>
      <c r="AZ9">
        <v>1655</v>
      </c>
      <c r="BA9">
        <v>1198</v>
      </c>
      <c r="BB9">
        <v>1535</v>
      </c>
      <c r="BC9">
        <v>1252</v>
      </c>
      <c r="BD9">
        <v>1529</v>
      </c>
      <c r="BE9">
        <v>1001</v>
      </c>
      <c r="BF9">
        <v>3060</v>
      </c>
      <c r="BG9">
        <v>8473</v>
      </c>
      <c r="BH9">
        <v>8219</v>
      </c>
      <c r="BI9">
        <v>8605</v>
      </c>
      <c r="BJ9">
        <v>5939</v>
      </c>
      <c r="BK9">
        <v>6141</v>
      </c>
      <c r="BL9">
        <v>8129</v>
      </c>
      <c r="BM9">
        <v>5099</v>
      </c>
      <c r="BN9">
        <v>4106</v>
      </c>
      <c r="BO9">
        <v>2429</v>
      </c>
      <c r="BP9">
        <v>2915</v>
      </c>
      <c r="BQ9">
        <v>3180</v>
      </c>
      <c r="BR9">
        <v>2318</v>
      </c>
      <c r="BS9">
        <v>2590</v>
      </c>
      <c r="BT9">
        <v>2726</v>
      </c>
      <c r="BU9">
        <v>1845</v>
      </c>
      <c r="BV9">
        <v>1146</v>
      </c>
      <c r="BW9">
        <v>2836</v>
      </c>
      <c r="BX9">
        <v>3429</v>
      </c>
      <c r="BY9">
        <v>3328</v>
      </c>
      <c r="BZ9">
        <v>3754</v>
      </c>
      <c r="CA9">
        <v>4245</v>
      </c>
      <c r="CB9">
        <v>4439</v>
      </c>
      <c r="CC9">
        <v>5189</v>
      </c>
      <c r="CD9">
        <v>4709</v>
      </c>
      <c r="CE9">
        <v>5246</v>
      </c>
      <c r="CF9">
        <v>5912</v>
      </c>
      <c r="CG9">
        <v>5874</v>
      </c>
      <c r="CH9">
        <v>5674</v>
      </c>
      <c r="CI9">
        <v>5690</v>
      </c>
      <c r="CJ9">
        <v>5990</v>
      </c>
      <c r="CK9">
        <v>6197</v>
      </c>
      <c r="CL9">
        <v>6088</v>
      </c>
      <c r="CM9">
        <v>6025</v>
      </c>
      <c r="CN9">
        <v>5905</v>
      </c>
      <c r="CO9">
        <v>4606</v>
      </c>
      <c r="CP9">
        <v>6001</v>
      </c>
      <c r="CQ9">
        <v>5445</v>
      </c>
      <c r="CR9">
        <v>6448</v>
      </c>
      <c r="CS9">
        <v>7771</v>
      </c>
      <c r="CT9">
        <v>7985</v>
      </c>
    </row>
    <row r="10" spans="1:98" x14ac:dyDescent="0.3">
      <c r="A10" t="s">
        <v>8</v>
      </c>
      <c r="B10">
        <v>7649</v>
      </c>
      <c r="C10">
        <v>7690</v>
      </c>
      <c r="D10">
        <v>7757</v>
      </c>
      <c r="E10">
        <v>9213</v>
      </c>
      <c r="F10">
        <v>7393</v>
      </c>
      <c r="G10">
        <v>8504</v>
      </c>
      <c r="H10">
        <v>8842</v>
      </c>
      <c r="I10">
        <v>8706</v>
      </c>
      <c r="J10">
        <v>8637</v>
      </c>
      <c r="K10">
        <v>8580</v>
      </c>
      <c r="L10">
        <v>8970</v>
      </c>
      <c r="M10">
        <v>8657</v>
      </c>
      <c r="N10">
        <v>8636</v>
      </c>
      <c r="O10">
        <v>7944</v>
      </c>
      <c r="P10">
        <v>9153</v>
      </c>
      <c r="Q10">
        <v>7608</v>
      </c>
      <c r="R10">
        <v>8899</v>
      </c>
      <c r="S10">
        <v>8703</v>
      </c>
      <c r="T10">
        <v>9134</v>
      </c>
      <c r="U10">
        <v>8330</v>
      </c>
      <c r="V10">
        <v>9190</v>
      </c>
      <c r="W10">
        <v>7829</v>
      </c>
      <c r="X10">
        <v>9312</v>
      </c>
      <c r="Y10">
        <v>7662</v>
      </c>
      <c r="Z10">
        <v>9056</v>
      </c>
      <c r="AA10">
        <v>7583</v>
      </c>
      <c r="AB10">
        <v>7852</v>
      </c>
      <c r="AC10">
        <v>7651</v>
      </c>
      <c r="AD10">
        <v>7813</v>
      </c>
      <c r="AE10">
        <v>8134</v>
      </c>
      <c r="AF10">
        <v>8821</v>
      </c>
      <c r="AG10">
        <v>7864</v>
      </c>
      <c r="AH10">
        <v>7025</v>
      </c>
      <c r="AI10">
        <v>8395</v>
      </c>
      <c r="AJ10">
        <v>9211</v>
      </c>
      <c r="AK10">
        <v>6970</v>
      </c>
      <c r="AL10">
        <v>7068</v>
      </c>
      <c r="AM10">
        <v>7581</v>
      </c>
      <c r="AN10">
        <v>3991</v>
      </c>
      <c r="AO10">
        <v>6010</v>
      </c>
      <c r="AP10">
        <v>5785</v>
      </c>
      <c r="AQ10">
        <v>4782</v>
      </c>
      <c r="AR10">
        <v>6486</v>
      </c>
      <c r="AS10">
        <v>7434</v>
      </c>
      <c r="AT10">
        <v>6004</v>
      </c>
      <c r="AU10">
        <v>7462</v>
      </c>
      <c r="AV10">
        <v>7777</v>
      </c>
      <c r="AW10">
        <v>7273</v>
      </c>
      <c r="AX10">
        <v>8020</v>
      </c>
      <c r="AY10">
        <v>7527</v>
      </c>
      <c r="AZ10">
        <v>7716</v>
      </c>
      <c r="BA10">
        <v>7806</v>
      </c>
      <c r="BB10">
        <v>8201</v>
      </c>
      <c r="BC10">
        <v>8297</v>
      </c>
      <c r="BD10">
        <v>8761</v>
      </c>
      <c r="BE10">
        <v>7561</v>
      </c>
      <c r="BF10">
        <v>8759</v>
      </c>
      <c r="BG10">
        <v>5718</v>
      </c>
      <c r="BH10">
        <v>6161</v>
      </c>
      <c r="BI10">
        <v>3147</v>
      </c>
      <c r="BJ10">
        <v>1734</v>
      </c>
      <c r="BK10">
        <v>1745</v>
      </c>
      <c r="BL10">
        <v>2873</v>
      </c>
      <c r="BM10">
        <v>1338</v>
      </c>
      <c r="BN10">
        <v>1077</v>
      </c>
      <c r="BO10">
        <v>572</v>
      </c>
      <c r="BP10">
        <v>698</v>
      </c>
      <c r="BQ10">
        <v>766</v>
      </c>
      <c r="BR10">
        <v>532</v>
      </c>
      <c r="BS10">
        <v>625</v>
      </c>
      <c r="BT10">
        <v>663</v>
      </c>
      <c r="BU10">
        <v>401</v>
      </c>
      <c r="BV10">
        <v>220</v>
      </c>
      <c r="BW10">
        <v>667</v>
      </c>
      <c r="BX10">
        <v>848</v>
      </c>
      <c r="BY10">
        <v>818</v>
      </c>
      <c r="BZ10">
        <v>955</v>
      </c>
      <c r="CA10">
        <v>1088</v>
      </c>
      <c r="CB10">
        <v>1147</v>
      </c>
      <c r="CC10">
        <v>1446</v>
      </c>
      <c r="CD10">
        <v>1232</v>
      </c>
      <c r="CE10">
        <v>1413</v>
      </c>
      <c r="CF10">
        <v>1649</v>
      </c>
      <c r="CG10">
        <v>1602</v>
      </c>
      <c r="CH10">
        <v>1544</v>
      </c>
      <c r="CI10">
        <v>1476</v>
      </c>
      <c r="CJ10">
        <v>1596</v>
      </c>
      <c r="CK10">
        <v>1673</v>
      </c>
      <c r="CL10">
        <v>1683</v>
      </c>
      <c r="CM10">
        <v>1651</v>
      </c>
      <c r="CN10">
        <v>1657</v>
      </c>
      <c r="CO10">
        <v>1178</v>
      </c>
      <c r="CP10">
        <v>1657</v>
      </c>
      <c r="CQ10">
        <v>1511</v>
      </c>
      <c r="CR10">
        <v>1822</v>
      </c>
      <c r="CS10">
        <v>2408</v>
      </c>
      <c r="CT10">
        <v>2414</v>
      </c>
    </row>
    <row r="11" spans="1:98" x14ac:dyDescent="0.3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6.15996407923151E-2</v>
      </c>
      <c r="BJ11">
        <v>7.9703986162591903E-2</v>
      </c>
      <c r="BK11">
        <v>0</v>
      </c>
      <c r="BL11">
        <v>5.2480419789072003E-2</v>
      </c>
      <c r="BM11">
        <v>0.108203356781746</v>
      </c>
      <c r="BN11">
        <v>0.123348743464346</v>
      </c>
      <c r="BO11">
        <v>0.159361458967232</v>
      </c>
      <c r="BP11">
        <v>0.17501293888175501</v>
      </c>
      <c r="BQ11">
        <v>0.140120008346797</v>
      </c>
      <c r="BR11">
        <v>0.22039276005109401</v>
      </c>
      <c r="BS11">
        <v>0.139129377085839</v>
      </c>
      <c r="BT11">
        <v>0.15791301840910801</v>
      </c>
      <c r="BU11">
        <v>0.27712484545157101</v>
      </c>
      <c r="BV11">
        <v>0.50996100240963405</v>
      </c>
      <c r="BW11">
        <v>0.14687543706106501</v>
      </c>
      <c r="BX11">
        <v>0.12311418745968999</v>
      </c>
      <c r="BY11">
        <v>0.124064689299707</v>
      </c>
      <c r="BZ11">
        <v>0</v>
      </c>
      <c r="CA11">
        <v>0</v>
      </c>
      <c r="CB11">
        <v>0</v>
      </c>
      <c r="CC11">
        <v>0</v>
      </c>
      <c r="CD11">
        <v>9.5002710047601802E-2</v>
      </c>
      <c r="CE11">
        <v>0</v>
      </c>
      <c r="CF11">
        <v>8.4801411048379405E-2</v>
      </c>
      <c r="CG11">
        <v>7.5949265823011203E-2</v>
      </c>
      <c r="CH11">
        <v>6.4851336921483801E-2</v>
      </c>
      <c r="CI11">
        <v>0</v>
      </c>
      <c r="CJ11">
        <v>7.7627763842176303E-2</v>
      </c>
      <c r="CK11">
        <v>0</v>
      </c>
      <c r="CL11">
        <v>0</v>
      </c>
      <c r="CM11">
        <v>9.9346239128742103E-2</v>
      </c>
      <c r="CN11">
        <v>0.13710233286210399</v>
      </c>
      <c r="CO11">
        <v>0.14197340899171301</v>
      </c>
      <c r="CP11">
        <v>7.6361371672297701E-2</v>
      </c>
      <c r="CQ11">
        <v>0</v>
      </c>
      <c r="CR11">
        <v>0.103679216730537</v>
      </c>
      <c r="CS11">
        <v>0</v>
      </c>
      <c r="CT11">
        <v>0</v>
      </c>
    </row>
    <row r="12" spans="1:98" x14ac:dyDescent="0.3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6.15996407923151E-2</v>
      </c>
      <c r="BJ12">
        <v>7.2942243943817903E-2</v>
      </c>
      <c r="BK12">
        <v>0</v>
      </c>
      <c r="BL12">
        <v>5.2480419789072003E-2</v>
      </c>
      <c r="BM12">
        <v>8.2835145262766099E-2</v>
      </c>
      <c r="BN12">
        <v>9.5827294932063295E-2</v>
      </c>
      <c r="BO12">
        <v>0.139109575213444</v>
      </c>
      <c r="BP12">
        <v>0.13994366038792599</v>
      </c>
      <c r="BQ12">
        <v>0.124635043164429</v>
      </c>
      <c r="BR12">
        <v>0.157779053673967</v>
      </c>
      <c r="BS12">
        <v>0.12121097441736001</v>
      </c>
      <c r="BT12">
        <v>0.12058641432070399</v>
      </c>
      <c r="BU12">
        <v>0.18897699396005599</v>
      </c>
      <c r="BV12">
        <v>0.27893820162744098</v>
      </c>
      <c r="BW12">
        <v>0.12616302916292599</v>
      </c>
      <c r="BX12">
        <v>0.108587624035066</v>
      </c>
      <c r="BY12">
        <v>0.10530243428894601</v>
      </c>
      <c r="BZ12">
        <v>0</v>
      </c>
      <c r="CA12">
        <v>0</v>
      </c>
      <c r="CB12">
        <v>0</v>
      </c>
      <c r="CC12">
        <v>0</v>
      </c>
      <c r="CD12">
        <v>8.7499541607942696E-2</v>
      </c>
      <c r="CE12">
        <v>0</v>
      </c>
      <c r="CF12">
        <v>8.4801411048379405E-2</v>
      </c>
      <c r="CG12">
        <v>6.8809551349708203E-2</v>
      </c>
      <c r="CH12">
        <v>6.4851336921483801E-2</v>
      </c>
      <c r="CI12">
        <v>0</v>
      </c>
      <c r="CJ12">
        <v>7.62627076966787E-2</v>
      </c>
      <c r="CK12">
        <v>0</v>
      </c>
      <c r="CL12">
        <v>0</v>
      </c>
      <c r="CM12">
        <v>8.0985800108467704E-2</v>
      </c>
      <c r="CN12">
        <v>0.10670824228874801</v>
      </c>
      <c r="CO12">
        <v>0.107896701474286</v>
      </c>
      <c r="CP12">
        <v>7.6361371672297701E-2</v>
      </c>
      <c r="CQ12">
        <v>0</v>
      </c>
      <c r="CR12">
        <v>0.103679216730537</v>
      </c>
      <c r="CS12">
        <v>0</v>
      </c>
      <c r="CT12">
        <v>0</v>
      </c>
    </row>
    <row r="13" spans="1:98" x14ac:dyDescent="0.3">
      <c r="A13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6.15996407923151E-2</v>
      </c>
      <c r="BJ13">
        <v>7.2942243943817903E-2</v>
      </c>
      <c r="BK13">
        <v>0</v>
      </c>
      <c r="BL13">
        <v>5.2480419789072003E-2</v>
      </c>
      <c r="BM13">
        <v>7.2066031438617797E-2</v>
      </c>
      <c r="BN13">
        <v>0.105042371944039</v>
      </c>
      <c r="BO13">
        <v>0.13902023000774999</v>
      </c>
      <c r="BP13">
        <v>0.13317931751575601</v>
      </c>
      <c r="BQ13">
        <v>0.12668472629390901</v>
      </c>
      <c r="BR13">
        <v>0.14211104852498399</v>
      </c>
      <c r="BS13">
        <v>0.11717263042947899</v>
      </c>
      <c r="BT13">
        <v>0.11295864128421899</v>
      </c>
      <c r="BU13">
        <v>0.17875339197264101</v>
      </c>
      <c r="BV13">
        <v>0.26486663711663699</v>
      </c>
      <c r="BW13">
        <v>0.121629432834163</v>
      </c>
      <c r="BX13">
        <v>0.11709896344137399</v>
      </c>
      <c r="BY13">
        <v>0.107997626940165</v>
      </c>
      <c r="BZ13">
        <v>0</v>
      </c>
      <c r="CA13">
        <v>0</v>
      </c>
      <c r="CB13">
        <v>0</v>
      </c>
      <c r="CC13">
        <v>0</v>
      </c>
      <c r="CD13">
        <v>9.1150260774893396E-2</v>
      </c>
      <c r="CE13">
        <v>0</v>
      </c>
      <c r="CF13">
        <v>8.4801411048379405E-2</v>
      </c>
      <c r="CG13">
        <v>6.8809551349708203E-2</v>
      </c>
      <c r="CH13">
        <v>6.4851336921483801E-2</v>
      </c>
      <c r="CI13">
        <v>0</v>
      </c>
      <c r="CJ13">
        <v>7.62627076966787E-2</v>
      </c>
      <c r="CK13">
        <v>0</v>
      </c>
      <c r="CL13">
        <v>0</v>
      </c>
      <c r="CM13">
        <v>8.0985800108467704E-2</v>
      </c>
      <c r="CN13">
        <v>0.10670824228874801</v>
      </c>
      <c r="CO13">
        <v>0.10352312941875701</v>
      </c>
      <c r="CP13">
        <v>7.6361371672297701E-2</v>
      </c>
      <c r="CQ13">
        <v>0</v>
      </c>
      <c r="CR13">
        <v>0.103679216730537</v>
      </c>
      <c r="CS13">
        <v>0</v>
      </c>
      <c r="CT13">
        <v>0</v>
      </c>
    </row>
    <row r="14" spans="1:98" x14ac:dyDescent="0.3">
      <c r="A14" t="s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3.2310106933266698E-2</v>
      </c>
      <c r="BG14">
        <v>7.9383712454452096E-2</v>
      </c>
      <c r="BH14">
        <v>7.9124362722791802E-2</v>
      </c>
      <c r="BI14">
        <v>0.313295126226592</v>
      </c>
      <c r="BJ14">
        <v>0.380910733416437</v>
      </c>
      <c r="BK14">
        <v>0.33400603265978401</v>
      </c>
      <c r="BL14">
        <v>0.20992167915628801</v>
      </c>
      <c r="BM14">
        <v>0.43281342712698601</v>
      </c>
      <c r="BN14">
        <v>0.49339497385738701</v>
      </c>
      <c r="BO14">
        <v>0.637445835868929</v>
      </c>
      <c r="BP14">
        <v>0.70005175552702004</v>
      </c>
      <c r="BQ14">
        <v>0.56048003338719099</v>
      </c>
      <c r="BR14">
        <v>0.88157104020437804</v>
      </c>
      <c r="BS14">
        <v>0.59435542403659503</v>
      </c>
      <c r="BT14">
        <v>0.63165207363643305</v>
      </c>
      <c r="BU14">
        <v>1.10849938180628</v>
      </c>
      <c r="BV14">
        <v>2.03984400963853</v>
      </c>
      <c r="BW14">
        <v>0.620385271443746</v>
      </c>
      <c r="BX14">
        <v>0.49245674983876098</v>
      </c>
      <c r="BY14">
        <v>0.49625875719883</v>
      </c>
      <c r="BZ14">
        <v>0.41319259460819402</v>
      </c>
      <c r="CA14">
        <v>0.38415976626123399</v>
      </c>
      <c r="CB14">
        <v>0.37523549311884502</v>
      </c>
      <c r="CC14">
        <v>0.39617291284666201</v>
      </c>
      <c r="CD14">
        <v>0.38001084019040698</v>
      </c>
      <c r="CE14">
        <v>0.34279247908402999</v>
      </c>
      <c r="CF14">
        <v>0.33920564419351701</v>
      </c>
      <c r="CG14">
        <v>0.415448374975942</v>
      </c>
      <c r="CH14">
        <v>0.328801338832586</v>
      </c>
      <c r="CI14">
        <v>0.39451224883185798</v>
      </c>
      <c r="CJ14">
        <v>0.377479163379148</v>
      </c>
      <c r="CK14">
        <v>0.32858632289427803</v>
      </c>
      <c r="CL14">
        <v>0.34873973541817399</v>
      </c>
      <c r="CM14">
        <v>0.39738495651496802</v>
      </c>
      <c r="CN14">
        <v>0.54840933144841797</v>
      </c>
      <c r="CO14">
        <v>0.56789363596685405</v>
      </c>
      <c r="CP14">
        <v>0.43658368649343599</v>
      </c>
      <c r="CQ14">
        <v>0.42697468940653199</v>
      </c>
      <c r="CR14">
        <v>0.42003874323606699</v>
      </c>
      <c r="CS14">
        <v>0.277861322464518</v>
      </c>
      <c r="CT14">
        <v>0.246457000003723</v>
      </c>
    </row>
    <row r="15" spans="1:98" x14ac:dyDescent="0.3">
      <c r="A15" t="s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3.2310106933266698E-2</v>
      </c>
      <c r="BG15">
        <v>6.6918336847220705E-2</v>
      </c>
      <c r="BH15">
        <v>6.7067599032613806E-2</v>
      </c>
      <c r="BI15">
        <v>0.16764011030840201</v>
      </c>
      <c r="BJ15">
        <v>0.23227896664417599</v>
      </c>
      <c r="BK15">
        <v>0.22734581303632301</v>
      </c>
      <c r="BL15">
        <v>0.141614930567449</v>
      </c>
      <c r="BM15">
        <v>0.268061501056575</v>
      </c>
      <c r="BN15">
        <v>0.30311940493210399</v>
      </c>
      <c r="BO15">
        <v>0.48309048093796603</v>
      </c>
      <c r="BP15">
        <v>0.45432167269644902</v>
      </c>
      <c r="BQ15">
        <v>0.39568866210860199</v>
      </c>
      <c r="BR15">
        <v>0.52327929301967202</v>
      </c>
      <c r="BS15">
        <v>0.43933883970283499</v>
      </c>
      <c r="BT15">
        <v>0.425330395797415</v>
      </c>
      <c r="BU15">
        <v>0.65875684753200503</v>
      </c>
      <c r="BV15">
        <v>1.0629073619985701</v>
      </c>
      <c r="BW15">
        <v>0.42916151450447598</v>
      </c>
      <c r="BX15">
        <v>0.35489878064849401</v>
      </c>
      <c r="BY15">
        <v>0.35334828489966402</v>
      </c>
      <c r="BZ15">
        <v>0.31113471894210998</v>
      </c>
      <c r="CA15">
        <v>0.268788658026061</v>
      </c>
      <c r="CB15">
        <v>0.27207500142098601</v>
      </c>
      <c r="CC15">
        <v>0.24895974265870199</v>
      </c>
      <c r="CD15">
        <v>0.26797095561072698</v>
      </c>
      <c r="CE15">
        <v>0.25082918757275502</v>
      </c>
      <c r="CF15">
        <v>0.224525318669309</v>
      </c>
      <c r="CG15">
        <v>0.25577768382781302</v>
      </c>
      <c r="CH15">
        <v>0.24679107733075401</v>
      </c>
      <c r="CI15">
        <v>0.24892169306405201</v>
      </c>
      <c r="CJ15">
        <v>0.255828416216273</v>
      </c>
      <c r="CK15">
        <v>0.23838559632176201</v>
      </c>
      <c r="CL15">
        <v>0.23863132308424501</v>
      </c>
      <c r="CM15">
        <v>0.24762976645394599</v>
      </c>
      <c r="CN15">
        <v>0.26148535095360997</v>
      </c>
      <c r="CO15">
        <v>0.34392578975139398</v>
      </c>
      <c r="CP15">
        <v>0.25989627629878098</v>
      </c>
      <c r="CQ15">
        <v>0.28019445587709202</v>
      </c>
      <c r="CR15">
        <v>0.245197526381567</v>
      </c>
      <c r="CS15">
        <v>0.18668082577386799</v>
      </c>
      <c r="CT15">
        <v>0.184597679913064</v>
      </c>
    </row>
    <row r="16" spans="1:98" x14ac:dyDescent="0.3">
      <c r="A16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3.2310106933266698E-2</v>
      </c>
      <c r="BG16">
        <v>6.6121028467922296E-2</v>
      </c>
      <c r="BH16">
        <v>6.6820774251888801E-2</v>
      </c>
      <c r="BI16">
        <v>0.16171868077844501</v>
      </c>
      <c r="BJ16">
        <v>0.225926746370986</v>
      </c>
      <c r="BK16">
        <v>0.213288465561292</v>
      </c>
      <c r="BL16">
        <v>0.12839199491820999</v>
      </c>
      <c r="BM16">
        <v>0.271961783964701</v>
      </c>
      <c r="BN16">
        <v>0.29387330626075397</v>
      </c>
      <c r="BO16">
        <v>0.47505366387555098</v>
      </c>
      <c r="BP16">
        <v>0.44592212287590199</v>
      </c>
      <c r="BQ16">
        <v>0.389485384669846</v>
      </c>
      <c r="BR16">
        <v>0.51083414120694304</v>
      </c>
      <c r="BS16">
        <v>0.43762556594302598</v>
      </c>
      <c r="BT16">
        <v>0.41712754308384797</v>
      </c>
      <c r="BU16">
        <v>0.63887404211101495</v>
      </c>
      <c r="BV16">
        <v>0.98618968161462595</v>
      </c>
      <c r="BW16">
        <v>0.42050081588226901</v>
      </c>
      <c r="BX16">
        <v>0.35494510648160299</v>
      </c>
      <c r="BY16">
        <v>0.35239385892906699</v>
      </c>
      <c r="BZ16">
        <v>0.31469427525591198</v>
      </c>
      <c r="CA16">
        <v>0.26528630830726802</v>
      </c>
      <c r="CB16">
        <v>0.262587037891857</v>
      </c>
      <c r="CC16">
        <v>0.24822729024686699</v>
      </c>
      <c r="CD16">
        <v>0.26338939299119601</v>
      </c>
      <c r="CE16">
        <v>0.24351164091243099</v>
      </c>
      <c r="CF16">
        <v>0.22634823691705</v>
      </c>
      <c r="CG16">
        <v>0.26086297777112399</v>
      </c>
      <c r="CH16">
        <v>0.24611514945357399</v>
      </c>
      <c r="CI16">
        <v>0.239072509682522</v>
      </c>
      <c r="CJ16">
        <v>0.24883765074237299</v>
      </c>
      <c r="CK16">
        <v>0.22757113604574</v>
      </c>
      <c r="CL16">
        <v>0.23830282402917799</v>
      </c>
      <c r="CM16">
        <v>0.24239731296575101</v>
      </c>
      <c r="CN16">
        <v>0.243253106625197</v>
      </c>
      <c r="CO16">
        <v>0.33970071977775401</v>
      </c>
      <c r="CP16">
        <v>0.25686022394279601</v>
      </c>
      <c r="CQ16">
        <v>0.26935242123537601</v>
      </c>
      <c r="CR16">
        <v>0.24084986978310299</v>
      </c>
      <c r="CS16">
        <v>0.18218539523678001</v>
      </c>
      <c r="CT16">
        <v>0.18128586285359599</v>
      </c>
    </row>
    <row r="17" spans="1:98" x14ac:dyDescent="0.3">
      <c r="A17" t="s">
        <v>15</v>
      </c>
      <c r="B17">
        <v>0</v>
      </c>
      <c r="C17">
        <v>0.112554431196593</v>
      </c>
      <c r="D17">
        <v>0</v>
      </c>
      <c r="E17">
        <v>0.121855436073326</v>
      </c>
      <c r="F17">
        <v>8.6859711490037503E-2</v>
      </c>
      <c r="G17">
        <v>0</v>
      </c>
      <c r="H17">
        <v>9.5925124043715296E-2</v>
      </c>
      <c r="I17">
        <v>9.0353130525568204E-2</v>
      </c>
      <c r="J17">
        <v>0.11965283765897999</v>
      </c>
      <c r="K17">
        <v>0</v>
      </c>
      <c r="L17">
        <v>9.1860473151050503E-2</v>
      </c>
      <c r="M17">
        <v>0.10169065631150601</v>
      </c>
      <c r="N17">
        <v>0.15625222339484299</v>
      </c>
      <c r="O17">
        <v>0</v>
      </c>
      <c r="P17">
        <v>0.105913274177452</v>
      </c>
      <c r="Q17">
        <v>0.106183349894276</v>
      </c>
      <c r="R17">
        <v>0.112442581147066</v>
      </c>
      <c r="S17">
        <v>0.105426927738045</v>
      </c>
      <c r="T17">
        <v>9.2685196186048896E-2</v>
      </c>
      <c r="U17">
        <v>0.110526989381381</v>
      </c>
      <c r="V17">
        <v>0.15429989530502999</v>
      </c>
      <c r="W17">
        <v>8.1499258849023898E-2</v>
      </c>
      <c r="X17">
        <v>0.171251692224343</v>
      </c>
      <c r="Y17">
        <v>9.9563302828899705E-2</v>
      </c>
      <c r="Z17">
        <v>0.100041121041752</v>
      </c>
      <c r="AA17">
        <v>0.116181213425837</v>
      </c>
      <c r="AB17">
        <v>7.41088015787979E-2</v>
      </c>
      <c r="AC17">
        <v>0.115954240374524</v>
      </c>
      <c r="AD17">
        <v>7.0804541511899105E-2</v>
      </c>
      <c r="AE17">
        <v>6.7447095003105501E-2</v>
      </c>
      <c r="AF17">
        <v>0</v>
      </c>
      <c r="AG17">
        <v>9.8648414631333697E-2</v>
      </c>
      <c r="AH17">
        <v>8.9103148951482594E-2</v>
      </c>
      <c r="AI17">
        <v>0.100687465273643</v>
      </c>
      <c r="AJ17">
        <v>0.14553796652727699</v>
      </c>
      <c r="AK17">
        <v>9.0569416468942995E-2</v>
      </c>
      <c r="AL17">
        <v>0</v>
      </c>
      <c r="AM17">
        <v>8.9133467755715998E-2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7.9263454095028801E-2</v>
      </c>
      <c r="AT17">
        <v>7.3965544085693002E-2</v>
      </c>
      <c r="AU17">
        <v>8.5662008215299804E-2</v>
      </c>
      <c r="AV17">
        <v>7.8366225812869103E-2</v>
      </c>
      <c r="AW17">
        <v>0</v>
      </c>
      <c r="AX17">
        <v>7.5024959020976695E-2</v>
      </c>
      <c r="AY17">
        <v>0.114516876191399</v>
      </c>
      <c r="AZ17">
        <v>8.5461649904024301E-2</v>
      </c>
      <c r="BA17">
        <v>8.2908905454890006E-2</v>
      </c>
      <c r="BB17">
        <v>8.3707336583934006E-2</v>
      </c>
      <c r="BC17">
        <v>8.0185613131356401E-2</v>
      </c>
      <c r="BD17">
        <v>8.1916020356293404E-2</v>
      </c>
      <c r="BE17">
        <v>8.5458855968654795E-2</v>
      </c>
      <c r="BF17">
        <v>0.141858906989802</v>
      </c>
      <c r="BG17">
        <v>0.38631886577994701</v>
      </c>
      <c r="BH17">
        <v>0.31649745089116699</v>
      </c>
      <c r="BI17">
        <v>1.25318050490636</v>
      </c>
      <c r="BJ17">
        <v>1.52364293366575</v>
      </c>
      <c r="BK17">
        <v>1.3360241306391301</v>
      </c>
      <c r="BL17">
        <v>0.83968671662515204</v>
      </c>
      <c r="BM17">
        <v>1.73125370850794</v>
      </c>
      <c r="BN17">
        <v>1.97357989542955</v>
      </c>
      <c r="BO17">
        <v>2.5497833434757098</v>
      </c>
      <c r="BP17">
        <v>2.8002070221080801</v>
      </c>
      <c r="BQ17">
        <v>2.24192013354876</v>
      </c>
      <c r="BR17">
        <v>3.5262841608175099</v>
      </c>
      <c r="BS17">
        <v>2.3774216961463801</v>
      </c>
      <c r="BT17">
        <v>2.52660829454573</v>
      </c>
      <c r="BU17">
        <v>4.4339975272251397</v>
      </c>
      <c r="BV17">
        <v>8.1593760385541501</v>
      </c>
      <c r="BW17">
        <v>2.48154108577498</v>
      </c>
      <c r="BX17">
        <v>1.9698269993550399</v>
      </c>
      <c r="BY17">
        <v>1.98503502879532</v>
      </c>
      <c r="BZ17">
        <v>1.6527703784327701</v>
      </c>
      <c r="CA17">
        <v>1.53663906504493</v>
      </c>
      <c r="CB17">
        <v>1.5009419724753801</v>
      </c>
      <c r="CC17">
        <v>1.58469165138665</v>
      </c>
      <c r="CD17">
        <v>1.5200433607616199</v>
      </c>
      <c r="CE17">
        <v>1.37116991633612</v>
      </c>
      <c r="CF17">
        <v>1.35682257677407</v>
      </c>
      <c r="CG17">
        <v>1.66179349990376</v>
      </c>
      <c r="CH17">
        <v>1.31520535533034</v>
      </c>
      <c r="CI17">
        <v>1.5780489953274299</v>
      </c>
      <c r="CJ17">
        <v>1.50991665351659</v>
      </c>
      <c r="CK17">
        <v>1.3143452915771101</v>
      </c>
      <c r="CL17">
        <v>1.39495894167269</v>
      </c>
      <c r="CM17">
        <v>1.5895398260598701</v>
      </c>
      <c r="CN17">
        <v>2.1936373257936701</v>
      </c>
      <c r="CO17">
        <v>2.27157454386741</v>
      </c>
      <c r="CP17">
        <v>1.7463347459737399</v>
      </c>
      <c r="CQ17">
        <v>1.70789875762613</v>
      </c>
      <c r="CR17">
        <v>1.68015497294426</v>
      </c>
      <c r="CS17">
        <v>1.11144528985807</v>
      </c>
      <c r="CT17">
        <v>0.98582800001489401</v>
      </c>
    </row>
    <row r="18" spans="1:98" x14ac:dyDescent="0.3">
      <c r="A18" t="s">
        <v>16</v>
      </c>
      <c r="B18">
        <v>0</v>
      </c>
      <c r="C18">
        <v>8.9674501370898205E-2</v>
      </c>
      <c r="D18">
        <v>0</v>
      </c>
      <c r="E18">
        <v>9.6472670041921796E-2</v>
      </c>
      <c r="F18">
        <v>7.4452838594416204E-2</v>
      </c>
      <c r="G18">
        <v>0</v>
      </c>
      <c r="H18">
        <v>8.0124696173071303E-2</v>
      </c>
      <c r="I18">
        <v>7.7180671489074495E-2</v>
      </c>
      <c r="J18">
        <v>9.7093306988452602E-2</v>
      </c>
      <c r="K18">
        <v>0</v>
      </c>
      <c r="L18">
        <v>8.6520346026763506E-2</v>
      </c>
      <c r="M18">
        <v>8.9813292404633496E-2</v>
      </c>
      <c r="N18">
        <v>0.125227355156077</v>
      </c>
      <c r="O18">
        <v>0</v>
      </c>
      <c r="P18">
        <v>0.10369977382852</v>
      </c>
      <c r="Q18">
        <v>8.3613585218123607E-2</v>
      </c>
      <c r="R18">
        <v>0.102680053631261</v>
      </c>
      <c r="S18">
        <v>0.103311929205195</v>
      </c>
      <c r="T18">
        <v>8.5331756898459593E-2</v>
      </c>
      <c r="U18">
        <v>0.110526989381381</v>
      </c>
      <c r="V18">
        <v>0.118342515768065</v>
      </c>
      <c r="W18">
        <v>8.1499258849023898E-2</v>
      </c>
      <c r="X18">
        <v>0.10677417052226799</v>
      </c>
      <c r="Y18">
        <v>9.9563302828899705E-2</v>
      </c>
      <c r="Z18">
        <v>8.5560667488661493E-2</v>
      </c>
      <c r="AA18">
        <v>0.110694453100613</v>
      </c>
      <c r="AB18">
        <v>7.0378529975018297E-2</v>
      </c>
      <c r="AC18">
        <v>8.5446941993089304E-2</v>
      </c>
      <c r="AD18">
        <v>6.54736283383658E-2</v>
      </c>
      <c r="AE18">
        <v>6.7447095003105501E-2</v>
      </c>
      <c r="AF18">
        <v>0</v>
      </c>
      <c r="AG18">
        <v>7.7024766549850202E-2</v>
      </c>
      <c r="AH18">
        <v>7.7949473970955196E-2</v>
      </c>
      <c r="AI18">
        <v>8.0127466959565893E-2</v>
      </c>
      <c r="AJ18">
        <v>0.12907682521823</v>
      </c>
      <c r="AK18">
        <v>7.1730472884688201E-2</v>
      </c>
      <c r="AL18">
        <v>0</v>
      </c>
      <c r="AM18">
        <v>7.7192691105232095E-2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7.7084143330858501E-2</v>
      </c>
      <c r="AT18">
        <v>7.0489781499671694E-2</v>
      </c>
      <c r="AU18">
        <v>8.2218851080001099E-2</v>
      </c>
      <c r="AV18">
        <v>7.5470650011021004E-2</v>
      </c>
      <c r="AW18">
        <v>0</v>
      </c>
      <c r="AX18">
        <v>7.5024959020976695E-2</v>
      </c>
      <c r="AY18">
        <v>0.114516876191399</v>
      </c>
      <c r="AZ18">
        <v>7.1049806259884399E-2</v>
      </c>
      <c r="BA18">
        <v>7.1784385985900007E-2</v>
      </c>
      <c r="BB18">
        <v>7.9337775604438998E-2</v>
      </c>
      <c r="BC18">
        <v>8.0185613131356401E-2</v>
      </c>
      <c r="BD18">
        <v>7.0268745725183698E-2</v>
      </c>
      <c r="BE18">
        <v>8.5458855968654795E-2</v>
      </c>
      <c r="BF18">
        <v>0.107078785031548</v>
      </c>
      <c r="BG18">
        <v>0.235995554550502</v>
      </c>
      <c r="BH18">
        <v>0.21275949635230401</v>
      </c>
      <c r="BI18">
        <v>0.51993542699844097</v>
      </c>
      <c r="BJ18">
        <v>0.841989889476076</v>
      </c>
      <c r="BK18">
        <v>0.80191982653200999</v>
      </c>
      <c r="BL18">
        <v>0.483105268540997</v>
      </c>
      <c r="BM18">
        <v>0.97018015526074097</v>
      </c>
      <c r="BN18">
        <v>1.1604484907858801</v>
      </c>
      <c r="BO18">
        <v>1.9323619237518599</v>
      </c>
      <c r="BP18">
        <v>1.7950663411980501</v>
      </c>
      <c r="BQ18">
        <v>1.5653620648825599</v>
      </c>
      <c r="BR18">
        <v>2.0835318676414198</v>
      </c>
      <c r="BS18">
        <v>1.75735535881134</v>
      </c>
      <c r="BT18">
        <v>1.6905551662729601</v>
      </c>
      <c r="BU18">
        <v>2.6350273901280201</v>
      </c>
      <c r="BV18">
        <v>4.2516294479943104</v>
      </c>
      <c r="BW18">
        <v>1.69773046945163</v>
      </c>
      <c r="BX18">
        <v>1.3439999010057799</v>
      </c>
      <c r="BY18">
        <v>1.3762807369799299</v>
      </c>
      <c r="BZ18">
        <v>1.1793098804865201</v>
      </c>
      <c r="CA18">
        <v>1.0402376398670401</v>
      </c>
      <c r="CB18">
        <v>1.0092273496534701</v>
      </c>
      <c r="CC18">
        <v>0.87482379492290896</v>
      </c>
      <c r="CD18">
        <v>1.02200936184854</v>
      </c>
      <c r="CE18">
        <v>0.93636063597496</v>
      </c>
      <c r="CF18">
        <v>0.807882770047468</v>
      </c>
      <c r="CG18">
        <v>0.89494714825047395</v>
      </c>
      <c r="CH18">
        <v>0.90363951870261905</v>
      </c>
      <c r="CI18">
        <v>0.93244937586950205</v>
      </c>
      <c r="CJ18">
        <v>0.94296718767369003</v>
      </c>
      <c r="CK18">
        <v>0.87495797011464505</v>
      </c>
      <c r="CL18">
        <v>0.88295612101855203</v>
      </c>
      <c r="CM18">
        <v>0.94415997221307402</v>
      </c>
      <c r="CN18">
        <v>0.97648867590365296</v>
      </c>
      <c r="CO18">
        <v>1.33340761215249</v>
      </c>
      <c r="CP18">
        <v>0.95957230114587</v>
      </c>
      <c r="CQ18">
        <v>1.0627119891699699</v>
      </c>
      <c r="CR18">
        <v>0.90459940488127399</v>
      </c>
      <c r="CS18">
        <v>0.66504148592071899</v>
      </c>
      <c r="CT18">
        <v>0.66734040297019803</v>
      </c>
    </row>
    <row r="19" spans="1:98" x14ac:dyDescent="0.3">
      <c r="A19" t="s">
        <v>17</v>
      </c>
      <c r="B19">
        <v>0</v>
      </c>
      <c r="C19">
        <v>8.9674501370898205E-2</v>
      </c>
      <c r="D19">
        <v>0</v>
      </c>
      <c r="E19">
        <v>0.105529785712517</v>
      </c>
      <c r="F19">
        <v>7.4452838594416204E-2</v>
      </c>
      <c r="G19">
        <v>0</v>
      </c>
      <c r="H19">
        <v>8.0124696173071303E-2</v>
      </c>
      <c r="I19">
        <v>7.39585760631985E-2</v>
      </c>
      <c r="J19">
        <v>8.9666436829988302E-2</v>
      </c>
      <c r="K19">
        <v>0</v>
      </c>
      <c r="L19">
        <v>8.7796689635484995E-2</v>
      </c>
      <c r="M19">
        <v>9.3461617978701395E-2</v>
      </c>
      <c r="N19">
        <v>0.125227355156077</v>
      </c>
      <c r="O19">
        <v>0</v>
      </c>
      <c r="P19">
        <v>0.10369977382852</v>
      </c>
      <c r="Q19">
        <v>8.0811013810342003E-2</v>
      </c>
      <c r="R19">
        <v>0.104300642307224</v>
      </c>
      <c r="S19">
        <v>0.103311929205195</v>
      </c>
      <c r="T19">
        <v>8.3479861658162402E-2</v>
      </c>
      <c r="U19">
        <v>0.110526989381381</v>
      </c>
      <c r="V19">
        <v>0.11868148982000699</v>
      </c>
      <c r="W19">
        <v>8.1499258849023898E-2</v>
      </c>
      <c r="X19">
        <v>8.99849352221858E-2</v>
      </c>
      <c r="Y19">
        <v>9.9563302828899705E-2</v>
      </c>
      <c r="Z19">
        <v>8.7890934079928706E-2</v>
      </c>
      <c r="AA19">
        <v>0.110694453100613</v>
      </c>
      <c r="AB19">
        <v>7.3065416850869896E-2</v>
      </c>
      <c r="AC19">
        <v>8.1185883691202804E-2</v>
      </c>
      <c r="AD19">
        <v>6.54736283383658E-2</v>
      </c>
      <c r="AE19">
        <v>6.7447095003105501E-2</v>
      </c>
      <c r="AF19">
        <v>0</v>
      </c>
      <c r="AG19">
        <v>7.9461836011572307E-2</v>
      </c>
      <c r="AH19">
        <v>7.6784383922932103E-2</v>
      </c>
      <c r="AI19">
        <v>8.0127466959565893E-2</v>
      </c>
      <c r="AJ19">
        <v>0.12921062729163399</v>
      </c>
      <c r="AK19">
        <v>7.1730472884688201E-2</v>
      </c>
      <c r="AL19">
        <v>0</v>
      </c>
      <c r="AM19">
        <v>7.6754565430940905E-2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7.7084143330858501E-2</v>
      </c>
      <c r="AT19">
        <v>7.0489781499671694E-2</v>
      </c>
      <c r="AU19">
        <v>8.1892428117627605E-2</v>
      </c>
      <c r="AV19">
        <v>7.6738128986697005E-2</v>
      </c>
      <c r="AW19">
        <v>0</v>
      </c>
      <c r="AX19">
        <v>7.5024959020976695E-2</v>
      </c>
      <c r="AY19">
        <v>0.114516876191399</v>
      </c>
      <c r="AZ19">
        <v>6.5538654583160799E-2</v>
      </c>
      <c r="BA19">
        <v>7.1784385985900007E-2</v>
      </c>
      <c r="BB19">
        <v>7.9337775604438998E-2</v>
      </c>
      <c r="BC19">
        <v>8.0185613131356401E-2</v>
      </c>
      <c r="BD19">
        <v>7.0268745725183698E-2</v>
      </c>
      <c r="BE19">
        <v>8.5458855968654795E-2</v>
      </c>
      <c r="BF19">
        <v>0.103530855468964</v>
      </c>
      <c r="BG19">
        <v>0.23275925913223</v>
      </c>
      <c r="BH19">
        <v>0.20351130694079</v>
      </c>
      <c r="BI19">
        <v>0.44383717967403002</v>
      </c>
      <c r="BJ19">
        <v>0.82561212339191603</v>
      </c>
      <c r="BK19">
        <v>0.81138415528816699</v>
      </c>
      <c r="BL19">
        <v>0.45412163323768201</v>
      </c>
      <c r="BM19">
        <v>0.91447988970099903</v>
      </c>
      <c r="BN19">
        <v>1.1352289719214901</v>
      </c>
      <c r="BO19">
        <v>1.9002146555021999</v>
      </c>
      <c r="BP19">
        <v>1.7735399515969701</v>
      </c>
      <c r="BQ19">
        <v>1.5555436214574101</v>
      </c>
      <c r="BR19">
        <v>2.0409324840922101</v>
      </c>
      <c r="BS19">
        <v>1.7505022637720999</v>
      </c>
      <c r="BT19">
        <v>1.6658160336854799</v>
      </c>
      <c r="BU19">
        <v>2.5554961684440598</v>
      </c>
      <c r="BV19">
        <v>3.9447587264584998</v>
      </c>
      <c r="BW19">
        <v>1.6718885580241101</v>
      </c>
      <c r="BX19">
        <v>1.2816201442055399</v>
      </c>
      <c r="BY19">
        <v>1.3452892335801201</v>
      </c>
      <c r="BZ19">
        <v>1.1935685729364101</v>
      </c>
      <c r="CA19">
        <v>1.0171091754423001</v>
      </c>
      <c r="CB19">
        <v>0.997191872436889</v>
      </c>
      <c r="CC19">
        <v>0.83171381143516898</v>
      </c>
      <c r="CD19">
        <v>1.0222138376518599</v>
      </c>
      <c r="CE19">
        <v>0.92249211096237804</v>
      </c>
      <c r="CF19">
        <v>0.79092764592207199</v>
      </c>
      <c r="CG19">
        <v>0.86634347827978098</v>
      </c>
      <c r="CH19">
        <v>0.88518958106798795</v>
      </c>
      <c r="CI19">
        <v>0.89771537940875801</v>
      </c>
      <c r="CJ19">
        <v>0.936038683689837</v>
      </c>
      <c r="CK19">
        <v>0.85579436431893097</v>
      </c>
      <c r="CL19">
        <v>0.843011582284384</v>
      </c>
      <c r="CM19">
        <v>0.93796594257792398</v>
      </c>
      <c r="CN19">
        <v>0.95440917516542001</v>
      </c>
      <c r="CO19">
        <v>1.3329131332525299</v>
      </c>
      <c r="CP19">
        <v>0.91922209492875895</v>
      </c>
      <c r="CQ19">
        <v>1.0186963289086</v>
      </c>
      <c r="CR19">
        <v>0.87210282759264601</v>
      </c>
      <c r="CS19">
        <v>0.62623562582187697</v>
      </c>
      <c r="CT19">
        <v>0.65822876912913397</v>
      </c>
    </row>
    <row r="20" spans="1:98" x14ac:dyDescent="0.3">
      <c r="A20" t="s">
        <v>18</v>
      </c>
      <c r="B20">
        <v>0.26926302080182701</v>
      </c>
      <c r="C20">
        <v>0.45021772478637501</v>
      </c>
      <c r="D20">
        <v>0.28871752185885702</v>
      </c>
      <c r="E20">
        <v>0.48742174429330498</v>
      </c>
      <c r="F20">
        <v>0.34743884596015001</v>
      </c>
      <c r="G20">
        <v>0.45998970925153199</v>
      </c>
      <c r="H20">
        <v>0.451058888535952</v>
      </c>
      <c r="I20">
        <v>0.36141252210227198</v>
      </c>
      <c r="J20">
        <v>0.47861135063592303</v>
      </c>
      <c r="K20">
        <v>0.40811942675914098</v>
      </c>
      <c r="L20">
        <v>0.378739562806996</v>
      </c>
      <c r="M20">
        <v>0.42788541815143399</v>
      </c>
      <c r="N20">
        <v>0.62500889357937295</v>
      </c>
      <c r="O20">
        <v>0.40694967149199002</v>
      </c>
      <c r="P20">
        <v>0.45928085180497602</v>
      </c>
      <c r="Q20">
        <v>0.42473339957710399</v>
      </c>
      <c r="R20">
        <v>0.44977032458826599</v>
      </c>
      <c r="S20">
        <v>0.42170771095218101</v>
      </c>
      <c r="T20">
        <v>0.40105273662261298</v>
      </c>
      <c r="U20">
        <v>0.44210795752552501</v>
      </c>
      <c r="V20">
        <v>0.61719958122012297</v>
      </c>
      <c r="W20">
        <v>0.371910797220464</v>
      </c>
      <c r="X20">
        <v>0.685006768897374</v>
      </c>
      <c r="Y20">
        <v>0.39825321131559899</v>
      </c>
      <c r="Z20">
        <v>0.428129747842936</v>
      </c>
      <c r="AA20">
        <v>0.46472485370334898</v>
      </c>
      <c r="AB20">
        <v>0.302046590596738</v>
      </c>
      <c r="AC20">
        <v>0.46381696149809798</v>
      </c>
      <c r="AD20">
        <v>0.29155241829033701</v>
      </c>
      <c r="AE20">
        <v>0.34594614625769998</v>
      </c>
      <c r="AF20">
        <v>0.380287396543737</v>
      </c>
      <c r="AG20">
        <v>0.39459365852533401</v>
      </c>
      <c r="AH20">
        <v>0.35641259580592999</v>
      </c>
      <c r="AI20">
        <v>0.402749861094574</v>
      </c>
      <c r="AJ20">
        <v>0.58215186610911096</v>
      </c>
      <c r="AK20">
        <v>0.36227766587577198</v>
      </c>
      <c r="AL20">
        <v>0.25588426356504101</v>
      </c>
      <c r="AM20">
        <v>0.35653387102286399</v>
      </c>
      <c r="AN20">
        <v>0.211052743733395</v>
      </c>
      <c r="AO20">
        <v>0.33818148320817798</v>
      </c>
      <c r="AP20">
        <v>0.35250237138514701</v>
      </c>
      <c r="AQ20">
        <v>0.20671904835965799</v>
      </c>
      <c r="AR20">
        <v>0.27362586584432802</v>
      </c>
      <c r="AS20">
        <v>0.31705381638011498</v>
      </c>
      <c r="AT20">
        <v>0.29586217634277201</v>
      </c>
      <c r="AU20">
        <v>0.34264803286119899</v>
      </c>
      <c r="AV20">
        <v>0.31346490325147602</v>
      </c>
      <c r="AW20">
        <v>0.29826252905355999</v>
      </c>
      <c r="AX20">
        <v>0.30183941621925398</v>
      </c>
      <c r="AY20">
        <v>0.45806750476559699</v>
      </c>
      <c r="AZ20">
        <v>0.356269214865304</v>
      </c>
      <c r="BA20">
        <v>0.33163562181956002</v>
      </c>
      <c r="BB20">
        <v>0.33482934633573602</v>
      </c>
      <c r="BC20">
        <v>0.371229360441308</v>
      </c>
      <c r="BD20">
        <v>0.38843849902993499</v>
      </c>
      <c r="BE20">
        <v>0.34183542387461902</v>
      </c>
      <c r="BF20">
        <v>0.56743562795920999</v>
      </c>
      <c r="BG20">
        <v>1.54527546311978</v>
      </c>
      <c r="BH20">
        <v>1.26598980356466</v>
      </c>
      <c r="BI20">
        <v>5.0127220196254703</v>
      </c>
      <c r="BJ20">
        <v>6.094571734663</v>
      </c>
      <c r="BK20">
        <v>5.3440965225565504</v>
      </c>
      <c r="BL20">
        <v>3.3587468665006002</v>
      </c>
      <c r="BM20">
        <v>6.9250148340317796</v>
      </c>
      <c r="BN20">
        <v>7.8943195817182001</v>
      </c>
      <c r="BO20">
        <v>10.1991333739028</v>
      </c>
      <c r="BP20">
        <v>11.200828088432299</v>
      </c>
      <c r="BQ20">
        <v>8.9676805341950594</v>
      </c>
      <c r="BR20">
        <v>14.105136643270001</v>
      </c>
      <c r="BS20">
        <v>9.5096867845855204</v>
      </c>
      <c r="BT20">
        <v>10.1064331781829</v>
      </c>
      <c r="BU20">
        <v>17.735990108900499</v>
      </c>
      <c r="BV20">
        <v>32.6375041542166</v>
      </c>
      <c r="BW20">
        <v>9.9261643430999396</v>
      </c>
      <c r="BX20">
        <v>7.8793079974201703</v>
      </c>
      <c r="BY20">
        <v>7.9401401151812898</v>
      </c>
      <c r="BZ20">
        <v>6.6110815137310999</v>
      </c>
      <c r="CA20">
        <v>6.1465562601797403</v>
      </c>
      <c r="CB20">
        <v>6.0037678899015301</v>
      </c>
      <c r="CC20">
        <v>6.3387666055466001</v>
      </c>
      <c r="CD20">
        <v>6.08017344304651</v>
      </c>
      <c r="CE20">
        <v>5.4846796653444798</v>
      </c>
      <c r="CF20">
        <v>5.4272903070962801</v>
      </c>
      <c r="CG20">
        <v>6.6471739996150703</v>
      </c>
      <c r="CH20">
        <v>5.2608214213213804</v>
      </c>
      <c r="CI20">
        <v>6.3121959813097197</v>
      </c>
      <c r="CJ20">
        <v>6.0396666140663697</v>
      </c>
      <c r="CK20">
        <v>5.2573811663084502</v>
      </c>
      <c r="CL20">
        <v>5.5798357666907803</v>
      </c>
      <c r="CM20">
        <v>6.3581593042394902</v>
      </c>
      <c r="CN20">
        <v>8.7745493031746804</v>
      </c>
      <c r="CO20">
        <v>9.0862981754696701</v>
      </c>
      <c r="CP20">
        <v>6.9853389838949802</v>
      </c>
      <c r="CQ20">
        <v>6.8315950305045199</v>
      </c>
      <c r="CR20">
        <v>6.7206198917770701</v>
      </c>
      <c r="CS20">
        <v>4.4457811594322996</v>
      </c>
      <c r="CT20">
        <v>3.9433120000595698</v>
      </c>
    </row>
    <row r="21" spans="1:98" x14ac:dyDescent="0.3">
      <c r="A21" t="s">
        <v>19</v>
      </c>
      <c r="B21">
        <v>0.20583721817425299</v>
      </c>
      <c r="C21">
        <v>0.23136189437388599</v>
      </c>
      <c r="D21">
        <v>0.21149089960679901</v>
      </c>
      <c r="E21">
        <v>0.28504249364006901</v>
      </c>
      <c r="F21">
        <v>0.21249807010849001</v>
      </c>
      <c r="G21">
        <v>0.26132838470675102</v>
      </c>
      <c r="H21">
        <v>0.27216902132709703</v>
      </c>
      <c r="I21">
        <v>0.245606952689573</v>
      </c>
      <c r="J21">
        <v>0.25889123064595998</v>
      </c>
      <c r="K21">
        <v>0.256226116733272</v>
      </c>
      <c r="L21">
        <v>0.26611701973838697</v>
      </c>
      <c r="M21">
        <v>0.26224951050587803</v>
      </c>
      <c r="N21">
        <v>0.26639119317073201</v>
      </c>
      <c r="O21">
        <v>0.22548648209909999</v>
      </c>
      <c r="P21">
        <v>0.31046149013401703</v>
      </c>
      <c r="Q21">
        <v>0.230961560166145</v>
      </c>
      <c r="R21">
        <v>0.27511304053406799</v>
      </c>
      <c r="S21">
        <v>0.26127490422736399</v>
      </c>
      <c r="T21">
        <v>0.29168902299240701</v>
      </c>
      <c r="U21">
        <v>0.24750479509960599</v>
      </c>
      <c r="V21">
        <v>0.29307323897701698</v>
      </c>
      <c r="W21">
        <v>0.22744838650722499</v>
      </c>
      <c r="X21">
        <v>0.33541017919871402</v>
      </c>
      <c r="Y21">
        <v>0.21480890119905899</v>
      </c>
      <c r="Z21">
        <v>0.30420145300601598</v>
      </c>
      <c r="AA21">
        <v>0.236994604677353</v>
      </c>
      <c r="AB21">
        <v>0.237775947955566</v>
      </c>
      <c r="AC21">
        <v>0.239465004450861</v>
      </c>
      <c r="AD21">
        <v>0.22327845476352701</v>
      </c>
      <c r="AE21">
        <v>0.227282771484801</v>
      </c>
      <c r="AF21">
        <v>0.27047532277895903</v>
      </c>
      <c r="AG21">
        <v>0.23233191197031999</v>
      </c>
      <c r="AH21">
        <v>0.19872597553795601</v>
      </c>
      <c r="AI21">
        <v>0.24791244978476201</v>
      </c>
      <c r="AJ21">
        <v>0.32715128777535701</v>
      </c>
      <c r="AK21">
        <v>0.21051902313618201</v>
      </c>
      <c r="AL21">
        <v>0.19060574354668899</v>
      </c>
      <c r="AM21">
        <v>0.22719213606499999</v>
      </c>
      <c r="AN21">
        <v>0.14158488243574199</v>
      </c>
      <c r="AO21">
        <v>0.18109184987513899</v>
      </c>
      <c r="AP21">
        <v>0.17408446146272699</v>
      </c>
      <c r="AQ21">
        <v>0.15417330356228101</v>
      </c>
      <c r="AR21">
        <v>0.18291181586109001</v>
      </c>
      <c r="AS21">
        <v>0.21323706813483401</v>
      </c>
      <c r="AT21">
        <v>0.181467426433186</v>
      </c>
      <c r="AU21">
        <v>0.216470421249436</v>
      </c>
      <c r="AV21">
        <v>0.22552945233820701</v>
      </c>
      <c r="AW21">
        <v>0.20435963439629301</v>
      </c>
      <c r="AX21">
        <v>0.21689496490903501</v>
      </c>
      <c r="AY21">
        <v>0.21635910804276801</v>
      </c>
      <c r="AZ21">
        <v>0.23503000559598899</v>
      </c>
      <c r="BA21">
        <v>0.21270479187382099</v>
      </c>
      <c r="BB21">
        <v>0.242333690919046</v>
      </c>
      <c r="BC21">
        <v>0.213242346278217</v>
      </c>
      <c r="BD21">
        <v>0.24357622212392799</v>
      </c>
      <c r="BE21">
        <v>0.191809199879938</v>
      </c>
      <c r="BF21">
        <v>0.33737380558343599</v>
      </c>
      <c r="BG21">
        <v>0.89843884724499601</v>
      </c>
      <c r="BH21">
        <v>0.81375864407888598</v>
      </c>
      <c r="BI21">
        <v>2.0797417079937599</v>
      </c>
      <c r="BJ21">
        <v>3.3679595579043</v>
      </c>
      <c r="BK21">
        <v>3.20767930612804</v>
      </c>
      <c r="BL21">
        <v>1.9190263079977601</v>
      </c>
      <c r="BM21">
        <v>3.8807206210429599</v>
      </c>
      <c r="BN21">
        <v>4.6417939631435301</v>
      </c>
      <c r="BO21">
        <v>7.7294476950074698</v>
      </c>
      <c r="BP21">
        <v>7.1802653647922003</v>
      </c>
      <c r="BQ21">
        <v>6.2614482595302601</v>
      </c>
      <c r="BR21">
        <v>8.3341274705657096</v>
      </c>
      <c r="BS21">
        <v>7.0294214352453697</v>
      </c>
      <c r="BT21">
        <v>6.7622206650918502</v>
      </c>
      <c r="BU21">
        <v>10.540109560512001</v>
      </c>
      <c r="BV21">
        <v>17.006517791977199</v>
      </c>
      <c r="BW21">
        <v>6.7909218778065501</v>
      </c>
      <c r="BX21">
        <v>5.3759996040231499</v>
      </c>
      <c r="BY21">
        <v>5.5051229479197401</v>
      </c>
      <c r="BZ21">
        <v>4.7172395219461096</v>
      </c>
      <c r="CA21">
        <v>4.1609505594681799</v>
      </c>
      <c r="CB21">
        <v>4.03690939861389</v>
      </c>
      <c r="CC21">
        <v>3.4992951796916301</v>
      </c>
      <c r="CD21">
        <v>4.0880374473941696</v>
      </c>
      <c r="CE21">
        <v>3.74544254389984</v>
      </c>
      <c r="CF21">
        <v>3.2315310801898698</v>
      </c>
      <c r="CG21">
        <v>3.57978859300189</v>
      </c>
      <c r="CH21">
        <v>3.61455807481047</v>
      </c>
      <c r="CI21">
        <v>3.72979750347801</v>
      </c>
      <c r="CJ21">
        <v>3.7718687506947601</v>
      </c>
      <c r="CK21">
        <v>3.4998318804585802</v>
      </c>
      <c r="CL21">
        <v>3.5318244840742099</v>
      </c>
      <c r="CM21">
        <v>3.7766398888522899</v>
      </c>
      <c r="CN21">
        <v>3.9059547036146101</v>
      </c>
      <c r="CO21">
        <v>5.3336304486099797</v>
      </c>
      <c r="CP21">
        <v>3.83828920458348</v>
      </c>
      <c r="CQ21">
        <v>4.2508479566798902</v>
      </c>
      <c r="CR21">
        <v>3.6183976195250902</v>
      </c>
      <c r="CS21">
        <v>2.6601659436828702</v>
      </c>
      <c r="CT21">
        <v>2.6693616118807899</v>
      </c>
    </row>
    <row r="22" spans="1:98" x14ac:dyDescent="0.3">
      <c r="A22" t="s">
        <v>20</v>
      </c>
      <c r="B22">
        <v>0.199425141056082</v>
      </c>
      <c r="C22">
        <v>0.22565283513114701</v>
      </c>
      <c r="D22">
        <v>0.20903390154024201</v>
      </c>
      <c r="E22">
        <v>0.27085960665980902</v>
      </c>
      <c r="F22">
        <v>0.20763839666662201</v>
      </c>
      <c r="G22">
        <v>0.26075641942538702</v>
      </c>
      <c r="H22">
        <v>0.25729707320970902</v>
      </c>
      <c r="I22">
        <v>0.24062282644100799</v>
      </c>
      <c r="J22">
        <v>0.25043961952813698</v>
      </c>
      <c r="K22">
        <v>0.25002540171743198</v>
      </c>
      <c r="L22">
        <v>0.26398202753891298</v>
      </c>
      <c r="M22">
        <v>0.25241519729463002</v>
      </c>
      <c r="N22">
        <v>0.24850404375142701</v>
      </c>
      <c r="O22">
        <v>0.22062323360566899</v>
      </c>
      <c r="P22">
        <v>0.30658013729114098</v>
      </c>
      <c r="Q22">
        <v>0.21384107743061101</v>
      </c>
      <c r="R22">
        <v>0.26320433771798901</v>
      </c>
      <c r="S22">
        <v>0.256881571955062</v>
      </c>
      <c r="T22">
        <v>0.28674946604798301</v>
      </c>
      <c r="U22">
        <v>0.239016194674817</v>
      </c>
      <c r="V22">
        <v>0.27513421848693698</v>
      </c>
      <c r="W22">
        <v>0.21735117287643199</v>
      </c>
      <c r="X22">
        <v>0.32809575747485498</v>
      </c>
      <c r="Y22">
        <v>0.20520715130386299</v>
      </c>
      <c r="Z22">
        <v>0.30471950903815498</v>
      </c>
      <c r="AA22">
        <v>0.22707697198846399</v>
      </c>
      <c r="AB22">
        <v>0.243476843747087</v>
      </c>
      <c r="AC22">
        <v>0.23156125586572199</v>
      </c>
      <c r="AD22">
        <v>0.225271483620819</v>
      </c>
      <c r="AE22">
        <v>0.22676655053414199</v>
      </c>
      <c r="AF22">
        <v>0.26290399179394403</v>
      </c>
      <c r="AG22">
        <v>0.22855233759530899</v>
      </c>
      <c r="AH22">
        <v>0.193462731432505</v>
      </c>
      <c r="AI22">
        <v>0.23948281974983399</v>
      </c>
      <c r="AJ22">
        <v>0.31508271272609401</v>
      </c>
      <c r="AK22">
        <v>0.20337846862766501</v>
      </c>
      <c r="AL22">
        <v>0.18894403020207801</v>
      </c>
      <c r="AM22">
        <v>0.219180398896443</v>
      </c>
      <c r="AN22">
        <v>0.13755903496581601</v>
      </c>
      <c r="AO22">
        <v>0.16981125797413299</v>
      </c>
      <c r="AP22">
        <v>0.164037261240327</v>
      </c>
      <c r="AQ22">
        <v>0.14922825421736199</v>
      </c>
      <c r="AR22">
        <v>0.17251220353371</v>
      </c>
      <c r="AS22">
        <v>0.21038376075672</v>
      </c>
      <c r="AT22">
        <v>0.17723799916190899</v>
      </c>
      <c r="AU22">
        <v>0.20134692912876201</v>
      </c>
      <c r="AV22">
        <v>0.21961986521942001</v>
      </c>
      <c r="AW22">
        <v>0.195279369114253</v>
      </c>
      <c r="AX22">
        <v>0.208659747377621</v>
      </c>
      <c r="AY22">
        <v>0.20087725589762601</v>
      </c>
      <c r="AZ22">
        <v>0.22760958087274399</v>
      </c>
      <c r="BA22">
        <v>0.205615288807454</v>
      </c>
      <c r="BB22">
        <v>0.23991379976739</v>
      </c>
      <c r="BC22">
        <v>0.204840887708091</v>
      </c>
      <c r="BD22">
        <v>0.234941321626364</v>
      </c>
      <c r="BE22">
        <v>0.18088508449969201</v>
      </c>
      <c r="BF22">
        <v>0.33414358043863102</v>
      </c>
      <c r="BG22">
        <v>0.89425551369862</v>
      </c>
      <c r="BH22">
        <v>0.77874932249458195</v>
      </c>
      <c r="BI22">
        <v>1.7753487186961201</v>
      </c>
      <c r="BJ22">
        <v>3.3024484935676601</v>
      </c>
      <c r="BK22">
        <v>3.24553662115266</v>
      </c>
      <c r="BL22">
        <v>1.8146972990179899</v>
      </c>
      <c r="BM22">
        <v>3.6579195588039899</v>
      </c>
      <c r="BN22">
        <v>4.5409158876859896</v>
      </c>
      <c r="BO22">
        <v>7.6008586220088201</v>
      </c>
      <c r="BP22">
        <v>7.0941598063879097</v>
      </c>
      <c r="BQ22">
        <v>6.2221744858296697</v>
      </c>
      <c r="BR22">
        <v>8.1637299363688403</v>
      </c>
      <c r="BS22">
        <v>7.0020090550884202</v>
      </c>
      <c r="BT22">
        <v>6.6632641347419197</v>
      </c>
      <c r="BU22">
        <v>10.2219846737762</v>
      </c>
      <c r="BV22">
        <v>15.779034905833999</v>
      </c>
      <c r="BW22">
        <v>6.6875542320964501</v>
      </c>
      <c r="BX22">
        <v>5.1264805768221802</v>
      </c>
      <c r="BY22">
        <v>5.3811569343205097</v>
      </c>
      <c r="BZ22">
        <v>4.7742742917456402</v>
      </c>
      <c r="CA22">
        <v>4.0684367017692198</v>
      </c>
      <c r="CB22">
        <v>3.9887674897475498</v>
      </c>
      <c r="CC22">
        <v>3.3268552457406702</v>
      </c>
      <c r="CD22">
        <v>4.0888553506074503</v>
      </c>
      <c r="CE22">
        <v>3.6899684438495099</v>
      </c>
      <c r="CF22">
        <v>3.1637105836882902</v>
      </c>
      <c r="CG22">
        <v>3.4653739131191199</v>
      </c>
      <c r="CH22">
        <v>3.54075832427195</v>
      </c>
      <c r="CI22">
        <v>3.5908615176350298</v>
      </c>
      <c r="CJ22">
        <v>3.74415473475934</v>
      </c>
      <c r="CK22">
        <v>3.4231774572757199</v>
      </c>
      <c r="CL22">
        <v>3.3720463291375302</v>
      </c>
      <c r="CM22">
        <v>3.7518637703116902</v>
      </c>
      <c r="CN22">
        <v>3.81763670066168</v>
      </c>
      <c r="CO22">
        <v>5.3316525330101499</v>
      </c>
      <c r="CP22">
        <v>3.67688837971503</v>
      </c>
      <c r="CQ22">
        <v>4.0747853156343998</v>
      </c>
      <c r="CR22">
        <v>3.4884113103705801</v>
      </c>
      <c r="CS22">
        <v>2.5049425032874999</v>
      </c>
      <c r="CT22">
        <v>2.6329150765165301</v>
      </c>
    </row>
    <row r="23" spans="1:98" x14ac:dyDescent="0.3">
      <c r="A23" t="s">
        <v>21</v>
      </c>
      <c r="B23">
        <v>1.0770520832073001</v>
      </c>
      <c r="C23">
        <v>1.8008708991455</v>
      </c>
      <c r="D23">
        <v>1.1548700874354301</v>
      </c>
      <c r="E23">
        <v>1.9496869771732199</v>
      </c>
      <c r="F23">
        <v>1.3897553838406</v>
      </c>
      <c r="G23">
        <v>1.8399588370061299</v>
      </c>
      <c r="H23">
        <v>1.80423555414381</v>
      </c>
      <c r="I23">
        <v>1.4456500884090899</v>
      </c>
      <c r="J23">
        <v>1.9144454025436899</v>
      </c>
      <c r="K23">
        <v>1.6324777070365599</v>
      </c>
      <c r="L23">
        <v>1.51495825122798</v>
      </c>
      <c r="M23">
        <v>1.71154167260573</v>
      </c>
      <c r="N23">
        <v>2.50003557431749</v>
      </c>
      <c r="O23">
        <v>1.6277986859679601</v>
      </c>
      <c r="P23">
        <v>1.8371234072199001</v>
      </c>
      <c r="Q23">
        <v>1.69893359830841</v>
      </c>
      <c r="R23">
        <v>1.79908129835306</v>
      </c>
      <c r="S23">
        <v>1.6868308438087201</v>
      </c>
      <c r="T23">
        <v>1.6042109464904499</v>
      </c>
      <c r="U23">
        <v>1.7684318301021</v>
      </c>
      <c r="V23">
        <v>2.4687983248804901</v>
      </c>
      <c r="W23">
        <v>1.48764318888185</v>
      </c>
      <c r="X23">
        <v>2.7400270755894902</v>
      </c>
      <c r="Y23">
        <v>1.59301284526239</v>
      </c>
      <c r="Z23">
        <v>1.71251899137174</v>
      </c>
      <c r="AA23">
        <v>1.8588994148133899</v>
      </c>
      <c r="AB23">
        <v>1.20818636238695</v>
      </c>
      <c r="AC23">
        <v>1.8552678459923899</v>
      </c>
      <c r="AD23">
        <v>1.1662096731613401</v>
      </c>
      <c r="AE23">
        <v>1.3837845850307999</v>
      </c>
      <c r="AF23">
        <v>1.52114958617495</v>
      </c>
      <c r="AG23">
        <v>1.5783746341013301</v>
      </c>
      <c r="AH23">
        <v>1.42565038322372</v>
      </c>
      <c r="AI23">
        <v>1.61099944437829</v>
      </c>
      <c r="AJ23">
        <v>2.3286074644364398</v>
      </c>
      <c r="AK23">
        <v>1.4491106635030799</v>
      </c>
      <c r="AL23">
        <v>1.0235370542601601</v>
      </c>
      <c r="AM23">
        <v>1.42613548409145</v>
      </c>
      <c r="AN23">
        <v>0.84421097493358199</v>
      </c>
      <c r="AO23">
        <v>1.3527259328327099</v>
      </c>
      <c r="AP23">
        <v>1.41000948554059</v>
      </c>
      <c r="AQ23">
        <v>0.82687619343863505</v>
      </c>
      <c r="AR23">
        <v>1.0945034633773101</v>
      </c>
      <c r="AS23">
        <v>1.2682152655204599</v>
      </c>
      <c r="AT23">
        <v>1.18344870537108</v>
      </c>
      <c r="AU23">
        <v>1.37059213144479</v>
      </c>
      <c r="AV23">
        <v>1.2538596130059001</v>
      </c>
      <c r="AW23">
        <v>1.19305011621424</v>
      </c>
      <c r="AX23">
        <v>1.2073576648770099</v>
      </c>
      <c r="AY23">
        <v>1.83227001906238</v>
      </c>
      <c r="AZ23">
        <v>1.42507685946121</v>
      </c>
      <c r="BA23">
        <v>1.3265424872782401</v>
      </c>
      <c r="BB23">
        <v>1.3393173853429401</v>
      </c>
      <c r="BC23">
        <v>1.48491744176523</v>
      </c>
      <c r="BD23">
        <v>1.55375399611974</v>
      </c>
      <c r="BE23">
        <v>1.3673416954984701</v>
      </c>
      <c r="BF23">
        <v>2.2697425118368399</v>
      </c>
      <c r="BG23">
        <v>6.1811018524791503</v>
      </c>
      <c r="BH23">
        <v>5.06395921425867</v>
      </c>
      <c r="BI23">
        <v>20.050888078501899</v>
      </c>
      <c r="BJ23">
        <v>24.378286938652</v>
      </c>
      <c r="BK23">
        <v>21.376386090226202</v>
      </c>
      <c r="BL23">
        <v>13.434987466002401</v>
      </c>
      <c r="BM23">
        <v>27.700059336127101</v>
      </c>
      <c r="BN23">
        <v>31.577278326872801</v>
      </c>
      <c r="BO23">
        <v>40.796533495611499</v>
      </c>
      <c r="BP23">
        <v>44.803312353729297</v>
      </c>
      <c r="BQ23">
        <v>35.870722136780202</v>
      </c>
      <c r="BR23">
        <v>56.420546573080102</v>
      </c>
      <c r="BS23">
        <v>38.038747138342003</v>
      </c>
      <c r="BT23">
        <v>40.425732712731701</v>
      </c>
      <c r="BU23">
        <v>70.943960435602307</v>
      </c>
      <c r="BV23">
        <v>130.550016616866</v>
      </c>
      <c r="BW23">
        <v>39.704657372399701</v>
      </c>
      <c r="BX23">
        <v>31.517231989680699</v>
      </c>
      <c r="BY23">
        <v>31.760560460725099</v>
      </c>
      <c r="BZ23">
        <v>26.444326054924399</v>
      </c>
      <c r="CA23">
        <v>24.586225040718901</v>
      </c>
      <c r="CB23">
        <v>24.015071559606099</v>
      </c>
      <c r="CC23">
        <v>25.3550664221864</v>
      </c>
      <c r="CD23">
        <v>24.320693772186001</v>
      </c>
      <c r="CE23">
        <v>21.938718661377901</v>
      </c>
      <c r="CF23">
        <v>21.709161228385099</v>
      </c>
      <c r="CG23">
        <v>26.588695998460299</v>
      </c>
      <c r="CH23">
        <v>21.0432856852855</v>
      </c>
      <c r="CI23">
        <v>25.2487839252389</v>
      </c>
      <c r="CJ23">
        <v>24.1586664562655</v>
      </c>
      <c r="CK23">
        <v>21.029524665233801</v>
      </c>
      <c r="CL23">
        <v>22.3193430667631</v>
      </c>
      <c r="CM23">
        <v>25.4326372169579</v>
      </c>
      <c r="CN23">
        <v>35.0981972126987</v>
      </c>
      <c r="CO23">
        <v>36.345192701878602</v>
      </c>
      <c r="CP23">
        <v>27.941355935579899</v>
      </c>
      <c r="CQ23">
        <v>27.326380122018001</v>
      </c>
      <c r="CR23">
        <v>26.882479567108302</v>
      </c>
      <c r="CS23">
        <v>17.783124637729198</v>
      </c>
      <c r="CT23">
        <v>15.773248000238301</v>
      </c>
    </row>
    <row r="24" spans="1:98" x14ac:dyDescent="0.3">
      <c r="A24" t="s">
        <v>22</v>
      </c>
      <c r="B24">
        <v>0.73445920618768101</v>
      </c>
      <c r="C24">
        <v>0.86476925004412897</v>
      </c>
      <c r="D24">
        <v>0.78902723824065202</v>
      </c>
      <c r="E24">
        <v>1.1068246344332899</v>
      </c>
      <c r="F24">
        <v>0.735870021173052</v>
      </c>
      <c r="G24">
        <v>0.99079684562700299</v>
      </c>
      <c r="H24">
        <v>1.01813470531484</v>
      </c>
      <c r="I24">
        <v>0.94113908289866299</v>
      </c>
      <c r="J24">
        <v>0.982531378909966</v>
      </c>
      <c r="K24">
        <v>0.96628046273728496</v>
      </c>
      <c r="L24">
        <v>1.02558181394656</v>
      </c>
      <c r="M24">
        <v>0.97803625954362905</v>
      </c>
      <c r="N24">
        <v>1.0095703909526299</v>
      </c>
      <c r="O24">
        <v>0.84247744409591696</v>
      </c>
      <c r="P24">
        <v>1.19745946976284</v>
      </c>
      <c r="Q24">
        <v>0.87600994822427103</v>
      </c>
      <c r="R24">
        <v>1.0612243228728699</v>
      </c>
      <c r="S24">
        <v>1.01490052442006</v>
      </c>
      <c r="T24">
        <v>1.13879031237668</v>
      </c>
      <c r="U24">
        <v>0.94911813923850097</v>
      </c>
      <c r="V24">
        <v>1.14239415742642</v>
      </c>
      <c r="W24">
        <v>0.85095981318356395</v>
      </c>
      <c r="X24">
        <v>1.30831695171211</v>
      </c>
      <c r="Y24">
        <v>0.80173385541026199</v>
      </c>
      <c r="Z24">
        <v>1.16875067575102</v>
      </c>
      <c r="AA24">
        <v>0.83981627559527505</v>
      </c>
      <c r="AB24">
        <v>0.86929569879726998</v>
      </c>
      <c r="AC24">
        <v>0.86892482493842804</v>
      </c>
      <c r="AD24">
        <v>0.85796809881640701</v>
      </c>
      <c r="AE24">
        <v>0.84832373173296305</v>
      </c>
      <c r="AF24">
        <v>1.0316035124290901</v>
      </c>
      <c r="AG24">
        <v>0.87587546919619597</v>
      </c>
      <c r="AH24">
        <v>0.72369048858176299</v>
      </c>
      <c r="AI24">
        <v>0.93883186809040498</v>
      </c>
      <c r="AJ24">
        <v>1.27089369552734</v>
      </c>
      <c r="AK24">
        <v>0.76840298522121098</v>
      </c>
      <c r="AL24">
        <v>0.72302421950826401</v>
      </c>
      <c r="AM24">
        <v>0.83510998238109502</v>
      </c>
      <c r="AN24">
        <v>0.42507683646634897</v>
      </c>
      <c r="AO24">
        <v>0.63934740417119895</v>
      </c>
      <c r="AP24">
        <v>0.61237445545144598</v>
      </c>
      <c r="AQ24">
        <v>0.53461495908296797</v>
      </c>
      <c r="AR24">
        <v>0.67466372101680006</v>
      </c>
      <c r="AS24">
        <v>0.79432636271075296</v>
      </c>
      <c r="AT24">
        <v>0.628765228108353</v>
      </c>
      <c r="AU24">
        <v>0.79277689287794995</v>
      </c>
      <c r="AV24">
        <v>0.82695340545198404</v>
      </c>
      <c r="AW24">
        <v>0.75191511352955798</v>
      </c>
      <c r="AX24">
        <v>0.78567818049258498</v>
      </c>
      <c r="AY24">
        <v>0.80031678546395202</v>
      </c>
      <c r="AZ24">
        <v>0.88864552998503399</v>
      </c>
      <c r="BA24">
        <v>0.79176329011680602</v>
      </c>
      <c r="BB24">
        <v>0.89141923365702702</v>
      </c>
      <c r="BC24">
        <v>0.80717093219184</v>
      </c>
      <c r="BD24">
        <v>0.90022574889603701</v>
      </c>
      <c r="BE24">
        <v>0.72098202878913298</v>
      </c>
      <c r="BF24">
        <v>1.34949522233374</v>
      </c>
      <c r="BG24">
        <v>3.59375538897998</v>
      </c>
      <c r="BH24">
        <v>3.2550345763155399</v>
      </c>
      <c r="BI24">
        <v>8.3189668319750503</v>
      </c>
      <c r="BJ24">
        <v>13.4718382316172</v>
      </c>
      <c r="BK24">
        <v>12.8307172245121</v>
      </c>
      <c r="BL24">
        <v>7.6761052319910501</v>
      </c>
      <c r="BM24">
        <v>15.5228824841718</v>
      </c>
      <c r="BN24">
        <v>18.567175852574099</v>
      </c>
      <c r="BO24">
        <v>30.917790780029801</v>
      </c>
      <c r="BP24">
        <v>28.721061459168801</v>
      </c>
      <c r="BQ24">
        <v>25.045793038121001</v>
      </c>
      <c r="BR24">
        <v>33.336509882262803</v>
      </c>
      <c r="BS24">
        <v>28.1176857409814</v>
      </c>
      <c r="BT24">
        <v>27.048882660367401</v>
      </c>
      <c r="BU24">
        <v>42.160438242048301</v>
      </c>
      <c r="BV24">
        <v>68.026071167908995</v>
      </c>
      <c r="BW24">
        <v>27.1636875112262</v>
      </c>
      <c r="BX24">
        <v>21.5039984160926</v>
      </c>
      <c r="BY24">
        <v>22.0204917916789</v>
      </c>
      <c r="BZ24">
        <v>18.868958087784399</v>
      </c>
      <c r="CA24">
        <v>16.643802237872698</v>
      </c>
      <c r="CB24">
        <v>16.1476375944555</v>
      </c>
      <c r="CC24">
        <v>13.997180718766501</v>
      </c>
      <c r="CD24">
        <v>16.3521497895766</v>
      </c>
      <c r="CE24">
        <v>14.9817701755993</v>
      </c>
      <c r="CF24">
        <v>12.926124320759399</v>
      </c>
      <c r="CG24">
        <v>14.3191543720075</v>
      </c>
      <c r="CH24">
        <v>14.458232299241899</v>
      </c>
      <c r="CI24">
        <v>14.919190013912001</v>
      </c>
      <c r="CJ24">
        <v>15.087475002779</v>
      </c>
      <c r="CK24">
        <v>13.999327521834299</v>
      </c>
      <c r="CL24">
        <v>14.127297936296801</v>
      </c>
      <c r="CM24">
        <v>15.106559555409101</v>
      </c>
      <c r="CN24">
        <v>15.623818814458399</v>
      </c>
      <c r="CO24">
        <v>21.334521794439901</v>
      </c>
      <c r="CP24">
        <v>15.3531568183339</v>
      </c>
      <c r="CQ24">
        <v>17.003391826719501</v>
      </c>
      <c r="CR24">
        <v>14.4735904781003</v>
      </c>
      <c r="CS24">
        <v>10.6406637747315</v>
      </c>
      <c r="CT24">
        <v>10.677446447523099</v>
      </c>
    </row>
    <row r="25" spans="1:98" x14ac:dyDescent="0.3">
      <c r="A25" t="s">
        <v>23</v>
      </c>
      <c r="B25">
        <v>0.71233540651062999</v>
      </c>
      <c r="C25">
        <v>0.84911204915598504</v>
      </c>
      <c r="D25">
        <v>0.77232661845130202</v>
      </c>
      <c r="E25">
        <v>1.03051975691444</v>
      </c>
      <c r="F25">
        <v>0.69270263960939704</v>
      </c>
      <c r="G25">
        <v>0.956712922605088</v>
      </c>
      <c r="H25">
        <v>0.99008051472870295</v>
      </c>
      <c r="I25">
        <v>0.94092452539175597</v>
      </c>
      <c r="J25">
        <v>0.95796714712481901</v>
      </c>
      <c r="K25">
        <v>0.91173995821370402</v>
      </c>
      <c r="L25">
        <v>1.0234357701943499</v>
      </c>
      <c r="M25">
        <v>0.93215825245438</v>
      </c>
      <c r="N25">
        <v>0.96137029934159801</v>
      </c>
      <c r="O25">
        <v>0.81288210574972097</v>
      </c>
      <c r="P25">
        <v>1.1845986053154001</v>
      </c>
      <c r="Q25">
        <v>0.818751888912578</v>
      </c>
      <c r="R25">
        <v>1.00363052214244</v>
      </c>
      <c r="S25">
        <v>0.958870370123869</v>
      </c>
      <c r="T25">
        <v>1.13694964350599</v>
      </c>
      <c r="U25">
        <v>0.93230710831051899</v>
      </c>
      <c r="V25">
        <v>1.0851824003901001</v>
      </c>
      <c r="W25">
        <v>0.81403923532270395</v>
      </c>
      <c r="X25">
        <v>1.2369418763454501</v>
      </c>
      <c r="Y25">
        <v>0.77528271842816199</v>
      </c>
      <c r="Z25">
        <v>1.1668608610693301</v>
      </c>
      <c r="AA25">
        <v>0.77195535732662401</v>
      </c>
      <c r="AB25">
        <v>0.87802598875483995</v>
      </c>
      <c r="AC25">
        <v>0.83047094555938505</v>
      </c>
      <c r="AD25">
        <v>0.86531493790272795</v>
      </c>
      <c r="AE25">
        <v>0.82122064926341598</v>
      </c>
      <c r="AF25">
        <v>0.99265950217862198</v>
      </c>
      <c r="AG25">
        <v>0.846153134687331</v>
      </c>
      <c r="AH25">
        <v>0.69444191561533897</v>
      </c>
      <c r="AI25">
        <v>0.93527372480431603</v>
      </c>
      <c r="AJ25">
        <v>1.2542006639544001</v>
      </c>
      <c r="AK25">
        <v>0.71465563920903197</v>
      </c>
      <c r="AL25">
        <v>0.71626155595836005</v>
      </c>
      <c r="AM25">
        <v>0.81913807732158395</v>
      </c>
      <c r="AN25">
        <v>0.40351602040958401</v>
      </c>
      <c r="AO25">
        <v>0.61070723997934695</v>
      </c>
      <c r="AP25">
        <v>0.56868813987142597</v>
      </c>
      <c r="AQ25">
        <v>0.52432718279208701</v>
      </c>
      <c r="AR25">
        <v>0.64277577728011503</v>
      </c>
      <c r="AS25">
        <v>0.75748389873881605</v>
      </c>
      <c r="AT25">
        <v>0.58929447480869401</v>
      </c>
      <c r="AU25">
        <v>0.75269546193326597</v>
      </c>
      <c r="AV25">
        <v>0.79872562404218805</v>
      </c>
      <c r="AW25">
        <v>0.74896348449956496</v>
      </c>
      <c r="AX25">
        <v>0.78584569613247302</v>
      </c>
      <c r="AY25">
        <v>0.75882437298056604</v>
      </c>
      <c r="AZ25">
        <v>0.86199436927936801</v>
      </c>
      <c r="BA25">
        <v>0.76259020028803404</v>
      </c>
      <c r="BB25">
        <v>0.87655682003327895</v>
      </c>
      <c r="BC25">
        <v>0.79351015484610599</v>
      </c>
      <c r="BD25">
        <v>0.87758425022309305</v>
      </c>
      <c r="BE25">
        <v>0.70567160082531</v>
      </c>
      <c r="BF25">
        <v>1.3365743217545201</v>
      </c>
      <c r="BG25">
        <v>3.57702205479448</v>
      </c>
      <c r="BH25">
        <v>3.11499728997833</v>
      </c>
      <c r="BI25">
        <v>7.1013948747844804</v>
      </c>
      <c r="BJ25">
        <v>13.2097939742706</v>
      </c>
      <c r="BK25">
        <v>12.982146484610601</v>
      </c>
      <c r="BL25">
        <v>7.2587891960719801</v>
      </c>
      <c r="BM25">
        <v>14.631678235215899</v>
      </c>
      <c r="BN25">
        <v>18.163663550743902</v>
      </c>
      <c r="BO25">
        <v>30.403434488035298</v>
      </c>
      <c r="BP25">
        <v>28.3766392255516</v>
      </c>
      <c r="BQ25">
        <v>24.8886979433187</v>
      </c>
      <c r="BR25">
        <v>32.654919745475297</v>
      </c>
      <c r="BS25">
        <v>28.008036220353599</v>
      </c>
      <c r="BT25">
        <v>26.653056538967601</v>
      </c>
      <c r="BU25">
        <v>40.8879386951049</v>
      </c>
      <c r="BV25">
        <v>63.116139623335997</v>
      </c>
      <c r="BW25">
        <v>26.7502169283858</v>
      </c>
      <c r="BX25">
        <v>20.505922307288699</v>
      </c>
      <c r="BY25">
        <v>21.524627737282</v>
      </c>
      <c r="BZ25">
        <v>19.0970971669825</v>
      </c>
      <c r="CA25">
        <v>16.2737468070769</v>
      </c>
      <c r="CB25">
        <v>15.955069958990199</v>
      </c>
      <c r="CC25">
        <v>13.3074209829627</v>
      </c>
      <c r="CD25">
        <v>16.355421402429801</v>
      </c>
      <c r="CE25">
        <v>14.759873775398001</v>
      </c>
      <c r="CF25">
        <v>12.6548423347531</v>
      </c>
      <c r="CG25">
        <v>13.861495652476499</v>
      </c>
      <c r="CH25">
        <v>14.1630332970878</v>
      </c>
      <c r="CI25">
        <v>14.3634460705401</v>
      </c>
      <c r="CJ25">
        <v>14.9766189390373</v>
      </c>
      <c r="CK25">
        <v>13.692709829102901</v>
      </c>
      <c r="CL25">
        <v>13.4881853165501</v>
      </c>
      <c r="CM25">
        <v>15.0074550812467</v>
      </c>
      <c r="CN25">
        <v>15.270546802646701</v>
      </c>
      <c r="CO25">
        <v>21.326610132040599</v>
      </c>
      <c r="CP25">
        <v>14.707553518860101</v>
      </c>
      <c r="CQ25">
        <v>16.299141262537599</v>
      </c>
      <c r="CR25">
        <v>13.953645241482301</v>
      </c>
      <c r="CS25">
        <v>10.01977001315</v>
      </c>
      <c r="CT25">
        <v>10.531660306066099</v>
      </c>
    </row>
    <row r="26" spans="1:98" x14ac:dyDescent="0.3">
      <c r="A26" t="s">
        <v>24</v>
      </c>
      <c r="B26">
        <v>4.3082083328292304</v>
      </c>
      <c r="C26">
        <v>7.2034835965820001</v>
      </c>
      <c r="D26">
        <v>4.6194803497417203</v>
      </c>
      <c r="E26">
        <v>7.7987479086928797</v>
      </c>
      <c r="F26">
        <v>5.5590215353624002</v>
      </c>
      <c r="G26">
        <v>7.3598353480245198</v>
      </c>
      <c r="H26">
        <v>7.2169422165752399</v>
      </c>
      <c r="I26">
        <v>5.7826003536363597</v>
      </c>
      <c r="J26">
        <v>7.6577816101747596</v>
      </c>
      <c r="K26">
        <v>6.5299108281462601</v>
      </c>
      <c r="L26">
        <v>6.0598330049119404</v>
      </c>
      <c r="M26">
        <v>6.8461666904229403</v>
      </c>
      <c r="N26">
        <v>10.0001422972699</v>
      </c>
      <c r="O26">
        <v>6.51119474387185</v>
      </c>
      <c r="P26">
        <v>7.3484936288796101</v>
      </c>
      <c r="Q26">
        <v>6.7957343932336602</v>
      </c>
      <c r="R26">
        <v>7.1963251934122603</v>
      </c>
      <c r="S26">
        <v>6.74732337523489</v>
      </c>
      <c r="T26">
        <v>6.4168437859618104</v>
      </c>
      <c r="U26">
        <v>7.0737273204084001</v>
      </c>
      <c r="V26">
        <v>9.8751932995219693</v>
      </c>
      <c r="W26">
        <v>5.9505727555274301</v>
      </c>
      <c r="X26">
        <v>10.9601083023579</v>
      </c>
      <c r="Y26">
        <v>6.3720513810495802</v>
      </c>
      <c r="Z26">
        <v>6.8500759654869698</v>
      </c>
      <c r="AA26">
        <v>7.4355976592535802</v>
      </c>
      <c r="AB26">
        <v>4.8327454495478097</v>
      </c>
      <c r="AC26">
        <v>7.4210713839695597</v>
      </c>
      <c r="AD26">
        <v>4.6648386926453904</v>
      </c>
      <c r="AE26">
        <v>5.5351383401231997</v>
      </c>
      <c r="AF26">
        <v>6.0845983446998</v>
      </c>
      <c r="AG26">
        <v>6.3134985364053504</v>
      </c>
      <c r="AH26">
        <v>5.7026015328948896</v>
      </c>
      <c r="AI26">
        <v>6.4439977775131903</v>
      </c>
      <c r="AJ26">
        <v>9.3144298577457807</v>
      </c>
      <c r="AK26">
        <v>5.7964426540123499</v>
      </c>
      <c r="AL26">
        <v>4.0941482170406598</v>
      </c>
      <c r="AM26">
        <v>5.7045419363658203</v>
      </c>
      <c r="AN26">
        <v>3.3768438997343302</v>
      </c>
      <c r="AO26">
        <v>5.4109037313308503</v>
      </c>
      <c r="AP26">
        <v>5.6400379421623601</v>
      </c>
      <c r="AQ26">
        <v>3.3075047737545402</v>
      </c>
      <c r="AR26">
        <v>4.3780138535092501</v>
      </c>
      <c r="AS26">
        <v>5.0728610620818397</v>
      </c>
      <c r="AT26">
        <v>4.7337948214843504</v>
      </c>
      <c r="AU26">
        <v>5.4823685257791803</v>
      </c>
      <c r="AV26">
        <v>5.0154384520236199</v>
      </c>
      <c r="AW26">
        <v>4.7722004648569598</v>
      </c>
      <c r="AX26">
        <v>4.8294306595080698</v>
      </c>
      <c r="AY26">
        <v>7.32908007624955</v>
      </c>
      <c r="AZ26">
        <v>5.7003074378448604</v>
      </c>
      <c r="BA26">
        <v>5.3061699491129604</v>
      </c>
      <c r="BB26">
        <v>5.3572695413717701</v>
      </c>
      <c r="BC26">
        <v>5.9396697670609404</v>
      </c>
      <c r="BD26">
        <v>6.2150159844789599</v>
      </c>
      <c r="BE26">
        <v>5.4693667819939096</v>
      </c>
      <c r="BF26">
        <v>9.0789700473473705</v>
      </c>
      <c r="BG26">
        <v>24.724407409916601</v>
      </c>
      <c r="BH26">
        <v>20.255836857034701</v>
      </c>
      <c r="BI26">
        <v>80.203552314007595</v>
      </c>
      <c r="BJ26">
        <v>97.513147754607999</v>
      </c>
      <c r="BK26">
        <v>85.505544360904906</v>
      </c>
      <c r="BL26">
        <v>53.739949864009702</v>
      </c>
      <c r="BM26">
        <v>110.80023734450801</v>
      </c>
      <c r="BN26">
        <v>126.309113307491</v>
      </c>
      <c r="BO26">
        <v>163.18613398244599</v>
      </c>
      <c r="BP26">
        <v>179.21324941491699</v>
      </c>
      <c r="BQ26">
        <v>143.48288854712001</v>
      </c>
      <c r="BR26">
        <v>225.68218629232001</v>
      </c>
      <c r="BS26">
        <v>152.15498855336801</v>
      </c>
      <c r="BT26">
        <v>161.702930850927</v>
      </c>
      <c r="BU26">
        <v>283.775841742409</v>
      </c>
      <c r="BV26">
        <v>522.20006646746594</v>
      </c>
      <c r="BW26">
        <v>158.818629489599</v>
      </c>
      <c r="BX26">
        <v>126.068927958722</v>
      </c>
      <c r="BY26">
        <v>127.0422418429</v>
      </c>
      <c r="BZ26">
        <v>105.777304219697</v>
      </c>
      <c r="CA26">
        <v>98.344900162875902</v>
      </c>
      <c r="CB26">
        <v>96.060286238424496</v>
      </c>
      <c r="CC26">
        <v>101.420265688745</v>
      </c>
      <c r="CD26">
        <v>97.282775088744202</v>
      </c>
      <c r="CE26">
        <v>87.754874645511705</v>
      </c>
      <c r="CF26">
        <v>86.836644913540496</v>
      </c>
      <c r="CG26">
        <v>106.354783993841</v>
      </c>
      <c r="CH26">
        <v>84.173142741142001</v>
      </c>
      <c r="CI26">
        <v>100.995135700955</v>
      </c>
      <c r="CJ26">
        <v>96.634665825062001</v>
      </c>
      <c r="CK26">
        <v>84.118098660935303</v>
      </c>
      <c r="CL26">
        <v>89.277372267052598</v>
      </c>
      <c r="CM26">
        <v>101.730548867831</v>
      </c>
      <c r="CN26">
        <v>140.392788850795</v>
      </c>
      <c r="CO26">
        <v>145.38077080751401</v>
      </c>
      <c r="CP26">
        <v>111.765423742319</v>
      </c>
      <c r="CQ26">
        <v>109.30552048807201</v>
      </c>
      <c r="CR26">
        <v>107.52991826843299</v>
      </c>
      <c r="CS26">
        <v>71.132498550916793</v>
      </c>
      <c r="CT26">
        <v>63.092992000953203</v>
      </c>
    </row>
    <row r="27" spans="1:98" x14ac:dyDescent="0.3">
      <c r="A27" t="s">
        <v>25</v>
      </c>
      <c r="B27">
        <v>2.9378368247507201</v>
      </c>
      <c r="C27">
        <v>3.4590770001765101</v>
      </c>
      <c r="D27">
        <v>3.1561089529626098</v>
      </c>
      <c r="E27">
        <v>4.4272985377331597</v>
      </c>
      <c r="F27">
        <v>2.9434800846922098</v>
      </c>
      <c r="G27">
        <v>3.9631873825080102</v>
      </c>
      <c r="H27">
        <v>4.0725388212593696</v>
      </c>
      <c r="I27">
        <v>3.7645563315946502</v>
      </c>
      <c r="J27">
        <v>3.93012551563986</v>
      </c>
      <c r="K27">
        <v>3.8651218509491398</v>
      </c>
      <c r="L27">
        <v>4.1023272557862702</v>
      </c>
      <c r="M27">
        <v>3.91214503817451</v>
      </c>
      <c r="N27">
        <v>4.03828156381054</v>
      </c>
      <c r="O27">
        <v>3.3699097763836598</v>
      </c>
      <c r="P27">
        <v>4.7898378790513796</v>
      </c>
      <c r="Q27">
        <v>3.5040397928970801</v>
      </c>
      <c r="R27">
        <v>4.2448972914914798</v>
      </c>
      <c r="S27">
        <v>4.0596020976802603</v>
      </c>
      <c r="T27">
        <v>4.5551612495067397</v>
      </c>
      <c r="U27">
        <v>3.7964725569539999</v>
      </c>
      <c r="V27">
        <v>4.5695766297056899</v>
      </c>
      <c r="W27">
        <v>3.40383925273425</v>
      </c>
      <c r="X27">
        <v>5.2332678068484499</v>
      </c>
      <c r="Y27">
        <v>3.2069354216410502</v>
      </c>
      <c r="Z27">
        <v>4.6750027030041101</v>
      </c>
      <c r="AA27">
        <v>3.3592651023811002</v>
      </c>
      <c r="AB27">
        <v>3.4771827951890799</v>
      </c>
      <c r="AC27">
        <v>3.4756992997537099</v>
      </c>
      <c r="AD27">
        <v>3.4318723952656298</v>
      </c>
      <c r="AE27">
        <v>3.39329492693185</v>
      </c>
      <c r="AF27">
        <v>4.1264140497163897</v>
      </c>
      <c r="AG27">
        <v>3.5035018767847799</v>
      </c>
      <c r="AH27">
        <v>2.8947619543270502</v>
      </c>
      <c r="AI27">
        <v>3.7553274723616199</v>
      </c>
      <c r="AJ27">
        <v>5.0835747821093902</v>
      </c>
      <c r="AK27">
        <v>3.0736119408848399</v>
      </c>
      <c r="AL27">
        <v>2.8920968780330498</v>
      </c>
      <c r="AM27">
        <v>3.3404399295243801</v>
      </c>
      <c r="AN27">
        <v>1.7003073458653899</v>
      </c>
      <c r="AO27">
        <v>2.55738961668479</v>
      </c>
      <c r="AP27">
        <v>2.4494978218057799</v>
      </c>
      <c r="AQ27">
        <v>2.1384598363318701</v>
      </c>
      <c r="AR27">
        <v>2.6986548840672002</v>
      </c>
      <c r="AS27">
        <v>3.1773054508430101</v>
      </c>
      <c r="AT27">
        <v>2.5150609124334098</v>
      </c>
      <c r="AU27">
        <v>3.1711075715117998</v>
      </c>
      <c r="AV27">
        <v>3.3078136218079299</v>
      </c>
      <c r="AW27">
        <v>3.0076604541182301</v>
      </c>
      <c r="AX27">
        <v>3.1427127219703399</v>
      </c>
      <c r="AY27">
        <v>3.2012671418558099</v>
      </c>
      <c r="AZ27">
        <v>3.5545821199401302</v>
      </c>
      <c r="BA27">
        <v>3.1670531604672201</v>
      </c>
      <c r="BB27">
        <v>3.5656769346281001</v>
      </c>
      <c r="BC27">
        <v>3.22868372876736</v>
      </c>
      <c r="BD27">
        <v>3.6009029955841401</v>
      </c>
      <c r="BE27">
        <v>2.8839281151565301</v>
      </c>
      <c r="BF27">
        <v>5.3979808893349803</v>
      </c>
      <c r="BG27">
        <v>14.375021555919901</v>
      </c>
      <c r="BH27">
        <v>13.020138305262099</v>
      </c>
      <c r="BI27">
        <v>33.275867327900201</v>
      </c>
      <c r="BJ27">
        <v>53.8873529264688</v>
      </c>
      <c r="BK27">
        <v>51.322868898048696</v>
      </c>
      <c r="BL27">
        <v>30.7044209279642</v>
      </c>
      <c r="BM27">
        <v>62.091529936687401</v>
      </c>
      <c r="BN27">
        <v>74.268703410296496</v>
      </c>
      <c r="BO27">
        <v>123.671163120119</v>
      </c>
      <c r="BP27">
        <v>114.88424583667501</v>
      </c>
      <c r="BQ27">
        <v>100.183172152484</v>
      </c>
      <c r="BR27">
        <v>133.34603952905101</v>
      </c>
      <c r="BS27">
        <v>112.47074296392501</v>
      </c>
      <c r="BT27">
        <v>108.19553064146901</v>
      </c>
      <c r="BU27">
        <v>168.641752968193</v>
      </c>
      <c r="BV27">
        <v>272.10428467163598</v>
      </c>
      <c r="BW27">
        <v>108.65475004490401</v>
      </c>
      <c r="BX27">
        <v>86.015993664370498</v>
      </c>
      <c r="BY27">
        <v>88.081967166715799</v>
      </c>
      <c r="BZ27">
        <v>75.475832351137797</v>
      </c>
      <c r="CA27">
        <v>66.575208951490893</v>
      </c>
      <c r="CB27">
        <v>64.590550377822296</v>
      </c>
      <c r="CC27">
        <v>55.988722875066102</v>
      </c>
      <c r="CD27">
        <v>65.4085991583067</v>
      </c>
      <c r="CE27">
        <v>59.927080702397397</v>
      </c>
      <c r="CF27">
        <v>51.704497283037902</v>
      </c>
      <c r="CG27">
        <v>57.276617488030297</v>
      </c>
      <c r="CH27">
        <v>57.832929196967598</v>
      </c>
      <c r="CI27">
        <v>59.676760055648103</v>
      </c>
      <c r="CJ27">
        <v>60.349900011116198</v>
      </c>
      <c r="CK27">
        <v>55.997310087337297</v>
      </c>
      <c r="CL27">
        <v>56.509191745187302</v>
      </c>
      <c r="CM27">
        <v>60.426238221636702</v>
      </c>
      <c r="CN27">
        <v>62.495275257833796</v>
      </c>
      <c r="CO27">
        <v>85.338087177759704</v>
      </c>
      <c r="CP27">
        <v>61.412627273335701</v>
      </c>
      <c r="CQ27">
        <v>68.013567306878301</v>
      </c>
      <c r="CR27">
        <v>57.8943619124015</v>
      </c>
      <c r="CS27">
        <v>42.562655098926001</v>
      </c>
      <c r="CT27">
        <v>42.709785790092702</v>
      </c>
    </row>
    <row r="28" spans="1:98" x14ac:dyDescent="0.3">
      <c r="A28" t="s">
        <v>26</v>
      </c>
      <c r="B28">
        <v>2.8493416260425199</v>
      </c>
      <c r="C28">
        <v>3.3964481966239402</v>
      </c>
      <c r="D28">
        <v>3.0893064738052001</v>
      </c>
      <c r="E28">
        <v>4.1220790276577599</v>
      </c>
      <c r="F28">
        <v>2.7708105584375899</v>
      </c>
      <c r="G28">
        <v>3.8268516904203498</v>
      </c>
      <c r="H28">
        <v>3.96032205891481</v>
      </c>
      <c r="I28">
        <v>3.7636981015670199</v>
      </c>
      <c r="J28">
        <v>3.8318685884992698</v>
      </c>
      <c r="K28">
        <v>3.6469598328548098</v>
      </c>
      <c r="L28">
        <v>4.09374308077743</v>
      </c>
      <c r="M28">
        <v>3.72863300981752</v>
      </c>
      <c r="N28">
        <v>3.8454811973663898</v>
      </c>
      <c r="O28">
        <v>3.2515284229988799</v>
      </c>
      <c r="P28">
        <v>4.73839442126161</v>
      </c>
      <c r="Q28">
        <v>3.2750075556503102</v>
      </c>
      <c r="R28">
        <v>4.0145220885697803</v>
      </c>
      <c r="S28">
        <v>3.8354814804954702</v>
      </c>
      <c r="T28">
        <v>4.5477985740239601</v>
      </c>
      <c r="U28">
        <v>3.7292284332420702</v>
      </c>
      <c r="V28">
        <v>4.3407296015604304</v>
      </c>
      <c r="W28">
        <v>3.25615694129081</v>
      </c>
      <c r="X28">
        <v>4.9477675053818304</v>
      </c>
      <c r="Y28">
        <v>3.10113087371264</v>
      </c>
      <c r="Z28">
        <v>4.6674434442773496</v>
      </c>
      <c r="AA28">
        <v>3.0878214293064898</v>
      </c>
      <c r="AB28">
        <v>3.5121039550193598</v>
      </c>
      <c r="AC28">
        <v>3.3218837822375402</v>
      </c>
      <c r="AD28">
        <v>3.46125975161091</v>
      </c>
      <c r="AE28">
        <v>3.2848825970536599</v>
      </c>
      <c r="AF28">
        <v>3.9706380087144901</v>
      </c>
      <c r="AG28">
        <v>3.38461253874932</v>
      </c>
      <c r="AH28">
        <v>2.7777676624613501</v>
      </c>
      <c r="AI28">
        <v>3.7410948992172601</v>
      </c>
      <c r="AJ28">
        <v>5.0168026558176004</v>
      </c>
      <c r="AK28">
        <v>2.8586225568361301</v>
      </c>
      <c r="AL28">
        <v>2.8650462238334402</v>
      </c>
      <c r="AM28">
        <v>3.27655230928633</v>
      </c>
      <c r="AN28">
        <v>1.61406408163833</v>
      </c>
      <c r="AO28">
        <v>2.44282895991739</v>
      </c>
      <c r="AP28">
        <v>2.2747525594856999</v>
      </c>
      <c r="AQ28">
        <v>2.09730873116834</v>
      </c>
      <c r="AR28">
        <v>2.5711031091204601</v>
      </c>
      <c r="AS28">
        <v>3.0299355949552602</v>
      </c>
      <c r="AT28">
        <v>2.3571778992347698</v>
      </c>
      <c r="AU28">
        <v>3.0107818477330599</v>
      </c>
      <c r="AV28">
        <v>3.19490249616875</v>
      </c>
      <c r="AW28">
        <v>2.9958539379982598</v>
      </c>
      <c r="AX28">
        <v>3.1433827845298898</v>
      </c>
      <c r="AY28">
        <v>3.0352974919222602</v>
      </c>
      <c r="AZ28">
        <v>3.4479774771174698</v>
      </c>
      <c r="BA28">
        <v>3.0503608011521299</v>
      </c>
      <c r="BB28">
        <v>3.50622728013311</v>
      </c>
      <c r="BC28">
        <v>3.1740406193844199</v>
      </c>
      <c r="BD28">
        <v>3.51033700089237</v>
      </c>
      <c r="BE28">
        <v>2.82268640330124</v>
      </c>
      <c r="BF28">
        <v>5.3462972870180998</v>
      </c>
      <c r="BG28">
        <v>14.3080882191779</v>
      </c>
      <c r="BH28">
        <v>12.459989159913301</v>
      </c>
      <c r="BI28">
        <v>28.4055794991379</v>
      </c>
      <c r="BJ28">
        <v>52.839175897082598</v>
      </c>
      <c r="BK28">
        <v>51.928585938442701</v>
      </c>
      <c r="BL28">
        <v>29.035156784287899</v>
      </c>
      <c r="BM28">
        <v>58.526712940863902</v>
      </c>
      <c r="BN28">
        <v>72.654654202975905</v>
      </c>
      <c r="BO28">
        <v>121.61373795214099</v>
      </c>
      <c r="BP28">
        <v>113.506556902206</v>
      </c>
      <c r="BQ28">
        <v>99.5547917732748</v>
      </c>
      <c r="BR28">
        <v>130.61967898190099</v>
      </c>
      <c r="BS28">
        <v>112.032144881414</v>
      </c>
      <c r="BT28">
        <v>106.61222615587</v>
      </c>
      <c r="BU28">
        <v>163.551754780419</v>
      </c>
      <c r="BV28">
        <v>252.46455849334399</v>
      </c>
      <c r="BW28">
        <v>107.000867713543</v>
      </c>
      <c r="BX28">
        <v>82.023689229154897</v>
      </c>
      <c r="BY28">
        <v>86.098510949128297</v>
      </c>
      <c r="BZ28">
        <v>76.388388667930201</v>
      </c>
      <c r="CA28">
        <v>65.094987228307602</v>
      </c>
      <c r="CB28">
        <v>63.820279835960903</v>
      </c>
      <c r="CC28">
        <v>53.229683931850801</v>
      </c>
      <c r="CD28">
        <v>65.421685609719205</v>
      </c>
      <c r="CE28">
        <v>59.039495101592202</v>
      </c>
      <c r="CF28">
        <v>50.6193693390126</v>
      </c>
      <c r="CG28">
        <v>55.445982609905997</v>
      </c>
      <c r="CH28">
        <v>56.6521331883512</v>
      </c>
      <c r="CI28">
        <v>57.453784282160498</v>
      </c>
      <c r="CJ28">
        <v>59.906475756149497</v>
      </c>
      <c r="CK28">
        <v>54.770839316411603</v>
      </c>
      <c r="CL28">
        <v>53.952741266200498</v>
      </c>
      <c r="CM28">
        <v>60.029820324987099</v>
      </c>
      <c r="CN28">
        <v>61.082187210586902</v>
      </c>
      <c r="CO28">
        <v>85.306440528162398</v>
      </c>
      <c r="CP28">
        <v>58.830214075440502</v>
      </c>
      <c r="CQ28">
        <v>65.196565050150497</v>
      </c>
      <c r="CR28">
        <v>55.814580965929302</v>
      </c>
      <c r="CS28">
        <v>40.079080052600098</v>
      </c>
      <c r="CT28">
        <v>42.126641224264503</v>
      </c>
    </row>
    <row r="29" spans="1:98" x14ac:dyDescent="0.3">
      <c r="A29" t="s">
        <v>32</v>
      </c>
      <c r="B29">
        <v>0.44939223900000003</v>
      </c>
      <c r="C29">
        <v>0.44939223900000003</v>
      </c>
      <c r="D29">
        <v>0.44894941300000002</v>
      </c>
      <c r="E29">
        <v>0.59425534599999996</v>
      </c>
      <c r="F29">
        <v>0.399936554</v>
      </c>
      <c r="G29">
        <v>0.50323377899999999</v>
      </c>
      <c r="H29">
        <v>0.53251963199999997</v>
      </c>
      <c r="I29">
        <v>0.50323377899999999</v>
      </c>
      <c r="J29">
        <v>0.50323377899999999</v>
      </c>
      <c r="K29">
        <v>0.50323377899999999</v>
      </c>
      <c r="L29">
        <v>0.53201108200000002</v>
      </c>
      <c r="M29">
        <v>0.50323377899999999</v>
      </c>
      <c r="N29">
        <v>0.50323377899999999</v>
      </c>
      <c r="O29">
        <v>0.44894941300000002</v>
      </c>
      <c r="P29">
        <v>0.59425534599999996</v>
      </c>
      <c r="Q29">
        <v>0.44894941300000002</v>
      </c>
      <c r="R29">
        <v>0.53201108200000002</v>
      </c>
      <c r="S29">
        <v>0.53201108200000002</v>
      </c>
      <c r="T29">
        <v>0.59425534599999996</v>
      </c>
      <c r="U29">
        <v>0.50323377899999999</v>
      </c>
      <c r="V29">
        <v>0.59425534599999996</v>
      </c>
      <c r="W29">
        <v>0.44894941300000002</v>
      </c>
      <c r="X29">
        <v>0.66228851600000005</v>
      </c>
      <c r="Y29">
        <v>0.44894941300000002</v>
      </c>
      <c r="Z29">
        <v>0.59425534599999996</v>
      </c>
      <c r="AA29">
        <v>0.44894941300000002</v>
      </c>
      <c r="AB29">
        <v>0.44939223900000003</v>
      </c>
      <c r="AC29">
        <v>0.44939223900000003</v>
      </c>
      <c r="AD29">
        <v>0.44939223900000003</v>
      </c>
      <c r="AE29">
        <v>0.44894941300000002</v>
      </c>
      <c r="AF29">
        <v>0.53201108200000002</v>
      </c>
      <c r="AG29">
        <v>0.44894941300000002</v>
      </c>
      <c r="AH29">
        <v>0.39953381599999999</v>
      </c>
      <c r="AI29">
        <v>0.47522856800000002</v>
      </c>
      <c r="AJ29">
        <v>0.62723254799999995</v>
      </c>
      <c r="AK29">
        <v>0.39953381599999999</v>
      </c>
      <c r="AL29">
        <v>0.39953381599999999</v>
      </c>
      <c r="AM29">
        <v>0.44894941300000002</v>
      </c>
      <c r="AN29">
        <v>0.29572637699999998</v>
      </c>
      <c r="AO29">
        <v>0.376777213</v>
      </c>
      <c r="AP29">
        <v>0.376777213</v>
      </c>
      <c r="AQ29">
        <v>0.33439968599999997</v>
      </c>
      <c r="AR29">
        <v>0.399936554</v>
      </c>
      <c r="AS29">
        <v>0.44894941300000002</v>
      </c>
      <c r="AT29">
        <v>0.376777213</v>
      </c>
      <c r="AU29">
        <v>0.44894941300000002</v>
      </c>
      <c r="AV29">
        <v>0.44894941300000002</v>
      </c>
      <c r="AW29">
        <v>0.44894941300000002</v>
      </c>
      <c r="AX29">
        <v>0.44894941300000002</v>
      </c>
      <c r="AY29">
        <v>0.44894941300000002</v>
      </c>
      <c r="AZ29">
        <v>0.376777213</v>
      </c>
      <c r="BA29">
        <v>0.44894941300000002</v>
      </c>
      <c r="BB29">
        <v>0.47522856800000002</v>
      </c>
      <c r="BC29">
        <v>0.47522856800000002</v>
      </c>
      <c r="BD29">
        <v>0.47522856800000002</v>
      </c>
      <c r="BE29">
        <v>0.44894941300000002</v>
      </c>
      <c r="BF29">
        <v>0.44894941300000002</v>
      </c>
      <c r="BG29">
        <v>0.53201108200000002</v>
      </c>
      <c r="BH29">
        <v>0.81307424100000003</v>
      </c>
      <c r="BI29">
        <v>1.200201638</v>
      </c>
      <c r="BJ29">
        <v>1.9748874890000001</v>
      </c>
      <c r="BK29">
        <v>1.5125919880000001</v>
      </c>
      <c r="BL29">
        <v>1.0404225359999999</v>
      </c>
      <c r="BM29">
        <v>1.8086265969999999</v>
      </c>
      <c r="BN29">
        <v>1.9734137430000001</v>
      </c>
      <c r="BO29">
        <v>2.8809824239999999</v>
      </c>
      <c r="BP29">
        <v>2.8809824239999999</v>
      </c>
      <c r="BQ29">
        <v>2.5469425430000001</v>
      </c>
      <c r="BR29">
        <v>3.3680623299999999</v>
      </c>
      <c r="BS29">
        <v>2.8809824239999999</v>
      </c>
      <c r="BT29">
        <v>2.7664001109999998</v>
      </c>
      <c r="BU29">
        <v>3.8698277910000001</v>
      </c>
      <c r="BV29">
        <v>6.6940258559999997</v>
      </c>
      <c r="BW29">
        <v>2.6558198119999998</v>
      </c>
      <c r="BX29">
        <v>2.247064306</v>
      </c>
      <c r="BY29">
        <v>2.3436582540000002</v>
      </c>
      <c r="BZ29">
        <v>2.247064306</v>
      </c>
      <c r="CA29">
        <v>2.247064306</v>
      </c>
      <c r="CB29">
        <v>2.0619739560000001</v>
      </c>
      <c r="CC29">
        <v>1.8086265969999999</v>
      </c>
      <c r="CD29">
        <v>2.0619739560000001</v>
      </c>
      <c r="CE29">
        <v>1.88950475</v>
      </c>
      <c r="CF29">
        <v>1.5821856839999999</v>
      </c>
      <c r="CG29">
        <v>1.5821856839999999</v>
      </c>
      <c r="CH29">
        <v>1.5821856839999999</v>
      </c>
      <c r="CI29">
        <v>1.5821856839999999</v>
      </c>
      <c r="CJ29">
        <v>1.5821856839999999</v>
      </c>
      <c r="CK29">
        <v>1.3790541089999999</v>
      </c>
      <c r="CL29">
        <v>1.4444654269999999</v>
      </c>
      <c r="CM29">
        <v>1.3790541089999999</v>
      </c>
      <c r="CN29">
        <v>1.4444654269999999</v>
      </c>
      <c r="CO29">
        <v>2.060445487</v>
      </c>
      <c r="CP29">
        <v>1.3790541089999999</v>
      </c>
      <c r="CQ29">
        <v>1.5809633519999999</v>
      </c>
      <c r="CR29">
        <v>1.4444654269999999</v>
      </c>
      <c r="CS29">
        <v>1.091323134</v>
      </c>
      <c r="CT29">
        <v>1.091323134</v>
      </c>
    </row>
    <row r="30" spans="1:98" x14ac:dyDescent="0.3">
      <c r="A30" t="s">
        <v>33</v>
      </c>
      <c r="B30">
        <v>1.92654791752</v>
      </c>
      <c r="C30">
        <v>1.92654791752</v>
      </c>
      <c r="D30">
        <v>1.92403266584</v>
      </c>
      <c r="E30">
        <v>2.7493703652799999</v>
      </c>
      <c r="F30">
        <v>1.64563962672</v>
      </c>
      <c r="G30">
        <v>2.23236786472</v>
      </c>
      <c r="H30">
        <v>2.3987115097599898</v>
      </c>
      <c r="I30">
        <v>2.23236786472</v>
      </c>
      <c r="J30">
        <v>2.23236786472</v>
      </c>
      <c r="K30">
        <v>2.23236786472</v>
      </c>
      <c r="L30">
        <v>2.39582294576</v>
      </c>
      <c r="M30">
        <v>2.23236786472</v>
      </c>
      <c r="N30">
        <v>2.23236786472</v>
      </c>
      <c r="O30">
        <v>1.92403266584</v>
      </c>
      <c r="P30">
        <v>2.7493703652799999</v>
      </c>
      <c r="Q30">
        <v>1.92403266584</v>
      </c>
      <c r="R30">
        <v>2.39582294576</v>
      </c>
      <c r="S30">
        <v>2.39582294576</v>
      </c>
      <c r="T30">
        <v>2.7493703652799999</v>
      </c>
      <c r="U30">
        <v>2.23236786472</v>
      </c>
      <c r="V30">
        <v>2.7493703652799999</v>
      </c>
      <c r="W30">
        <v>1.92403266584</v>
      </c>
      <c r="X30">
        <v>3.1357987708800001</v>
      </c>
      <c r="Y30">
        <v>1.92403266584</v>
      </c>
      <c r="Z30">
        <v>2.7493703652799999</v>
      </c>
      <c r="AA30">
        <v>1.92403266584</v>
      </c>
      <c r="AB30">
        <v>1.92654791752</v>
      </c>
      <c r="AC30">
        <v>1.92654791752</v>
      </c>
      <c r="AD30">
        <v>1.92654791752</v>
      </c>
      <c r="AE30">
        <v>1.92403266584</v>
      </c>
      <c r="AF30">
        <v>2.39582294576</v>
      </c>
      <c r="AG30">
        <v>1.92403266584</v>
      </c>
      <c r="AH30">
        <v>1.6433520748799999</v>
      </c>
      <c r="AI30">
        <v>2.0732982662400001</v>
      </c>
      <c r="AJ30">
        <v>2.93668087263999</v>
      </c>
      <c r="AK30">
        <v>1.6433520748799999</v>
      </c>
      <c r="AL30">
        <v>1.6433520748799999</v>
      </c>
      <c r="AM30">
        <v>1.92403266584</v>
      </c>
      <c r="AN30">
        <v>1.05372582136</v>
      </c>
      <c r="AO30">
        <v>1.5140945698399999</v>
      </c>
      <c r="AP30">
        <v>1.5140945698399999</v>
      </c>
      <c r="AQ30">
        <v>1.27339021647999</v>
      </c>
      <c r="AR30">
        <v>1.64563962672</v>
      </c>
      <c r="AS30">
        <v>1.92403266584</v>
      </c>
      <c r="AT30">
        <v>1.5140945698399999</v>
      </c>
      <c r="AU30">
        <v>1.92403266584</v>
      </c>
      <c r="AV30">
        <v>1.92403266584</v>
      </c>
      <c r="AW30">
        <v>1.92403266584</v>
      </c>
      <c r="AX30">
        <v>1.92403266584</v>
      </c>
      <c r="AY30">
        <v>1.92403266584</v>
      </c>
      <c r="AZ30">
        <v>1.5140945698399999</v>
      </c>
      <c r="BA30">
        <v>1.92403266584</v>
      </c>
      <c r="BB30">
        <v>2.0732982662400001</v>
      </c>
      <c r="BC30">
        <v>2.0732982662400001</v>
      </c>
      <c r="BD30">
        <v>2.0732982662400001</v>
      </c>
      <c r="BE30">
        <v>1.92403266584</v>
      </c>
      <c r="BF30">
        <v>1.92403266584</v>
      </c>
      <c r="BG30">
        <v>2.39582294576</v>
      </c>
      <c r="BH30">
        <v>3.99226168887999</v>
      </c>
      <c r="BI30">
        <v>6.1911453038399902</v>
      </c>
      <c r="BJ30">
        <v>10.591360937519999</v>
      </c>
      <c r="BK30">
        <v>7.9655224918399901</v>
      </c>
      <c r="BL30">
        <v>5.2836000044799896</v>
      </c>
      <c r="BM30">
        <v>9.6469990709599998</v>
      </c>
      <c r="BN30">
        <v>10.58299006024</v>
      </c>
      <c r="BO30">
        <v>15.737980168319901</v>
      </c>
      <c r="BP30">
        <v>15.737980168319901</v>
      </c>
      <c r="BQ30">
        <v>13.84063364424</v>
      </c>
      <c r="BR30">
        <v>18.504594034399901</v>
      </c>
      <c r="BS30">
        <v>15.737980168319901</v>
      </c>
      <c r="BT30">
        <v>15.087152630479901</v>
      </c>
      <c r="BU30">
        <v>21.354621852879902</v>
      </c>
      <c r="BV30">
        <v>37.396066862079998</v>
      </c>
      <c r="BW30">
        <v>14.4590565321599</v>
      </c>
      <c r="BX30">
        <v>12.137325258079899</v>
      </c>
      <c r="BY30">
        <v>12.685978882720001</v>
      </c>
      <c r="BZ30">
        <v>12.137325258079899</v>
      </c>
      <c r="CA30">
        <v>12.137325258079899</v>
      </c>
      <c r="CB30">
        <v>11.086012070080001</v>
      </c>
      <c r="CC30">
        <v>9.6469990709599998</v>
      </c>
      <c r="CD30">
        <v>11.086012070080001</v>
      </c>
      <c r="CE30">
        <v>10.10638698</v>
      </c>
      <c r="CF30">
        <v>8.3608146851199994</v>
      </c>
      <c r="CG30">
        <v>8.3608146851199994</v>
      </c>
      <c r="CH30">
        <v>8.3608146851199994</v>
      </c>
      <c r="CI30">
        <v>8.3608146851199994</v>
      </c>
      <c r="CJ30">
        <v>8.3608146851199994</v>
      </c>
      <c r="CK30">
        <v>7.2070273391199899</v>
      </c>
      <c r="CL30">
        <v>7.5785636253599904</v>
      </c>
      <c r="CM30">
        <v>7.2070273391199899</v>
      </c>
      <c r="CN30">
        <v>7.5785636253599904</v>
      </c>
      <c r="CO30">
        <v>11.07733036616</v>
      </c>
      <c r="CP30">
        <v>7.2070273391199899</v>
      </c>
      <c r="CQ30">
        <v>8.35387183936</v>
      </c>
      <c r="CR30">
        <v>7.5785636253599904</v>
      </c>
      <c r="CS30">
        <v>5.5727154011199902</v>
      </c>
      <c r="CT30">
        <v>5.5727154011199902</v>
      </c>
    </row>
    <row r="31" spans="1:98" x14ac:dyDescent="0.3">
      <c r="A31" t="s">
        <v>34</v>
      </c>
      <c r="B31" s="1">
        <v>45183</v>
      </c>
      <c r="C31" s="1">
        <v>45183.010416666664</v>
      </c>
      <c r="D31" s="1">
        <v>45183.020833333336</v>
      </c>
      <c r="E31" s="1">
        <v>45183.03125</v>
      </c>
      <c r="F31" s="1">
        <v>45183.041666666664</v>
      </c>
      <c r="G31" s="1">
        <v>45183.052083333336</v>
      </c>
      <c r="H31" s="1">
        <v>45183.0625</v>
      </c>
      <c r="I31" s="1">
        <v>45183.072916666664</v>
      </c>
      <c r="J31" s="1">
        <v>45183.083333333336</v>
      </c>
      <c r="K31" s="1">
        <v>45183.09375</v>
      </c>
      <c r="L31" s="1">
        <v>45183.104166666664</v>
      </c>
      <c r="M31" s="1">
        <v>45183.114583333336</v>
      </c>
      <c r="N31" s="1">
        <v>45183.125</v>
      </c>
      <c r="O31" s="1">
        <v>45183.135416666664</v>
      </c>
      <c r="P31" s="1">
        <v>45183.145833333336</v>
      </c>
      <c r="Q31" s="1">
        <v>45183.15625</v>
      </c>
      <c r="R31" s="1">
        <v>45183.166666666664</v>
      </c>
      <c r="S31" s="1">
        <v>45183.177083333336</v>
      </c>
      <c r="T31" s="1">
        <v>45183.1875</v>
      </c>
      <c r="U31" s="1">
        <v>45183.197916666664</v>
      </c>
      <c r="V31" s="1">
        <v>45183.208333333336</v>
      </c>
      <c r="W31" s="1">
        <v>45183.21875</v>
      </c>
      <c r="X31" s="1">
        <v>45183.229166666664</v>
      </c>
      <c r="Y31" s="1">
        <v>45183.239583333336</v>
      </c>
      <c r="Z31" s="1">
        <v>45183.25</v>
      </c>
      <c r="AA31" s="1">
        <v>45183.260416666664</v>
      </c>
      <c r="AB31" s="1">
        <v>45183.270833333336</v>
      </c>
      <c r="AC31" s="1">
        <v>45183.28125</v>
      </c>
      <c r="AD31" s="1">
        <v>45183.291666666664</v>
      </c>
      <c r="AE31" s="1">
        <v>45183.302083333336</v>
      </c>
      <c r="AF31" s="1">
        <v>45183.3125</v>
      </c>
      <c r="AG31" s="1">
        <v>45183.322916666664</v>
      </c>
      <c r="AH31" s="1">
        <v>45183.333333333336</v>
      </c>
      <c r="AI31" s="1">
        <v>45183.34375</v>
      </c>
      <c r="AJ31" s="1">
        <v>45183.354166666664</v>
      </c>
      <c r="AK31" s="1">
        <v>45183.364583333336</v>
      </c>
      <c r="AL31" s="1">
        <v>45183.375</v>
      </c>
      <c r="AM31" s="1">
        <v>45183.385416666664</v>
      </c>
      <c r="AN31" s="1">
        <v>45183.395833333336</v>
      </c>
      <c r="AO31" s="1">
        <v>45183.40625</v>
      </c>
      <c r="AP31" s="1">
        <v>45183.416666666664</v>
      </c>
      <c r="AQ31" s="1">
        <v>45183.427083333336</v>
      </c>
      <c r="AR31" s="1">
        <v>45183.4375</v>
      </c>
      <c r="AS31" s="1">
        <v>45183.447916666664</v>
      </c>
      <c r="AT31" s="1">
        <v>45183.458333333336</v>
      </c>
      <c r="AU31" s="1">
        <v>45183.46875</v>
      </c>
      <c r="AV31" s="1">
        <v>45183.479166666664</v>
      </c>
      <c r="AW31" s="1">
        <v>45183.489583333336</v>
      </c>
      <c r="AX31" s="1">
        <v>45183.5</v>
      </c>
      <c r="AY31" s="1">
        <v>45183.510416666664</v>
      </c>
      <c r="AZ31" s="1">
        <v>45183.520833333336</v>
      </c>
      <c r="BA31" s="1">
        <v>45183.53125</v>
      </c>
      <c r="BB31" s="1">
        <v>45183.541666666664</v>
      </c>
      <c r="BC31" s="1">
        <v>45183.552083333336</v>
      </c>
      <c r="BD31" s="1">
        <v>45183.5625</v>
      </c>
      <c r="BE31" s="1">
        <v>45183.572916666664</v>
      </c>
      <c r="BF31" s="1">
        <v>45183.583333333336</v>
      </c>
      <c r="BG31" s="1">
        <v>45183.59375</v>
      </c>
      <c r="BH31" s="1">
        <v>45183.604166666664</v>
      </c>
      <c r="BI31" s="1">
        <v>45183.614583333336</v>
      </c>
      <c r="BJ31" s="1">
        <v>45183.625</v>
      </c>
      <c r="BK31" s="1">
        <v>45183.635416666664</v>
      </c>
      <c r="BL31" s="1">
        <v>45183.645833333336</v>
      </c>
      <c r="BM31" s="1">
        <v>45183.65625</v>
      </c>
      <c r="BN31" s="1">
        <v>45183.666666666664</v>
      </c>
      <c r="BO31" s="1">
        <v>45183.677083333336</v>
      </c>
      <c r="BP31" s="1">
        <v>45183.6875</v>
      </c>
      <c r="BQ31" s="1">
        <v>45183.697916666664</v>
      </c>
      <c r="BR31" s="1">
        <v>45183.708333333336</v>
      </c>
      <c r="BS31" s="1">
        <v>45183.71875</v>
      </c>
      <c r="BT31" s="1">
        <v>45183.729166666664</v>
      </c>
      <c r="BU31" s="1">
        <v>45183.739583333336</v>
      </c>
      <c r="BV31" s="1">
        <v>45183.75</v>
      </c>
      <c r="BW31" s="1">
        <v>45183.760416666664</v>
      </c>
      <c r="BX31" s="1">
        <v>45183.770833333336</v>
      </c>
      <c r="BY31" s="1">
        <v>45183.78125</v>
      </c>
      <c r="BZ31" s="1">
        <v>45183.791666666664</v>
      </c>
      <c r="CA31" s="1">
        <v>45183.802083333336</v>
      </c>
      <c r="CB31" s="1">
        <v>45183.8125</v>
      </c>
      <c r="CC31" s="1">
        <v>45183.822916666664</v>
      </c>
      <c r="CD31" s="1">
        <v>45183.833333333336</v>
      </c>
      <c r="CE31" s="1">
        <v>45183.84375</v>
      </c>
      <c r="CF31" s="1">
        <v>45183.854166666664</v>
      </c>
      <c r="CG31" s="1">
        <v>45183.864583333336</v>
      </c>
      <c r="CH31" s="1">
        <v>45183.875</v>
      </c>
      <c r="CI31" s="1">
        <v>45183.885416666664</v>
      </c>
      <c r="CJ31" s="1">
        <v>45183.895833333336</v>
      </c>
      <c r="CK31" s="1">
        <v>45183.90625</v>
      </c>
      <c r="CL31" s="1">
        <v>45183.916666666664</v>
      </c>
      <c r="CM31" s="1">
        <v>45183.927083333336</v>
      </c>
      <c r="CN31" s="1">
        <v>45183.9375</v>
      </c>
      <c r="CO31" s="1">
        <v>45183.947916666664</v>
      </c>
      <c r="CP31" s="1">
        <v>45183.958333333336</v>
      </c>
      <c r="CQ31" s="1">
        <v>45183.96875</v>
      </c>
      <c r="CR31" s="1">
        <v>45183.979166666664</v>
      </c>
      <c r="CS31" s="1">
        <v>45183.989583333336</v>
      </c>
      <c r="CT31" s="1">
        <v>45184</v>
      </c>
    </row>
    <row r="33" spans="1:28" x14ac:dyDescent="0.3">
      <c r="A33" s="2"/>
      <c r="B33" s="2"/>
      <c r="C33" s="2" t="s">
        <v>27</v>
      </c>
      <c r="E33" t="s">
        <v>28</v>
      </c>
      <c r="F33" t="s">
        <v>29</v>
      </c>
      <c r="G33" t="s">
        <v>30</v>
      </c>
      <c r="H33" t="s">
        <v>31</v>
      </c>
    </row>
    <row r="34" spans="1:28" x14ac:dyDescent="0.3">
      <c r="A34" s="2" t="str">
        <f>A2</f>
        <v>max_amp</v>
      </c>
      <c r="B34" s="2">
        <f>MAX(B2:CU2)</f>
        <v>0.50996100240963405</v>
      </c>
      <c r="C34" s="3">
        <f>_xlfn.XLOOKUP(MAX(B2:CU2), B2:CU2, $B$1:$CU$1)</f>
        <v>45183.75</v>
      </c>
      <c r="E34" s="1">
        <v>45183</v>
      </c>
      <c r="F34">
        <v>4.2072347000285497E-3</v>
      </c>
      <c r="G34">
        <v>2.8689812741706298E-3</v>
      </c>
      <c r="H34">
        <v>2.7825601816821401E-3</v>
      </c>
      <c r="U34" t="s">
        <v>0</v>
      </c>
      <c r="V34" s="2">
        <v>0.50996100240963405</v>
      </c>
    </row>
    <row r="35" spans="1:28" x14ac:dyDescent="0.3">
      <c r="A35" s="2" t="str">
        <f t="shared" ref="A35:A59" si="0">A3</f>
        <v>mean_amp</v>
      </c>
      <c r="B35" s="2">
        <f t="shared" ref="B35:B60" si="1">MAX(B3:CU3)</f>
        <v>0.26572684049964401</v>
      </c>
      <c r="C35" s="3">
        <f t="shared" ref="C35:C60" si="2">_xlfn.XLOOKUP(MAX(B3:CU3), B3:CU3, $B$1:$CU$1)</f>
        <v>45183.75</v>
      </c>
      <c r="E35" s="1">
        <v>45183.010416666664</v>
      </c>
      <c r="F35">
        <v>7.0346519497871103E-3</v>
      </c>
      <c r="G35">
        <v>3.3780048829848801E-3</v>
      </c>
      <c r="H35">
        <v>3.31684394201556E-3</v>
      </c>
      <c r="U35" t="s">
        <v>1</v>
      </c>
      <c r="V35" s="2">
        <v>0.26572684049964401</v>
      </c>
    </row>
    <row r="36" spans="1:28" x14ac:dyDescent="0.3">
      <c r="A36" s="2" t="str">
        <f t="shared" si="0"/>
        <v>median_amp</v>
      </c>
      <c r="B36" s="2">
        <f t="shared" si="1"/>
        <v>0.24654742040365599</v>
      </c>
      <c r="C36" s="3">
        <f t="shared" si="2"/>
        <v>45183.75</v>
      </c>
      <c r="E36" s="1">
        <v>45183.020833333336</v>
      </c>
      <c r="F36">
        <v>4.5112112790446496E-3</v>
      </c>
      <c r="G36">
        <v>3.08213764937755E-3</v>
      </c>
      <c r="H36">
        <v>3.0169008533253898E-3</v>
      </c>
      <c r="U36" t="s">
        <v>2</v>
      </c>
      <c r="V36" s="2">
        <v>0.24654742040365599</v>
      </c>
    </row>
    <row r="37" spans="1:28" x14ac:dyDescent="0.3">
      <c r="A37" s="2" t="str">
        <f t="shared" si="0"/>
        <v>impulses_ch6</v>
      </c>
      <c r="B37" s="2">
        <f t="shared" si="1"/>
        <v>137</v>
      </c>
      <c r="C37" s="3">
        <f t="shared" si="2"/>
        <v>45183.75</v>
      </c>
      <c r="E37" s="1">
        <v>45183.03125</v>
      </c>
      <c r="F37">
        <v>7.6159647545828903E-3</v>
      </c>
      <c r="G37">
        <v>4.3235337282550397E-3</v>
      </c>
      <c r="H37">
        <v>4.0254678004470398E-3</v>
      </c>
      <c r="U37" t="s">
        <v>3</v>
      </c>
      <c r="V37" s="2">
        <v>137</v>
      </c>
    </row>
    <row r="38" spans="1:28" x14ac:dyDescent="0.3">
      <c r="A38" s="2" t="str">
        <f t="shared" si="0"/>
        <v>impulses_ch5</v>
      </c>
      <c r="B38" s="2">
        <f t="shared" si="1"/>
        <v>2265</v>
      </c>
      <c r="C38" s="3">
        <f t="shared" si="2"/>
        <v>45183.75</v>
      </c>
      <c r="E38" s="1">
        <v>45183.041666666664</v>
      </c>
      <c r="F38">
        <v>5.4287319681273396E-3</v>
      </c>
      <c r="G38">
        <v>2.87449227020723E-3</v>
      </c>
      <c r="H38">
        <v>2.7058696859742098E-3</v>
      </c>
      <c r="U38" t="s">
        <v>4</v>
      </c>
      <c r="V38" s="2">
        <v>2265</v>
      </c>
    </row>
    <row r="39" spans="1:28" x14ac:dyDescent="0.3">
      <c r="A39" s="2" t="str">
        <f t="shared" si="0"/>
        <v>impulses_ch4</v>
      </c>
      <c r="B39" s="2">
        <f t="shared" si="1"/>
        <v>9697</v>
      </c>
      <c r="C39" s="3">
        <f t="shared" si="2"/>
        <v>45183.75</v>
      </c>
      <c r="E39" s="1">
        <v>45183.052083333336</v>
      </c>
      <c r="F39">
        <v>7.1873392070551899E-3</v>
      </c>
      <c r="G39">
        <v>3.87030017823048E-3</v>
      </c>
      <c r="H39">
        <v>3.7371598539261198E-3</v>
      </c>
      <c r="U39" t="s">
        <v>5</v>
      </c>
      <c r="V39" s="2">
        <v>9697</v>
      </c>
    </row>
    <row r="40" spans="1:28" x14ac:dyDescent="0.3">
      <c r="A40" s="2" t="str">
        <f t="shared" si="0"/>
        <v>impulses_ch3</v>
      </c>
      <c r="B40" s="2">
        <f t="shared" si="1"/>
        <v>9924</v>
      </c>
      <c r="C40" s="3">
        <f t="shared" si="2"/>
        <v>45183.833333333336</v>
      </c>
      <c r="E40" s="1">
        <v>45183.0625</v>
      </c>
      <c r="F40">
        <v>7.0477951333742603E-3</v>
      </c>
      <c r="G40">
        <v>3.9770886926360997E-3</v>
      </c>
      <c r="H40">
        <v>3.8675020106589898E-3</v>
      </c>
      <c r="U40" t="s">
        <v>6</v>
      </c>
      <c r="V40" s="2">
        <v>9924</v>
      </c>
    </row>
    <row r="41" spans="1:28" x14ac:dyDescent="0.3">
      <c r="A41" s="2" t="str">
        <f t="shared" si="0"/>
        <v>impulses_ch2</v>
      </c>
      <c r="B41" s="2">
        <f t="shared" si="1"/>
        <v>8605</v>
      </c>
      <c r="C41" s="3">
        <f t="shared" si="2"/>
        <v>45183.614583333336</v>
      </c>
      <c r="E41" s="1">
        <v>45183.072916666664</v>
      </c>
      <c r="F41">
        <v>5.6470706578480101E-3</v>
      </c>
      <c r="G41">
        <v>3.6763245425729001E-3</v>
      </c>
      <c r="H41">
        <v>3.6754864273115398E-3</v>
      </c>
      <c r="U41" t="s">
        <v>7</v>
      </c>
      <c r="V41" s="2">
        <v>8605</v>
      </c>
    </row>
    <row r="42" spans="1:28" x14ac:dyDescent="0.3">
      <c r="A42" s="2" t="str">
        <f t="shared" si="0"/>
        <v>impulses_ch1</v>
      </c>
      <c r="B42" s="2">
        <f t="shared" si="1"/>
        <v>9312</v>
      </c>
      <c r="C42" s="3">
        <f t="shared" si="2"/>
        <v>45183.229166666664</v>
      </c>
      <c r="E42" s="1">
        <v>45183.083333333336</v>
      </c>
      <c r="F42">
        <v>7.4783023536862904E-3</v>
      </c>
      <c r="G42">
        <v>3.8380131988670499E-3</v>
      </c>
      <c r="H42">
        <v>3.7420591684563199E-3</v>
      </c>
      <c r="U42" t="s">
        <v>8</v>
      </c>
      <c r="V42" s="2">
        <v>9312</v>
      </c>
    </row>
    <row r="43" spans="1:28" x14ac:dyDescent="0.3">
      <c r="A43" s="2" t="str">
        <f t="shared" si="0"/>
        <v>max_env_ch6</v>
      </c>
      <c r="B43" s="2">
        <f t="shared" si="1"/>
        <v>0.50996100240963405</v>
      </c>
      <c r="C43" s="3">
        <f t="shared" si="2"/>
        <v>45183.75</v>
      </c>
      <c r="E43" s="1">
        <v>45183.09375</v>
      </c>
      <c r="F43">
        <v>6.3768660431115804E-3</v>
      </c>
      <c r="G43">
        <v>3.7745330575675198E-3</v>
      </c>
      <c r="H43">
        <v>3.56148421177228E-3</v>
      </c>
    </row>
    <row r="44" spans="1:28" x14ac:dyDescent="0.3">
      <c r="A44" s="2" t="str">
        <f t="shared" si="0"/>
        <v>mean_env_ch6</v>
      </c>
      <c r="B44" s="2">
        <f t="shared" si="1"/>
        <v>0.27893820162744098</v>
      </c>
      <c r="C44" s="3">
        <f t="shared" si="2"/>
        <v>45183.75</v>
      </c>
      <c r="E44" s="1">
        <v>45183.104166666664</v>
      </c>
      <c r="F44">
        <v>5.9178056688593203E-3</v>
      </c>
      <c r="G44">
        <v>4.0061789607287804E-3</v>
      </c>
      <c r="H44">
        <v>3.9977959773217098E-3</v>
      </c>
    </row>
    <row r="45" spans="1:28" x14ac:dyDescent="0.3">
      <c r="A45" s="2" t="str">
        <f t="shared" si="0"/>
        <v>median_env_ch6</v>
      </c>
      <c r="B45" s="2">
        <f t="shared" si="1"/>
        <v>0.26486663711663699</v>
      </c>
      <c r="C45" s="3">
        <f t="shared" si="2"/>
        <v>45183.75</v>
      </c>
      <c r="E45" s="1">
        <v>45183.114583333336</v>
      </c>
      <c r="F45">
        <v>6.6857096586161501E-3</v>
      </c>
      <c r="G45">
        <v>3.8204541388423001E-3</v>
      </c>
      <c r="H45">
        <v>3.6412431736499201E-3</v>
      </c>
      <c r="U45" t="s">
        <v>35</v>
      </c>
      <c r="Z45" t="s">
        <v>35</v>
      </c>
    </row>
    <row r="46" spans="1:28" x14ac:dyDescent="0.3">
      <c r="A46" s="2" t="str">
        <f t="shared" si="0"/>
        <v>max_env_ch5</v>
      </c>
      <c r="B46" s="2">
        <f t="shared" si="1"/>
        <v>2.03984400963853</v>
      </c>
      <c r="C46" s="3">
        <f t="shared" si="2"/>
        <v>45183.75</v>
      </c>
      <c r="E46" s="1">
        <v>45183.125</v>
      </c>
      <c r="F46">
        <v>9.7657639621777006E-3</v>
      </c>
      <c r="G46">
        <v>3.9436343396587296E-3</v>
      </c>
      <c r="H46">
        <v>3.7553527318031099E-3</v>
      </c>
      <c r="U46" t="s">
        <v>36</v>
      </c>
      <c r="V46" t="s">
        <v>37</v>
      </c>
      <c r="W46" t="s">
        <v>38</v>
      </c>
      <c r="Z46" t="s">
        <v>36</v>
      </c>
      <c r="AA46" t="s">
        <v>37</v>
      </c>
      <c r="AB46" t="s">
        <v>38</v>
      </c>
    </row>
    <row r="47" spans="1:28" x14ac:dyDescent="0.3">
      <c r="A47" s="2" t="str">
        <f t="shared" si="0"/>
        <v>mean_env_ch5</v>
      </c>
      <c r="B47" s="2">
        <f t="shared" si="1"/>
        <v>1.0629073619985701</v>
      </c>
      <c r="C47" s="3">
        <f t="shared" si="2"/>
        <v>45183.75</v>
      </c>
      <c r="E47" s="1">
        <v>45183.135416666664</v>
      </c>
      <c r="F47">
        <v>6.3585886170623501E-3</v>
      </c>
      <c r="G47">
        <v>3.29092751599967E-3</v>
      </c>
      <c r="H47">
        <v>3.1753207255848402E-3</v>
      </c>
      <c r="T47" t="s">
        <v>39</v>
      </c>
      <c r="U47" s="4">
        <f>B43</f>
        <v>0.50996100240963405</v>
      </c>
      <c r="V47" s="4">
        <f>B44</f>
        <v>0.27893820162744098</v>
      </c>
      <c r="W47" s="4">
        <f>B45</f>
        <v>0.26486663711663699</v>
      </c>
      <c r="Y47" t="s">
        <v>39</v>
      </c>
      <c r="Z47">
        <v>0.50996100240963405</v>
      </c>
      <c r="AA47">
        <v>0.27893820162744098</v>
      </c>
      <c r="AB47">
        <v>0.26486663711663699</v>
      </c>
    </row>
    <row r="48" spans="1:28" x14ac:dyDescent="0.3">
      <c r="A48" s="2" t="str">
        <f>A16</f>
        <v>median_env_ch5</v>
      </c>
      <c r="B48" s="2">
        <f t="shared" si="1"/>
        <v>0.98618968161462595</v>
      </c>
      <c r="C48" s="3">
        <f t="shared" si="2"/>
        <v>45183.75</v>
      </c>
      <c r="E48" s="1">
        <v>45183.145833333336</v>
      </c>
      <c r="F48">
        <v>7.1762633094527503E-3</v>
      </c>
      <c r="G48">
        <v>4.6775760537611198E-3</v>
      </c>
      <c r="H48">
        <v>4.6273383020132902E-3</v>
      </c>
      <c r="T48" t="s">
        <v>40</v>
      </c>
      <c r="U48" s="4">
        <f>B46</f>
        <v>2.03984400963853</v>
      </c>
      <c r="V48" s="4">
        <f>B47</f>
        <v>1.0629073619985701</v>
      </c>
      <c r="W48" s="4">
        <f>B48</f>
        <v>0.98618968161462595</v>
      </c>
      <c r="Y48" t="s">
        <v>40</v>
      </c>
      <c r="Z48">
        <v>2.03984400963853</v>
      </c>
      <c r="AA48">
        <v>1.0629073619985701</v>
      </c>
      <c r="AB48">
        <v>0.98618968161462595</v>
      </c>
    </row>
    <row r="49" spans="1:28" x14ac:dyDescent="0.3">
      <c r="A49" s="2" t="str">
        <f t="shared" si="0"/>
        <v>max_env_ch4</v>
      </c>
      <c r="B49" s="2">
        <f t="shared" si="1"/>
        <v>8.1593760385541501</v>
      </c>
      <c r="C49" s="3">
        <f t="shared" si="2"/>
        <v>45183.75</v>
      </c>
      <c r="E49" s="1">
        <v>45183.15625</v>
      </c>
      <c r="F49">
        <v>6.6364593683922498E-3</v>
      </c>
      <c r="G49">
        <v>3.42191386025106E-3</v>
      </c>
      <c r="H49">
        <v>3.19824956606476E-3</v>
      </c>
      <c r="T49" t="s">
        <v>41</v>
      </c>
      <c r="U49" s="4">
        <f>B49</f>
        <v>8.1593760385541501</v>
      </c>
      <c r="V49" s="4">
        <f>B50</f>
        <v>4.2516294479943104</v>
      </c>
      <c r="W49" s="4">
        <f>B51</f>
        <v>3.9447587264584998</v>
      </c>
      <c r="Y49" t="s">
        <v>41</v>
      </c>
      <c r="Z49">
        <v>8.1593760385541501</v>
      </c>
      <c r="AA49">
        <v>4.2516294479943104</v>
      </c>
      <c r="AB49">
        <v>3.9447587264584998</v>
      </c>
    </row>
    <row r="50" spans="1:28" x14ac:dyDescent="0.3">
      <c r="A50" s="2" t="str">
        <f t="shared" si="0"/>
        <v>mean_env_ch4</v>
      </c>
      <c r="B50" s="2">
        <f t="shared" si="1"/>
        <v>4.2516294479943104</v>
      </c>
      <c r="C50" s="3">
        <f t="shared" si="2"/>
        <v>45183.75</v>
      </c>
      <c r="E50" s="1">
        <v>45183.166666666664</v>
      </c>
      <c r="F50">
        <v>7.0276613216916596E-3</v>
      </c>
      <c r="G50">
        <v>4.1454075112221499E-3</v>
      </c>
      <c r="H50">
        <v>3.9204317271189304E-3</v>
      </c>
      <c r="T50" t="s">
        <v>42</v>
      </c>
      <c r="U50" s="4">
        <f>B52</f>
        <v>32.6375041542166</v>
      </c>
      <c r="V50" s="4">
        <f>B53</f>
        <v>17.006517791977199</v>
      </c>
      <c r="W50" s="4">
        <f>B54</f>
        <v>15.779034905833999</v>
      </c>
      <c r="Y50" t="s">
        <v>42</v>
      </c>
      <c r="Z50">
        <v>32.6375041542166</v>
      </c>
      <c r="AA50">
        <v>17.006517791977199</v>
      </c>
      <c r="AB50">
        <v>15.779034905833999</v>
      </c>
    </row>
    <row r="51" spans="1:28" x14ac:dyDescent="0.3">
      <c r="A51" s="2" t="str">
        <f t="shared" si="0"/>
        <v>median_env_ch4</v>
      </c>
      <c r="B51" s="2">
        <f t="shared" si="1"/>
        <v>3.9447587264584998</v>
      </c>
      <c r="C51" s="3">
        <f t="shared" si="2"/>
        <v>45183.75</v>
      </c>
      <c r="E51" s="1">
        <v>45183.177083333336</v>
      </c>
      <c r="F51">
        <v>6.5891829836278197E-3</v>
      </c>
      <c r="G51">
        <v>3.9644551735158696E-3</v>
      </c>
      <c r="H51">
        <v>3.7455873832963598E-3</v>
      </c>
      <c r="T51" t="s">
        <v>43</v>
      </c>
      <c r="U51" s="4">
        <f>B55</f>
        <v>130.550016616866</v>
      </c>
      <c r="V51" s="4">
        <f>B56</f>
        <v>68.026071167908995</v>
      </c>
      <c r="W51" s="4">
        <f>B57</f>
        <v>63.116139623335997</v>
      </c>
      <c r="Y51" t="s">
        <v>43</v>
      </c>
      <c r="Z51">
        <v>130.550016616866</v>
      </c>
      <c r="AA51">
        <v>68.026071167908995</v>
      </c>
      <c r="AB51">
        <v>63.116139623335997</v>
      </c>
    </row>
    <row r="52" spans="1:28" x14ac:dyDescent="0.3">
      <c r="A52" s="2" t="str">
        <f t="shared" si="0"/>
        <v>max_env_ch3</v>
      </c>
      <c r="B52" s="2">
        <f t="shared" si="1"/>
        <v>32.6375041542166</v>
      </c>
      <c r="C52" s="3">
        <f t="shared" si="2"/>
        <v>45183.75</v>
      </c>
      <c r="E52" s="1">
        <v>45183.1875</v>
      </c>
      <c r="F52">
        <v>6.2664490097283296E-3</v>
      </c>
      <c r="G52">
        <v>4.4483996577214299E-3</v>
      </c>
      <c r="H52">
        <v>4.4412095449452797E-3</v>
      </c>
      <c r="T52" t="s">
        <v>44</v>
      </c>
      <c r="U52" s="4">
        <f>B58</f>
        <v>522.20006646746594</v>
      </c>
      <c r="V52" s="4">
        <f>B59</f>
        <v>272.10428467163598</v>
      </c>
      <c r="W52" s="4">
        <f>B60</f>
        <v>252.46455849334399</v>
      </c>
      <c r="Y52" t="s">
        <v>44</v>
      </c>
      <c r="Z52">
        <v>522.20006646746594</v>
      </c>
      <c r="AA52">
        <v>272.10428467163598</v>
      </c>
      <c r="AB52">
        <v>252.46455849334399</v>
      </c>
    </row>
    <row r="53" spans="1:28" x14ac:dyDescent="0.3">
      <c r="A53" s="2" t="str">
        <f t="shared" si="0"/>
        <v>mean_env_ch3</v>
      </c>
      <c r="B53" s="2">
        <f t="shared" si="1"/>
        <v>17.006517791977199</v>
      </c>
      <c r="C53" s="3">
        <f t="shared" si="2"/>
        <v>45183.75</v>
      </c>
      <c r="E53" s="1">
        <v>45183.197916666664</v>
      </c>
      <c r="F53">
        <v>6.90793683633633E-3</v>
      </c>
      <c r="G53">
        <v>3.7074927314003901E-3</v>
      </c>
      <c r="H53">
        <v>3.6418246418379601E-3</v>
      </c>
    </row>
    <row r="54" spans="1:28" x14ac:dyDescent="0.3">
      <c r="A54" s="2" t="str">
        <f t="shared" si="0"/>
        <v>median_env_ch3</v>
      </c>
      <c r="B54" s="2">
        <f t="shared" si="1"/>
        <v>15.779034905833999</v>
      </c>
      <c r="C54" s="3">
        <f t="shared" si="2"/>
        <v>45183.75</v>
      </c>
      <c r="E54" s="1">
        <v>45183.208333333336</v>
      </c>
      <c r="F54">
        <v>9.6437434565644301E-3</v>
      </c>
      <c r="G54">
        <v>4.4624771774469697E-3</v>
      </c>
      <c r="H54">
        <v>4.2389937515238604E-3</v>
      </c>
    </row>
    <row r="55" spans="1:28" x14ac:dyDescent="0.3">
      <c r="A55" s="2" t="str">
        <f t="shared" si="0"/>
        <v>max_env_ch2</v>
      </c>
      <c r="B55" s="2">
        <f t="shared" si="1"/>
        <v>130.550016616866</v>
      </c>
      <c r="C55" s="3">
        <f t="shared" si="2"/>
        <v>45183.75</v>
      </c>
      <c r="E55" s="1">
        <v>45183.21875</v>
      </c>
      <c r="F55">
        <v>5.8111062065697603E-3</v>
      </c>
      <c r="G55">
        <v>3.3240617702482902E-3</v>
      </c>
      <c r="H55">
        <v>3.1798407629793101E-3</v>
      </c>
    </row>
    <row r="56" spans="1:28" x14ac:dyDescent="0.3">
      <c r="A56" s="2" t="str">
        <f t="shared" si="0"/>
        <v>mean_env_ch2</v>
      </c>
      <c r="B56" s="2">
        <f t="shared" si="1"/>
        <v>68.026071167908995</v>
      </c>
      <c r="C56" s="3">
        <f t="shared" si="2"/>
        <v>45183.75</v>
      </c>
      <c r="E56" s="1">
        <v>45183.229166666664</v>
      </c>
      <c r="F56">
        <v>1.0703230764021399E-2</v>
      </c>
      <c r="G56">
        <v>5.1106130926254403E-3</v>
      </c>
      <c r="H56">
        <v>4.8318042044744498E-3</v>
      </c>
    </row>
    <row r="57" spans="1:28" x14ac:dyDescent="0.3">
      <c r="A57" s="2" t="str">
        <f>A25</f>
        <v>median_env_ch2</v>
      </c>
      <c r="B57" s="2">
        <f t="shared" si="1"/>
        <v>63.116139623335997</v>
      </c>
      <c r="C57" s="3">
        <f t="shared" si="2"/>
        <v>45183.75</v>
      </c>
      <c r="E57" s="1">
        <v>45183.239583333336</v>
      </c>
      <c r="F57">
        <v>6.2227064268062298E-3</v>
      </c>
      <c r="G57">
        <v>3.1317728726963298E-3</v>
      </c>
      <c r="H57">
        <v>3.02844811886E-3</v>
      </c>
    </row>
    <row r="58" spans="1:28" x14ac:dyDescent="0.3">
      <c r="A58" s="2" t="str">
        <f t="shared" si="0"/>
        <v>max_env_ch1</v>
      </c>
      <c r="B58" s="2">
        <f t="shared" si="1"/>
        <v>522.20006646746594</v>
      </c>
      <c r="C58" s="3">
        <f t="shared" si="2"/>
        <v>45183.75</v>
      </c>
      <c r="E58" s="1">
        <v>45183.25</v>
      </c>
      <c r="F58">
        <v>6.6895273100458699E-3</v>
      </c>
      <c r="G58">
        <v>4.5654323271524496E-3</v>
      </c>
      <c r="H58">
        <v>4.5580502385521001E-3</v>
      </c>
    </row>
    <row r="59" spans="1:28" x14ac:dyDescent="0.3">
      <c r="A59" s="2" t="str">
        <f t="shared" si="0"/>
        <v>mean_env_ch1</v>
      </c>
      <c r="B59" s="2">
        <f t="shared" si="1"/>
        <v>272.10428467163598</v>
      </c>
      <c r="C59" s="3">
        <f t="shared" si="2"/>
        <v>45183.75</v>
      </c>
      <c r="E59" s="1">
        <v>45183.260416666664</v>
      </c>
      <c r="F59">
        <v>7.2613258391148201E-3</v>
      </c>
      <c r="G59">
        <v>3.2805323265440401E-3</v>
      </c>
      <c r="H59">
        <v>3.0154506145571199E-3</v>
      </c>
    </row>
    <row r="60" spans="1:28" x14ac:dyDescent="0.3">
      <c r="A60" s="2" t="str">
        <f>A28</f>
        <v>median_env_ch1</v>
      </c>
      <c r="B60" s="2">
        <f t="shared" si="1"/>
        <v>252.46455849334399</v>
      </c>
      <c r="C60" s="3">
        <f t="shared" si="2"/>
        <v>45183.75</v>
      </c>
      <c r="E60" s="1">
        <v>45183.270833333336</v>
      </c>
      <c r="F60">
        <v>4.7194779780740399E-3</v>
      </c>
      <c r="G60">
        <v>3.3956863234268302E-3</v>
      </c>
      <c r="H60">
        <v>3.4297890185735901E-3</v>
      </c>
    </row>
    <row r="61" spans="1:28" x14ac:dyDescent="0.3">
      <c r="A61" s="2"/>
      <c r="E61" s="1">
        <v>45183.28125</v>
      </c>
      <c r="F61">
        <v>7.2471400234077801E-3</v>
      </c>
      <c r="G61">
        <v>3.3942375974157302E-3</v>
      </c>
      <c r="H61">
        <v>3.2440271310913401E-3</v>
      </c>
    </row>
    <row r="62" spans="1:28" x14ac:dyDescent="0.3">
      <c r="E62" s="1">
        <v>45183.291666666664</v>
      </c>
      <c r="F62">
        <v>4.5555065357865202E-3</v>
      </c>
      <c r="G62">
        <v>3.3514378860015899E-3</v>
      </c>
      <c r="H62">
        <v>3.3801364761825302E-3</v>
      </c>
    </row>
    <row r="63" spans="1:28" x14ac:dyDescent="0.3">
      <c r="E63" s="1">
        <v>45183.302083333336</v>
      </c>
      <c r="F63">
        <v>5.4054085352765596E-3</v>
      </c>
      <c r="G63">
        <v>3.31376457708188E-3</v>
      </c>
      <c r="H63">
        <v>3.20789316118522E-3</v>
      </c>
    </row>
    <row r="64" spans="1:28" x14ac:dyDescent="0.3">
      <c r="E64" s="1">
        <v>45183.3125</v>
      </c>
      <c r="F64">
        <v>5.9419905709959002E-3</v>
      </c>
      <c r="G64">
        <v>4.0297012204261601E-3</v>
      </c>
      <c r="H64">
        <v>3.8775761803852399E-3</v>
      </c>
    </row>
    <row r="65" spans="5:8" x14ac:dyDescent="0.3">
      <c r="E65" s="1">
        <v>45183.322916666664</v>
      </c>
      <c r="F65">
        <v>6.16552591445835E-3</v>
      </c>
      <c r="G65">
        <v>3.4213885515476401E-3</v>
      </c>
      <c r="H65">
        <v>3.3052856823723802E-3</v>
      </c>
    </row>
    <row r="66" spans="5:8" x14ac:dyDescent="0.3">
      <c r="E66" s="1">
        <v>45183.333333333336</v>
      </c>
      <c r="F66">
        <v>5.5689468094676604E-3</v>
      </c>
      <c r="G66">
        <v>2.82691597102251E-3</v>
      </c>
      <c r="H66">
        <v>2.71266373287241E-3</v>
      </c>
    </row>
    <row r="67" spans="5:8" x14ac:dyDescent="0.3">
      <c r="E67" s="1">
        <v>45183.34375</v>
      </c>
      <c r="F67">
        <v>6.2929665796027196E-3</v>
      </c>
      <c r="G67">
        <v>3.6673119847281401E-3</v>
      </c>
      <c r="H67">
        <v>3.6534129875168599E-3</v>
      </c>
    </row>
    <row r="68" spans="5:8" x14ac:dyDescent="0.3">
      <c r="E68" s="1">
        <v>45183.354166666664</v>
      </c>
      <c r="F68">
        <v>9.0961229079548605E-3</v>
      </c>
      <c r="G68">
        <v>4.9644284981536996E-3</v>
      </c>
      <c r="H68">
        <v>4.8992213435718702E-3</v>
      </c>
    </row>
    <row r="69" spans="5:8" x14ac:dyDescent="0.3">
      <c r="E69" s="1">
        <v>45183.364583333336</v>
      </c>
      <c r="F69">
        <v>5.6605885293089398E-3</v>
      </c>
      <c r="G69">
        <v>3.0015741610203502E-3</v>
      </c>
      <c r="H69">
        <v>2.7916235906602798E-3</v>
      </c>
    </row>
    <row r="70" spans="5:8" x14ac:dyDescent="0.3">
      <c r="E70" s="1">
        <v>45183.375</v>
      </c>
      <c r="F70">
        <v>3.9981916182037702E-3</v>
      </c>
      <c r="G70">
        <v>2.8243133574541498E-3</v>
      </c>
      <c r="H70">
        <v>2.7978967029623401E-3</v>
      </c>
    </row>
    <row r="71" spans="5:8" x14ac:dyDescent="0.3">
      <c r="E71" s="1">
        <v>45183.385416666664</v>
      </c>
      <c r="F71">
        <v>5.5708417347322499E-3</v>
      </c>
      <c r="G71">
        <v>3.2621483686761498E-3</v>
      </c>
      <c r="H71">
        <v>3.1997581145374299E-3</v>
      </c>
    </row>
    <row r="72" spans="5:8" x14ac:dyDescent="0.3">
      <c r="E72" s="1">
        <v>45183.395833333336</v>
      </c>
      <c r="F72">
        <v>3.2976991208342999E-3</v>
      </c>
      <c r="G72">
        <v>1.66045639244667E-3</v>
      </c>
      <c r="H72">
        <v>1.5762344547249399E-3</v>
      </c>
    </row>
    <row r="73" spans="5:8" x14ac:dyDescent="0.3">
      <c r="E73" s="1">
        <v>45183.40625</v>
      </c>
      <c r="F73">
        <v>5.2840856751277801E-3</v>
      </c>
      <c r="G73">
        <v>2.4974507975437398E-3</v>
      </c>
      <c r="H73">
        <v>2.3855751561693201E-3</v>
      </c>
    </row>
    <row r="74" spans="5:8" x14ac:dyDescent="0.3">
      <c r="E74" s="1">
        <v>45183.416666666664</v>
      </c>
      <c r="F74">
        <v>5.5078495528929298E-3</v>
      </c>
      <c r="G74">
        <v>2.39208771660721E-3</v>
      </c>
      <c r="H74">
        <v>2.2214380463727599E-3</v>
      </c>
    </row>
    <row r="75" spans="5:8" x14ac:dyDescent="0.3">
      <c r="E75" s="1">
        <v>45183.427083333336</v>
      </c>
      <c r="F75">
        <v>3.2299851306196599E-3</v>
      </c>
      <c r="G75">
        <v>2.0883396839178401E-3</v>
      </c>
      <c r="H75">
        <v>2.0481530577815899E-3</v>
      </c>
    </row>
    <row r="76" spans="5:8" x14ac:dyDescent="0.3">
      <c r="E76" s="1">
        <v>45183.4375</v>
      </c>
      <c r="F76">
        <v>4.2754041538176297E-3</v>
      </c>
      <c r="G76">
        <v>2.63540516022187E-3</v>
      </c>
      <c r="H76">
        <v>2.5108428800004498E-3</v>
      </c>
    </row>
    <row r="77" spans="5:8" x14ac:dyDescent="0.3">
      <c r="E77" s="1">
        <v>45183.447916666664</v>
      </c>
      <c r="F77">
        <v>4.9539658809393001E-3</v>
      </c>
      <c r="G77">
        <v>3.1028373543388801E-3</v>
      </c>
      <c r="H77">
        <v>2.9589214794485002E-3</v>
      </c>
    </row>
    <row r="78" spans="5:8" x14ac:dyDescent="0.3">
      <c r="E78" s="1">
        <v>45183.458333333336</v>
      </c>
      <c r="F78">
        <v>4.62284650535581E-3</v>
      </c>
      <c r="G78">
        <v>2.45611417229825E-3</v>
      </c>
      <c r="H78">
        <v>2.3019315422214601E-3</v>
      </c>
    </row>
    <row r="79" spans="5:8" x14ac:dyDescent="0.3">
      <c r="E79" s="1">
        <v>45183.46875</v>
      </c>
      <c r="F79">
        <v>5.3538755134562299E-3</v>
      </c>
      <c r="G79">
        <v>3.0967847378044898E-3</v>
      </c>
      <c r="H79">
        <v>2.9402166481768202E-3</v>
      </c>
    </row>
    <row r="80" spans="5:8" x14ac:dyDescent="0.3">
      <c r="E80" s="1">
        <v>45183.479166666664</v>
      </c>
      <c r="F80">
        <v>4.8978891133043103E-3</v>
      </c>
      <c r="G80">
        <v>3.23028674004681E-3</v>
      </c>
      <c r="H80">
        <v>3.1200219689148001E-3</v>
      </c>
    </row>
    <row r="81" spans="5:8" x14ac:dyDescent="0.3">
      <c r="E81" s="1">
        <v>45183.489583333336</v>
      </c>
      <c r="F81">
        <v>4.6603520164618696E-3</v>
      </c>
      <c r="G81">
        <v>2.9371684122248302E-3</v>
      </c>
      <c r="H81">
        <v>2.92563861132642E-3</v>
      </c>
    </row>
    <row r="82" spans="5:8" x14ac:dyDescent="0.3">
      <c r="E82" s="1">
        <v>45183.5</v>
      </c>
      <c r="F82">
        <v>4.7162408784258503E-3</v>
      </c>
      <c r="G82">
        <v>3.0690553925491601E-3</v>
      </c>
      <c r="H82">
        <v>3.0697097505174701E-3</v>
      </c>
    </row>
    <row r="83" spans="5:8" x14ac:dyDescent="0.3">
      <c r="E83" s="1">
        <v>45183.510416666664</v>
      </c>
      <c r="F83">
        <v>7.1573047619624503E-3</v>
      </c>
      <c r="G83">
        <v>3.12623744321856E-3</v>
      </c>
      <c r="H83">
        <v>2.96415770695533E-3</v>
      </c>
    </row>
    <row r="84" spans="5:8" x14ac:dyDescent="0.3">
      <c r="E84" s="1">
        <v>45183.520833333336</v>
      </c>
      <c r="F84">
        <v>5.5667064822703697E-3</v>
      </c>
      <c r="G84">
        <v>3.4712716015040399E-3</v>
      </c>
      <c r="H84">
        <v>3.36716550499753E-3</v>
      </c>
    </row>
    <row r="85" spans="5:8" x14ac:dyDescent="0.3">
      <c r="E85" s="1">
        <v>45183.53125</v>
      </c>
      <c r="F85">
        <v>5.1818065909306297E-3</v>
      </c>
      <c r="G85">
        <v>3.09282535201877E-3</v>
      </c>
      <c r="H85">
        <v>2.9788679698751299E-3</v>
      </c>
    </row>
    <row r="86" spans="5:8" x14ac:dyDescent="0.3">
      <c r="E86" s="1">
        <v>45183.541666666664</v>
      </c>
      <c r="F86">
        <v>5.2317085364958701E-3</v>
      </c>
      <c r="G86">
        <v>3.4821063814727601E-3</v>
      </c>
      <c r="H86">
        <v>3.4240500782549898E-3</v>
      </c>
    </row>
    <row r="87" spans="5:8" x14ac:dyDescent="0.3">
      <c r="E87" s="1">
        <v>45183.552083333336</v>
      </c>
      <c r="F87">
        <v>5.8004587568954496E-3</v>
      </c>
      <c r="G87">
        <v>3.1530114538743702E-3</v>
      </c>
      <c r="H87">
        <v>3.0996490423676002E-3</v>
      </c>
    </row>
    <row r="88" spans="5:8" x14ac:dyDescent="0.3">
      <c r="E88" s="1">
        <v>45183.5625</v>
      </c>
      <c r="F88">
        <v>6.0693515473427403E-3</v>
      </c>
      <c r="G88">
        <v>3.5165068316251398E-3</v>
      </c>
      <c r="H88">
        <v>3.4280634774339598E-3</v>
      </c>
    </row>
    <row r="89" spans="5:8" x14ac:dyDescent="0.3">
      <c r="E89" s="1">
        <v>45183.572916666664</v>
      </c>
      <c r="F89">
        <v>5.3411784980409204E-3</v>
      </c>
      <c r="G89">
        <v>2.8163360499575498E-3</v>
      </c>
      <c r="H89">
        <v>2.7565296907238598E-3</v>
      </c>
    </row>
    <row r="90" spans="5:8" x14ac:dyDescent="0.3">
      <c r="E90" s="1">
        <v>45183.583333333336</v>
      </c>
      <c r="F90">
        <v>8.8661816868626699E-3</v>
      </c>
      <c r="G90">
        <v>5.27146571224119E-3</v>
      </c>
      <c r="H90">
        <v>5.2209934443536096E-3</v>
      </c>
    </row>
    <row r="91" spans="5:8" x14ac:dyDescent="0.3">
      <c r="E91" s="1">
        <v>45183.59375</v>
      </c>
      <c r="F91">
        <v>2.4144929111246601E-2</v>
      </c>
      <c r="G91">
        <v>1.4038106988203E-2</v>
      </c>
      <c r="H91">
        <v>1.3972742401540899E-2</v>
      </c>
    </row>
    <row r="92" spans="5:8" x14ac:dyDescent="0.3">
      <c r="E92" s="1">
        <v>45183.604166666664</v>
      </c>
      <c r="F92">
        <v>1.9781090680697899E-2</v>
      </c>
      <c r="G92">
        <v>1.27149788137325E-2</v>
      </c>
      <c r="H92">
        <v>1.21679581639778E-2</v>
      </c>
    </row>
    <row r="93" spans="5:8" x14ac:dyDescent="0.3">
      <c r="E93" s="1">
        <v>45183.614583333336</v>
      </c>
      <c r="F93">
        <v>7.8323781556648098E-2</v>
      </c>
      <c r="G93">
        <v>3.2495964187402498E-2</v>
      </c>
      <c r="H93">
        <v>2.77398237296268E-2</v>
      </c>
    </row>
    <row r="94" spans="5:8" x14ac:dyDescent="0.3">
      <c r="E94" s="1">
        <v>45183.625</v>
      </c>
      <c r="F94">
        <v>9.5227683354109402E-2</v>
      </c>
      <c r="G94">
        <v>5.2624368092254702E-2</v>
      </c>
      <c r="H94">
        <v>5.1600757711994703E-2</v>
      </c>
    </row>
    <row r="95" spans="5:8" x14ac:dyDescent="0.3">
      <c r="E95" s="1">
        <v>45183.635416666664</v>
      </c>
      <c r="F95">
        <v>8.3501508164946198E-2</v>
      </c>
      <c r="G95">
        <v>5.0119989158250597E-2</v>
      </c>
      <c r="H95">
        <v>5.0711509705510402E-2</v>
      </c>
    </row>
    <row r="96" spans="5:8" x14ac:dyDescent="0.3">
      <c r="E96" s="1">
        <v>45183.645833333336</v>
      </c>
      <c r="F96">
        <v>5.2480419789072003E-2</v>
      </c>
      <c r="G96">
        <v>2.9984786062465001E-2</v>
      </c>
      <c r="H96">
        <v>2.83546452971561E-2</v>
      </c>
    </row>
    <row r="97" spans="5:8" x14ac:dyDescent="0.3">
      <c r="E97" s="1">
        <v>45183.65625</v>
      </c>
      <c r="F97">
        <v>0.108203356781746</v>
      </c>
      <c r="G97">
        <v>6.0636259703796297E-2</v>
      </c>
      <c r="H97">
        <v>5.7154993106312398E-2</v>
      </c>
    </row>
    <row r="98" spans="5:8" x14ac:dyDescent="0.3">
      <c r="E98" s="1">
        <v>45183.666666666664</v>
      </c>
      <c r="F98">
        <v>0.123348743464346</v>
      </c>
      <c r="G98">
        <v>7.2528030674117699E-2</v>
      </c>
      <c r="H98">
        <v>7.0951810745093699E-2</v>
      </c>
    </row>
    <row r="99" spans="5:8" x14ac:dyDescent="0.3">
      <c r="E99" s="1">
        <v>45183.677083333336</v>
      </c>
      <c r="F99">
        <v>0.159361458967232</v>
      </c>
      <c r="G99">
        <v>0.12077262023449099</v>
      </c>
      <c r="H99">
        <v>0.118763415968887</v>
      </c>
    </row>
    <row r="100" spans="5:8" x14ac:dyDescent="0.3">
      <c r="E100" s="1">
        <v>45183.6875</v>
      </c>
      <c r="F100">
        <v>0.17501293888175501</v>
      </c>
      <c r="G100">
        <v>0.11219164632487801</v>
      </c>
      <c r="H100">
        <v>0.11084624697481101</v>
      </c>
    </row>
    <row r="101" spans="5:8" x14ac:dyDescent="0.3">
      <c r="E101" s="1">
        <v>45183.697916666664</v>
      </c>
      <c r="F101">
        <v>0.140120008346797</v>
      </c>
      <c r="G101">
        <v>9.78351290551603E-2</v>
      </c>
      <c r="H101">
        <v>9.72214763410887E-2</v>
      </c>
    </row>
    <row r="102" spans="5:8" x14ac:dyDescent="0.3">
      <c r="E102" s="1">
        <v>45183.708333333336</v>
      </c>
      <c r="F102">
        <v>0.22039276005109401</v>
      </c>
      <c r="G102">
        <v>0.13022074172758899</v>
      </c>
      <c r="H102">
        <v>0.12755828025576299</v>
      </c>
    </row>
    <row r="103" spans="5:8" x14ac:dyDescent="0.3">
      <c r="E103" s="1">
        <v>45183.71875</v>
      </c>
      <c r="F103">
        <v>0.14858885600914801</v>
      </c>
      <c r="G103">
        <v>0.109834709925708</v>
      </c>
      <c r="H103">
        <v>0.109406391485756</v>
      </c>
    </row>
    <row r="104" spans="5:8" x14ac:dyDescent="0.3">
      <c r="E104" s="1">
        <v>45183.729166666664</v>
      </c>
      <c r="F104">
        <v>0.15791301840910801</v>
      </c>
      <c r="G104">
        <v>0.10565969789206001</v>
      </c>
      <c r="H104">
        <v>0.104113502105342</v>
      </c>
    </row>
    <row r="105" spans="5:8" x14ac:dyDescent="0.3">
      <c r="E105" s="1">
        <v>45183.739583333336</v>
      </c>
      <c r="F105">
        <v>0.27712484545157101</v>
      </c>
      <c r="G105">
        <v>0.16468921188300101</v>
      </c>
      <c r="H105">
        <v>0.15971851052775299</v>
      </c>
    </row>
    <row r="106" spans="5:8" x14ac:dyDescent="0.3">
      <c r="E106" s="1">
        <v>45183.75</v>
      </c>
      <c r="F106">
        <v>0.50996100240963405</v>
      </c>
      <c r="G106">
        <v>0.26572684049964401</v>
      </c>
      <c r="H106">
        <v>0.24654742040365599</v>
      </c>
    </row>
    <row r="107" spans="5:8" x14ac:dyDescent="0.3">
      <c r="E107" s="1">
        <v>45183.760416666664</v>
      </c>
      <c r="F107">
        <v>0.155096317860936</v>
      </c>
      <c r="G107">
        <v>0.106108154340727</v>
      </c>
      <c r="H107">
        <v>0.104493034876507</v>
      </c>
    </row>
    <row r="108" spans="5:8" x14ac:dyDescent="0.3">
      <c r="E108" s="1">
        <v>45183.770833333336</v>
      </c>
      <c r="F108">
        <v>0.12311418745968999</v>
      </c>
      <c r="G108">
        <v>8.3999993812861801E-2</v>
      </c>
      <c r="H108">
        <v>8.0101259012846607E-2</v>
      </c>
    </row>
    <row r="109" spans="5:8" x14ac:dyDescent="0.3">
      <c r="E109" s="1">
        <v>45183.78125</v>
      </c>
      <c r="F109">
        <v>0.124064689299707</v>
      </c>
      <c r="G109">
        <v>8.6017546061245898E-2</v>
      </c>
      <c r="H109">
        <v>8.4080577098758102E-2</v>
      </c>
    </row>
    <row r="110" spans="5:8" x14ac:dyDescent="0.3">
      <c r="E110" s="1">
        <v>45183.791666666664</v>
      </c>
      <c r="F110">
        <v>0.10329814865204801</v>
      </c>
      <c r="G110">
        <v>7.3706867530408005E-2</v>
      </c>
      <c r="H110">
        <v>7.4598035808525601E-2</v>
      </c>
    </row>
    <row r="111" spans="5:8" x14ac:dyDescent="0.3">
      <c r="E111" s="1">
        <v>45183.802083333336</v>
      </c>
      <c r="F111">
        <v>9.6039941565308498E-2</v>
      </c>
      <c r="G111">
        <v>6.5014852491690395E-2</v>
      </c>
      <c r="H111">
        <v>6.3569323465144101E-2</v>
      </c>
    </row>
    <row r="112" spans="5:8" x14ac:dyDescent="0.3">
      <c r="E112" s="1">
        <v>45183.8125</v>
      </c>
      <c r="F112">
        <v>9.3808873279711394E-2</v>
      </c>
      <c r="G112">
        <v>6.30767093533421E-2</v>
      </c>
      <c r="H112">
        <v>6.23244920273055E-2</v>
      </c>
    </row>
    <row r="113" spans="5:8" x14ac:dyDescent="0.3">
      <c r="E113" s="1">
        <v>45183.822916666664</v>
      </c>
      <c r="F113">
        <v>9.9043228211665696E-2</v>
      </c>
      <c r="G113">
        <v>5.4676487182681803E-2</v>
      </c>
      <c r="H113">
        <v>5.1982113214697999E-2</v>
      </c>
    </row>
    <row r="114" spans="5:8" x14ac:dyDescent="0.3">
      <c r="E114" s="1">
        <v>45183.833333333336</v>
      </c>
      <c r="F114">
        <v>9.5002710047601802E-2</v>
      </c>
      <c r="G114">
        <v>6.3875585115533901E-2</v>
      </c>
      <c r="H114">
        <v>6.3888364853241397E-2</v>
      </c>
    </row>
    <row r="115" spans="5:8" x14ac:dyDescent="0.3">
      <c r="E115" s="1">
        <v>45183.84375</v>
      </c>
      <c r="F115">
        <v>8.5698119771007497E-2</v>
      </c>
      <c r="G115">
        <v>5.8522539748435E-2</v>
      </c>
      <c r="H115">
        <v>5.76557569351486E-2</v>
      </c>
    </row>
    <row r="116" spans="5:8" x14ac:dyDescent="0.3">
      <c r="E116" s="1">
        <v>45183.854166666664</v>
      </c>
      <c r="F116">
        <v>8.4801411048379405E-2</v>
      </c>
      <c r="G116">
        <v>5.0492673127966702E-2</v>
      </c>
      <c r="H116">
        <v>4.9432977870129499E-2</v>
      </c>
    </row>
    <row r="117" spans="5:8" x14ac:dyDescent="0.3">
      <c r="E117" s="1">
        <v>45183.864583333336</v>
      </c>
      <c r="F117">
        <v>0.103862093743985</v>
      </c>
      <c r="G117">
        <v>5.5934196765654601E-2</v>
      </c>
      <c r="H117">
        <v>5.4146467392486297E-2</v>
      </c>
    </row>
    <row r="118" spans="5:8" x14ac:dyDescent="0.3">
      <c r="E118" s="1">
        <v>45183.875</v>
      </c>
      <c r="F118">
        <v>8.22003347081465E-2</v>
      </c>
      <c r="G118">
        <v>5.6477469918913697E-2</v>
      </c>
      <c r="H118">
        <v>5.5324348816749198E-2</v>
      </c>
    </row>
    <row r="119" spans="5:8" x14ac:dyDescent="0.3">
      <c r="E119" s="1">
        <v>45183.885416666664</v>
      </c>
      <c r="F119">
        <v>9.8628062207964495E-2</v>
      </c>
      <c r="G119">
        <v>5.8278085991843899E-2</v>
      </c>
      <c r="H119">
        <v>5.6107211213047403E-2</v>
      </c>
    </row>
    <row r="120" spans="5:8" x14ac:dyDescent="0.3">
      <c r="E120" s="1">
        <v>45183.895833333336</v>
      </c>
      <c r="F120">
        <v>9.4369790844787096E-2</v>
      </c>
      <c r="G120">
        <v>5.8935449229605599E-2</v>
      </c>
      <c r="H120">
        <v>5.8502417730614799E-2</v>
      </c>
    </row>
    <row r="121" spans="5:8" x14ac:dyDescent="0.3">
      <c r="E121" s="1">
        <v>45183.90625</v>
      </c>
      <c r="F121">
        <v>8.2146580723569604E-2</v>
      </c>
      <c r="G121">
        <v>5.4684873132165301E-2</v>
      </c>
      <c r="H121">
        <v>5.3487147769933199E-2</v>
      </c>
    </row>
    <row r="122" spans="5:8" x14ac:dyDescent="0.3">
      <c r="E122" s="1">
        <v>45183.916666666664</v>
      </c>
      <c r="F122">
        <v>8.7184933854543498E-2</v>
      </c>
      <c r="G122">
        <v>5.5184757563659502E-2</v>
      </c>
      <c r="H122">
        <v>5.2688223892774E-2</v>
      </c>
    </row>
    <row r="123" spans="5:8" x14ac:dyDescent="0.3">
      <c r="E123" s="1">
        <v>45183.927083333336</v>
      </c>
      <c r="F123">
        <v>9.9346239128742103E-2</v>
      </c>
      <c r="G123">
        <v>5.9009998263317098E-2</v>
      </c>
      <c r="H123">
        <v>5.86228714111202E-2</v>
      </c>
    </row>
    <row r="124" spans="5:8" x14ac:dyDescent="0.3">
      <c r="E124" s="1">
        <v>45183.9375</v>
      </c>
      <c r="F124">
        <v>0.13710233286210399</v>
      </c>
      <c r="G124">
        <v>6.1030542243978303E-2</v>
      </c>
      <c r="H124">
        <v>5.9650573447838702E-2</v>
      </c>
    </row>
    <row r="125" spans="5:8" x14ac:dyDescent="0.3">
      <c r="E125" s="1">
        <v>45183.947916666664</v>
      </c>
      <c r="F125">
        <v>0.14197340899171301</v>
      </c>
      <c r="G125">
        <v>8.3337975759531002E-2</v>
      </c>
      <c r="H125">
        <v>8.3307070828283605E-2</v>
      </c>
    </row>
    <row r="126" spans="5:8" x14ac:dyDescent="0.3">
      <c r="E126" s="1">
        <v>45183.958333333336</v>
      </c>
      <c r="F126">
        <v>0.109145921623359</v>
      </c>
      <c r="G126">
        <v>5.9973268821616799E-2</v>
      </c>
      <c r="H126">
        <v>5.74513809330474E-2</v>
      </c>
    </row>
    <row r="127" spans="5:8" x14ac:dyDescent="0.3">
      <c r="E127" s="1">
        <v>45183.96875</v>
      </c>
      <c r="F127">
        <v>0.106743672351633</v>
      </c>
      <c r="G127">
        <v>6.6419499323123299E-2</v>
      </c>
      <c r="H127">
        <v>6.3668520556787594E-2</v>
      </c>
    </row>
    <row r="128" spans="5:8" x14ac:dyDescent="0.3">
      <c r="E128" s="1">
        <v>45183.979166666664</v>
      </c>
      <c r="F128">
        <v>0.105009685809016</v>
      </c>
      <c r="G128">
        <v>5.6537462805079597E-2</v>
      </c>
      <c r="H128">
        <v>5.4506426724540299E-2</v>
      </c>
    </row>
    <row r="129" spans="5:8" x14ac:dyDescent="0.3">
      <c r="E129" s="1">
        <v>45183.989583333336</v>
      </c>
      <c r="F129">
        <v>6.9465330616129695E-2</v>
      </c>
      <c r="G129">
        <v>4.1565092870044902E-2</v>
      </c>
      <c r="H129">
        <v>3.9139726613867297E-2</v>
      </c>
    </row>
    <row r="130" spans="5:8" x14ac:dyDescent="0.3">
      <c r="E130" s="1">
        <v>45184</v>
      </c>
      <c r="F130">
        <v>6.1614250000930897E-2</v>
      </c>
      <c r="G130">
        <v>4.1708775185637398E-2</v>
      </c>
      <c r="H130">
        <v>4.1139298070570797E-2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storm7_results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Hucke Nunez, Nicole (huck4481@vandals.uidaho.edu)</cp:lastModifiedBy>
  <dcterms:created xsi:type="dcterms:W3CDTF">2025-10-23T22:24:38Z</dcterms:created>
  <dcterms:modified xsi:type="dcterms:W3CDTF">2025-11-15T02:00:19Z</dcterms:modified>
</cp:coreProperties>
</file>