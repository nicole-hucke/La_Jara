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Results\calculations\"/>
    </mc:Choice>
  </mc:AlternateContent>
  <xr:revisionPtr revIDLastSave="0" documentId="13_ncr:1_{5AA79D4D-E9D6-4ABD-B0A7-DC8405F649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x results" sheetId="1" r:id="rId1"/>
    <sheet name="time s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2" i="2" l="1"/>
  <c r="W99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4" i="2"/>
  <c r="G3" i="2"/>
  <c r="F3" i="2"/>
  <c r="BQ3" i="2" l="1"/>
  <c r="BR3" i="2" s="1"/>
  <c r="BS3" i="2" s="1"/>
  <c r="BY3" i="2"/>
  <c r="BZ3" i="2" s="1"/>
  <c r="BV1" i="2"/>
  <c r="BF1" i="2" l="1"/>
  <c r="BA3" i="2"/>
  <c r="BA4" i="2"/>
  <c r="BA5" i="2"/>
  <c r="BA6" i="2"/>
  <c r="BA7" i="2"/>
  <c r="BB7" i="2" s="1"/>
  <c r="BC7" i="2" s="1"/>
  <c r="BA8" i="2"/>
  <c r="BB8" i="2" s="1"/>
  <c r="BC8" i="2" s="1"/>
  <c r="BA9" i="2"/>
  <c r="BA10" i="2"/>
  <c r="BA11" i="2"/>
  <c r="BB11" i="2" s="1"/>
  <c r="BC11" i="2" s="1"/>
  <c r="BA12" i="2"/>
  <c r="BB12" i="2" s="1"/>
  <c r="BC12" i="2" s="1"/>
  <c r="BA13" i="2"/>
  <c r="BB13" i="2" s="1"/>
  <c r="BC13" i="2" s="1"/>
  <c r="BA14" i="2"/>
  <c r="BB14" i="2" s="1"/>
  <c r="BC14" i="2" s="1"/>
  <c r="BA15" i="2"/>
  <c r="BB15" i="2" s="1"/>
  <c r="BC15" i="2" s="1"/>
  <c r="BA16" i="2"/>
  <c r="BB16" i="2" s="1"/>
  <c r="BC16" i="2" s="1"/>
  <c r="BA17" i="2"/>
  <c r="BB17" i="2" s="1"/>
  <c r="BC17" i="2" s="1"/>
  <c r="BA18" i="2"/>
  <c r="BB18" i="2" s="1"/>
  <c r="BC18" i="2" s="1"/>
  <c r="BA19" i="2"/>
  <c r="BA20" i="2"/>
  <c r="BB20" i="2" s="1"/>
  <c r="BC20" i="2" s="1"/>
  <c r="BA21" i="2"/>
  <c r="BB21" i="2" s="1"/>
  <c r="BC21" i="2" s="1"/>
  <c r="BA22" i="2"/>
  <c r="BA23" i="2"/>
  <c r="BB23" i="2" s="1"/>
  <c r="BC23" i="2" s="1"/>
  <c r="BA24" i="2"/>
  <c r="BB24" i="2" s="1"/>
  <c r="BC24" i="2" s="1"/>
  <c r="BA25" i="2"/>
  <c r="BA26" i="2"/>
  <c r="BA27" i="2"/>
  <c r="BB27" i="2" s="1"/>
  <c r="BC27" i="2" s="1"/>
  <c r="BA28" i="2"/>
  <c r="BB28" i="2" s="1"/>
  <c r="BC28" i="2" s="1"/>
  <c r="BA29" i="2"/>
  <c r="BB29" i="2" s="1"/>
  <c r="BC29" i="2" s="1"/>
  <c r="BA30" i="2"/>
  <c r="BB30" i="2" s="1"/>
  <c r="BC30" i="2" s="1"/>
  <c r="BA31" i="2"/>
  <c r="BB31" i="2" s="1"/>
  <c r="BC31" i="2" s="1"/>
  <c r="BA32" i="2"/>
  <c r="BB32" i="2" s="1"/>
  <c r="BC32" i="2" s="1"/>
  <c r="BA33" i="2"/>
  <c r="BB33" i="2" s="1"/>
  <c r="BC33" i="2" s="1"/>
  <c r="BA34" i="2"/>
  <c r="BB34" i="2" s="1"/>
  <c r="BC34" i="2" s="1"/>
  <c r="BA35" i="2"/>
  <c r="BA36" i="2"/>
  <c r="BB36" i="2" s="1"/>
  <c r="BC36" i="2" s="1"/>
  <c r="BA37" i="2"/>
  <c r="BB37" i="2" s="1"/>
  <c r="BC37" i="2" s="1"/>
  <c r="BA38" i="2"/>
  <c r="BA39" i="2"/>
  <c r="BB39" i="2" s="1"/>
  <c r="BC39" i="2" s="1"/>
  <c r="BA40" i="2"/>
  <c r="BA41" i="2"/>
  <c r="BA42" i="2"/>
  <c r="BA43" i="2"/>
  <c r="BB43" i="2" s="1"/>
  <c r="BC43" i="2" s="1"/>
  <c r="BA44" i="2"/>
  <c r="BB44" i="2" s="1"/>
  <c r="BC44" i="2" s="1"/>
  <c r="BA45" i="2"/>
  <c r="BB45" i="2" s="1"/>
  <c r="BC45" i="2" s="1"/>
  <c r="BA46" i="2"/>
  <c r="BB46" i="2" s="1"/>
  <c r="BC46" i="2" s="1"/>
  <c r="BA47" i="2"/>
  <c r="BB47" i="2" s="1"/>
  <c r="BC47" i="2" s="1"/>
  <c r="BA48" i="2"/>
  <c r="BB48" i="2" s="1"/>
  <c r="BC48" i="2" s="1"/>
  <c r="BA49" i="2"/>
  <c r="BB49" i="2" s="1"/>
  <c r="BC49" i="2" s="1"/>
  <c r="BA50" i="2"/>
  <c r="BB50" i="2" s="1"/>
  <c r="BC50" i="2" s="1"/>
  <c r="BA51" i="2"/>
  <c r="BA52" i="2"/>
  <c r="BB52" i="2" s="1"/>
  <c r="BC52" i="2" s="1"/>
  <c r="BA53" i="2"/>
  <c r="BB53" i="2" s="1"/>
  <c r="BC53" i="2" s="1"/>
  <c r="BA54" i="2"/>
  <c r="BA55" i="2"/>
  <c r="BB55" i="2" s="1"/>
  <c r="BC55" i="2" s="1"/>
  <c r="BA56" i="2"/>
  <c r="BA57" i="2"/>
  <c r="BA58" i="2"/>
  <c r="BA59" i="2"/>
  <c r="BB59" i="2" s="1"/>
  <c r="BC59" i="2" s="1"/>
  <c r="BA60" i="2"/>
  <c r="BA61" i="2"/>
  <c r="BB61" i="2" s="1"/>
  <c r="BC61" i="2" s="1"/>
  <c r="BA62" i="2"/>
  <c r="BB62" i="2" s="1"/>
  <c r="BC62" i="2" s="1"/>
  <c r="BA63" i="2"/>
  <c r="BB63" i="2" s="1"/>
  <c r="BC63" i="2" s="1"/>
  <c r="BA64" i="2"/>
  <c r="BB64" i="2" s="1"/>
  <c r="BC64" i="2" s="1"/>
  <c r="BA65" i="2"/>
  <c r="BA66" i="2"/>
  <c r="BB66" i="2" s="1"/>
  <c r="BC66" i="2" s="1"/>
  <c r="BA67" i="2"/>
  <c r="BA68" i="2"/>
  <c r="BB68" i="2" s="1"/>
  <c r="BC68" i="2" s="1"/>
  <c r="BA69" i="2"/>
  <c r="BB69" i="2" s="1"/>
  <c r="BC69" i="2" s="1"/>
  <c r="BA70" i="2"/>
  <c r="BA71" i="2"/>
  <c r="BB71" i="2" s="1"/>
  <c r="BC71" i="2" s="1"/>
  <c r="BA72" i="2"/>
  <c r="BA73" i="2"/>
  <c r="BA74" i="2"/>
  <c r="BA75" i="2"/>
  <c r="BB75" i="2" s="1"/>
  <c r="BC75" i="2" s="1"/>
  <c r="BA76" i="2"/>
  <c r="BB76" i="2" s="1"/>
  <c r="BC76" i="2" s="1"/>
  <c r="BA77" i="2"/>
  <c r="BB77" i="2" s="1"/>
  <c r="BC77" i="2" s="1"/>
  <c r="BA78" i="2"/>
  <c r="BB78" i="2" s="1"/>
  <c r="BC78" i="2" s="1"/>
  <c r="BA79" i="2"/>
  <c r="BB79" i="2" s="1"/>
  <c r="BC79" i="2" s="1"/>
  <c r="BA80" i="2"/>
  <c r="BB80" i="2" s="1"/>
  <c r="BC80" i="2" s="1"/>
  <c r="BA81" i="2"/>
  <c r="BB81" i="2" s="1"/>
  <c r="BC81" i="2" s="1"/>
  <c r="BA82" i="2"/>
  <c r="BB82" i="2" s="1"/>
  <c r="BC82" i="2" s="1"/>
  <c r="BA83" i="2"/>
  <c r="BA84" i="2"/>
  <c r="BB84" i="2" s="1"/>
  <c r="BC84" i="2" s="1"/>
  <c r="BA85" i="2"/>
  <c r="BB85" i="2" s="1"/>
  <c r="BC85" i="2" s="1"/>
  <c r="BA86" i="2"/>
  <c r="BA87" i="2"/>
  <c r="BB87" i="2" s="1"/>
  <c r="BC87" i="2" s="1"/>
  <c r="BY4" i="2"/>
  <c r="BZ4" i="2" s="1"/>
  <c r="CA4" i="2" s="1"/>
  <c r="BY5" i="2"/>
  <c r="BZ5" i="2" s="1"/>
  <c r="CA5" i="2" s="1"/>
  <c r="BY6" i="2"/>
  <c r="BZ6" i="2" s="1"/>
  <c r="CA6" i="2" s="1"/>
  <c r="BY7" i="2"/>
  <c r="BZ7" i="2" s="1"/>
  <c r="CA7" i="2" s="1"/>
  <c r="BY8" i="2"/>
  <c r="BZ8" i="2" s="1"/>
  <c r="CA8" i="2" s="1"/>
  <c r="BY9" i="2"/>
  <c r="BZ9" i="2" s="1"/>
  <c r="CA9" i="2" s="1"/>
  <c r="BY10" i="2"/>
  <c r="BZ10" i="2" s="1"/>
  <c r="CA10" i="2" s="1"/>
  <c r="BY11" i="2"/>
  <c r="BZ11" i="2" s="1"/>
  <c r="CA11" i="2" s="1"/>
  <c r="BY12" i="2"/>
  <c r="BZ12" i="2" s="1"/>
  <c r="CA12" i="2" s="1"/>
  <c r="BY13" i="2"/>
  <c r="BZ13" i="2" s="1"/>
  <c r="CA13" i="2" s="1"/>
  <c r="BY14" i="2"/>
  <c r="BZ14" i="2" s="1"/>
  <c r="CA14" i="2" s="1"/>
  <c r="BY15" i="2"/>
  <c r="BZ15" i="2" s="1"/>
  <c r="CA15" i="2" s="1"/>
  <c r="BY16" i="2"/>
  <c r="BZ16" i="2" s="1"/>
  <c r="CA16" i="2" s="1"/>
  <c r="BY17" i="2"/>
  <c r="BZ17" i="2" s="1"/>
  <c r="CA17" i="2" s="1"/>
  <c r="BY18" i="2"/>
  <c r="BZ18" i="2" s="1"/>
  <c r="CA18" i="2" s="1"/>
  <c r="BY19" i="2"/>
  <c r="BZ19" i="2" s="1"/>
  <c r="CA19" i="2" s="1"/>
  <c r="BY20" i="2"/>
  <c r="BZ20" i="2" s="1"/>
  <c r="CA20" i="2" s="1"/>
  <c r="BY21" i="2"/>
  <c r="BZ21" i="2" s="1"/>
  <c r="CA21" i="2" s="1"/>
  <c r="BY22" i="2"/>
  <c r="BZ22" i="2" s="1"/>
  <c r="CA22" i="2" s="1"/>
  <c r="BY23" i="2"/>
  <c r="BZ23" i="2" s="1"/>
  <c r="CA23" i="2" s="1"/>
  <c r="BY24" i="2"/>
  <c r="BZ24" i="2" s="1"/>
  <c r="CA24" i="2" s="1"/>
  <c r="BY25" i="2"/>
  <c r="BZ25" i="2" s="1"/>
  <c r="CA25" i="2" s="1"/>
  <c r="BY26" i="2"/>
  <c r="BZ26" i="2" s="1"/>
  <c r="CA26" i="2" s="1"/>
  <c r="BY27" i="2"/>
  <c r="BZ27" i="2" s="1"/>
  <c r="CA27" i="2" s="1"/>
  <c r="BY28" i="2"/>
  <c r="BZ28" i="2" s="1"/>
  <c r="CA28" i="2" s="1"/>
  <c r="BY29" i="2"/>
  <c r="BZ29" i="2" s="1"/>
  <c r="CA29" i="2" s="1"/>
  <c r="BY30" i="2"/>
  <c r="BZ30" i="2" s="1"/>
  <c r="CA30" i="2" s="1"/>
  <c r="BY31" i="2"/>
  <c r="BZ31" i="2" s="1"/>
  <c r="CA31" i="2" s="1"/>
  <c r="BY32" i="2"/>
  <c r="BZ32" i="2" s="1"/>
  <c r="CA32" i="2" s="1"/>
  <c r="BY33" i="2"/>
  <c r="BZ33" i="2" s="1"/>
  <c r="CA33" i="2" s="1"/>
  <c r="BY34" i="2"/>
  <c r="BZ34" i="2" s="1"/>
  <c r="CA34" i="2" s="1"/>
  <c r="BY35" i="2"/>
  <c r="BZ35" i="2" s="1"/>
  <c r="CA35" i="2" s="1"/>
  <c r="BY36" i="2"/>
  <c r="BZ36" i="2" s="1"/>
  <c r="CA36" i="2" s="1"/>
  <c r="BY37" i="2"/>
  <c r="BZ37" i="2" s="1"/>
  <c r="CA37" i="2" s="1"/>
  <c r="BY38" i="2"/>
  <c r="BZ38" i="2" s="1"/>
  <c r="CA38" i="2" s="1"/>
  <c r="BY39" i="2"/>
  <c r="BZ39" i="2" s="1"/>
  <c r="CA39" i="2" s="1"/>
  <c r="BY40" i="2"/>
  <c r="BZ40" i="2" s="1"/>
  <c r="CA40" i="2" s="1"/>
  <c r="BY41" i="2"/>
  <c r="BZ41" i="2" s="1"/>
  <c r="CA41" i="2" s="1"/>
  <c r="BY42" i="2"/>
  <c r="BZ42" i="2" s="1"/>
  <c r="CA42" i="2" s="1"/>
  <c r="BY43" i="2"/>
  <c r="BZ43" i="2" s="1"/>
  <c r="CA43" i="2" s="1"/>
  <c r="BY44" i="2"/>
  <c r="BZ44" i="2" s="1"/>
  <c r="CA44" i="2" s="1"/>
  <c r="BY45" i="2"/>
  <c r="BZ45" i="2" s="1"/>
  <c r="CA45" i="2" s="1"/>
  <c r="BY46" i="2"/>
  <c r="BZ46" i="2" s="1"/>
  <c r="CA46" i="2" s="1"/>
  <c r="BY47" i="2"/>
  <c r="BZ47" i="2" s="1"/>
  <c r="CA47" i="2" s="1"/>
  <c r="BY48" i="2"/>
  <c r="BZ48" i="2" s="1"/>
  <c r="CA48" i="2" s="1"/>
  <c r="BY49" i="2"/>
  <c r="BZ49" i="2" s="1"/>
  <c r="CA49" i="2" s="1"/>
  <c r="BY50" i="2"/>
  <c r="BZ50" i="2" s="1"/>
  <c r="CA50" i="2" s="1"/>
  <c r="BY51" i="2"/>
  <c r="BZ51" i="2" s="1"/>
  <c r="CA51" i="2" s="1"/>
  <c r="BY52" i="2"/>
  <c r="BZ52" i="2" s="1"/>
  <c r="CA52" i="2" s="1"/>
  <c r="BY53" i="2"/>
  <c r="BZ53" i="2" s="1"/>
  <c r="CA53" i="2" s="1"/>
  <c r="BY54" i="2"/>
  <c r="BZ54" i="2" s="1"/>
  <c r="CA54" i="2" s="1"/>
  <c r="BY55" i="2"/>
  <c r="BZ55" i="2" s="1"/>
  <c r="CA55" i="2" s="1"/>
  <c r="BY56" i="2"/>
  <c r="BZ56" i="2" s="1"/>
  <c r="CA56" i="2" s="1"/>
  <c r="BY57" i="2"/>
  <c r="BZ57" i="2" s="1"/>
  <c r="CA57" i="2" s="1"/>
  <c r="BY58" i="2"/>
  <c r="BZ58" i="2" s="1"/>
  <c r="CA58" i="2" s="1"/>
  <c r="BY59" i="2"/>
  <c r="BZ59" i="2" s="1"/>
  <c r="CA59" i="2" s="1"/>
  <c r="BY60" i="2"/>
  <c r="BZ60" i="2" s="1"/>
  <c r="CA60" i="2" s="1"/>
  <c r="BY61" i="2"/>
  <c r="BZ61" i="2" s="1"/>
  <c r="CA61" i="2" s="1"/>
  <c r="BY62" i="2"/>
  <c r="BZ62" i="2" s="1"/>
  <c r="CA62" i="2" s="1"/>
  <c r="BY63" i="2"/>
  <c r="BZ63" i="2" s="1"/>
  <c r="CA63" i="2" s="1"/>
  <c r="BY64" i="2"/>
  <c r="BZ64" i="2" s="1"/>
  <c r="CA64" i="2" s="1"/>
  <c r="BY65" i="2"/>
  <c r="BZ65" i="2" s="1"/>
  <c r="CA65" i="2" s="1"/>
  <c r="BY66" i="2"/>
  <c r="BZ66" i="2" s="1"/>
  <c r="CA66" i="2" s="1"/>
  <c r="BY67" i="2"/>
  <c r="BZ67" i="2" s="1"/>
  <c r="CA67" i="2" s="1"/>
  <c r="BY68" i="2"/>
  <c r="BZ68" i="2" s="1"/>
  <c r="CA68" i="2" s="1"/>
  <c r="BY69" i="2"/>
  <c r="BZ69" i="2" s="1"/>
  <c r="CA69" i="2" s="1"/>
  <c r="BY70" i="2"/>
  <c r="BZ70" i="2" s="1"/>
  <c r="CA70" i="2" s="1"/>
  <c r="BY71" i="2"/>
  <c r="BZ71" i="2" s="1"/>
  <c r="CA71" i="2" s="1"/>
  <c r="BY72" i="2"/>
  <c r="BZ72" i="2" s="1"/>
  <c r="CA72" i="2" s="1"/>
  <c r="BY73" i="2"/>
  <c r="BZ73" i="2" s="1"/>
  <c r="CA73" i="2" s="1"/>
  <c r="BY74" i="2"/>
  <c r="BZ74" i="2" s="1"/>
  <c r="CA74" i="2" s="1"/>
  <c r="BY75" i="2"/>
  <c r="BZ75" i="2" s="1"/>
  <c r="CA75" i="2" s="1"/>
  <c r="BY76" i="2"/>
  <c r="BZ76" i="2" s="1"/>
  <c r="CA76" i="2" s="1"/>
  <c r="BY77" i="2"/>
  <c r="BZ77" i="2" s="1"/>
  <c r="CA77" i="2" s="1"/>
  <c r="BY78" i="2"/>
  <c r="BZ78" i="2" s="1"/>
  <c r="CA78" i="2" s="1"/>
  <c r="BY79" i="2"/>
  <c r="BZ79" i="2" s="1"/>
  <c r="CA79" i="2" s="1"/>
  <c r="BY80" i="2"/>
  <c r="BZ80" i="2" s="1"/>
  <c r="CA80" i="2" s="1"/>
  <c r="BY81" i="2"/>
  <c r="BZ81" i="2" s="1"/>
  <c r="CA81" i="2" s="1"/>
  <c r="BY82" i="2"/>
  <c r="BZ82" i="2" s="1"/>
  <c r="CA82" i="2" s="1"/>
  <c r="BY83" i="2"/>
  <c r="BZ83" i="2" s="1"/>
  <c r="CA83" i="2" s="1"/>
  <c r="BY84" i="2"/>
  <c r="BZ84" i="2" s="1"/>
  <c r="CA84" i="2" s="1"/>
  <c r="BY85" i="2"/>
  <c r="BZ85" i="2" s="1"/>
  <c r="CA85" i="2" s="1"/>
  <c r="BY86" i="2"/>
  <c r="BZ86" i="2" s="1"/>
  <c r="CA86" i="2" s="1"/>
  <c r="BY87" i="2"/>
  <c r="BZ87" i="2" s="1"/>
  <c r="CA87" i="2" s="1"/>
  <c r="BY88" i="2"/>
  <c r="BZ88" i="2" s="1"/>
  <c r="CA88" i="2" s="1"/>
  <c r="BY89" i="2"/>
  <c r="BZ89" i="2" s="1"/>
  <c r="CA89" i="2" s="1"/>
  <c r="BY90" i="2"/>
  <c r="BZ90" i="2" s="1"/>
  <c r="CA90" i="2" s="1"/>
  <c r="BY91" i="2"/>
  <c r="BZ91" i="2" s="1"/>
  <c r="CA91" i="2" s="1"/>
  <c r="BY92" i="2"/>
  <c r="BZ92" i="2" s="1"/>
  <c r="CA92" i="2" s="1"/>
  <c r="BY93" i="2"/>
  <c r="BZ93" i="2" s="1"/>
  <c r="CA93" i="2" s="1"/>
  <c r="BY94" i="2"/>
  <c r="BZ94" i="2" s="1"/>
  <c r="CA94" i="2" s="1"/>
  <c r="BY95" i="2"/>
  <c r="BZ95" i="2" s="1"/>
  <c r="CA95" i="2" s="1"/>
  <c r="BY96" i="2"/>
  <c r="BZ96" i="2" s="1"/>
  <c r="CA96" i="2" s="1"/>
  <c r="BY97" i="2"/>
  <c r="BZ97" i="2" s="1"/>
  <c r="CA97" i="2" s="1"/>
  <c r="BY98" i="2"/>
  <c r="BZ98" i="2" s="1"/>
  <c r="CA98" i="2" s="1"/>
  <c r="BY99" i="2"/>
  <c r="BZ99" i="2" s="1"/>
  <c r="CA99" i="2" s="1"/>
  <c r="BY100" i="2"/>
  <c r="BZ100" i="2" s="1"/>
  <c r="CA100" i="2" s="1"/>
  <c r="BY101" i="2"/>
  <c r="BZ101" i="2" s="1"/>
  <c r="CA101" i="2" s="1"/>
  <c r="BY102" i="2"/>
  <c r="BZ102" i="2" s="1"/>
  <c r="CA102" i="2" s="1"/>
  <c r="BY103" i="2"/>
  <c r="BZ103" i="2" s="1"/>
  <c r="CA103" i="2" s="1"/>
  <c r="BY104" i="2"/>
  <c r="BZ104" i="2" s="1"/>
  <c r="CA104" i="2" s="1"/>
  <c r="BY105" i="2"/>
  <c r="BZ105" i="2" s="1"/>
  <c r="CA105" i="2" s="1"/>
  <c r="BY106" i="2"/>
  <c r="BZ106" i="2" s="1"/>
  <c r="CA106" i="2" s="1"/>
  <c r="BY107" i="2"/>
  <c r="BZ107" i="2" s="1"/>
  <c r="CA107" i="2" s="1"/>
  <c r="BY108" i="2"/>
  <c r="BZ108" i="2" s="1"/>
  <c r="CA108" i="2" s="1"/>
  <c r="BY109" i="2"/>
  <c r="BZ109" i="2" s="1"/>
  <c r="CA109" i="2" s="1"/>
  <c r="BY110" i="2"/>
  <c r="BZ110" i="2" s="1"/>
  <c r="CA110" i="2" s="1"/>
  <c r="BY111" i="2"/>
  <c r="BZ111" i="2" s="1"/>
  <c r="CA111" i="2" s="1"/>
  <c r="BY112" i="2"/>
  <c r="BZ112" i="2" s="1"/>
  <c r="CA112" i="2" s="1"/>
  <c r="BY113" i="2"/>
  <c r="BZ113" i="2" s="1"/>
  <c r="CA113" i="2" s="1"/>
  <c r="BY114" i="2"/>
  <c r="BZ114" i="2" s="1"/>
  <c r="CA114" i="2" s="1"/>
  <c r="BY115" i="2"/>
  <c r="BZ115" i="2" s="1"/>
  <c r="CA115" i="2" s="1"/>
  <c r="BY116" i="2"/>
  <c r="BZ116" i="2" s="1"/>
  <c r="CA116" i="2" s="1"/>
  <c r="BY117" i="2"/>
  <c r="BZ117" i="2" s="1"/>
  <c r="CA117" i="2" s="1"/>
  <c r="BY118" i="2"/>
  <c r="BZ118" i="2" s="1"/>
  <c r="CA118" i="2" s="1"/>
  <c r="BY119" i="2"/>
  <c r="BZ119" i="2" s="1"/>
  <c r="CA119" i="2" s="1"/>
  <c r="BY120" i="2"/>
  <c r="BZ120" i="2" s="1"/>
  <c r="CA120" i="2" s="1"/>
  <c r="CA3" i="2"/>
  <c r="BR10" i="2"/>
  <c r="BS10" i="2" s="1"/>
  <c r="BR12" i="2"/>
  <c r="BS12" i="2" s="1"/>
  <c r="BR26" i="2"/>
  <c r="BS26" i="2" s="1"/>
  <c r="BR42" i="2"/>
  <c r="BS42" i="2" s="1"/>
  <c r="BR54" i="2"/>
  <c r="BS54" i="2" s="1"/>
  <c r="BR91" i="2"/>
  <c r="BS91" i="2" s="1"/>
  <c r="BR92" i="2"/>
  <c r="BS92" i="2" s="1"/>
  <c r="BR106" i="2"/>
  <c r="BS106" i="2" s="1"/>
  <c r="BR108" i="2"/>
  <c r="BS108" i="2" s="1"/>
  <c r="BR123" i="2"/>
  <c r="BS123" i="2" s="1"/>
  <c r="BN1" i="2"/>
  <c r="BQ4" i="2"/>
  <c r="BR4" i="2" s="1"/>
  <c r="BS4" i="2" s="1"/>
  <c r="BQ5" i="2"/>
  <c r="BR5" i="2" s="1"/>
  <c r="BS5" i="2" s="1"/>
  <c r="BQ6" i="2"/>
  <c r="BR6" i="2" s="1"/>
  <c r="BS6" i="2" s="1"/>
  <c r="BQ7" i="2"/>
  <c r="BR7" i="2" s="1"/>
  <c r="BS7" i="2" s="1"/>
  <c r="BQ8" i="2"/>
  <c r="BR8" i="2" s="1"/>
  <c r="BS8" i="2" s="1"/>
  <c r="BQ9" i="2"/>
  <c r="BR9" i="2" s="1"/>
  <c r="BS9" i="2" s="1"/>
  <c r="BQ10" i="2"/>
  <c r="BQ11" i="2"/>
  <c r="BR11" i="2" s="1"/>
  <c r="BS11" i="2" s="1"/>
  <c r="BQ12" i="2"/>
  <c r="BQ13" i="2"/>
  <c r="BR13" i="2" s="1"/>
  <c r="BS13" i="2" s="1"/>
  <c r="BQ14" i="2"/>
  <c r="BR14" i="2" s="1"/>
  <c r="BS14" i="2" s="1"/>
  <c r="BQ15" i="2"/>
  <c r="BR15" i="2" s="1"/>
  <c r="BS15" i="2" s="1"/>
  <c r="BQ16" i="2"/>
  <c r="BR16" i="2" s="1"/>
  <c r="BS16" i="2" s="1"/>
  <c r="BQ17" i="2"/>
  <c r="BR17" i="2" s="1"/>
  <c r="BS17" i="2" s="1"/>
  <c r="BQ18" i="2"/>
  <c r="BR18" i="2" s="1"/>
  <c r="BS18" i="2" s="1"/>
  <c r="BQ19" i="2"/>
  <c r="BR19" i="2" s="1"/>
  <c r="BS19" i="2" s="1"/>
  <c r="BQ20" i="2"/>
  <c r="BR20" i="2" s="1"/>
  <c r="BS20" i="2" s="1"/>
  <c r="BQ21" i="2"/>
  <c r="BR21" i="2" s="1"/>
  <c r="BS21" i="2" s="1"/>
  <c r="BQ22" i="2"/>
  <c r="BR22" i="2" s="1"/>
  <c r="BS22" i="2" s="1"/>
  <c r="BQ23" i="2"/>
  <c r="BR23" i="2" s="1"/>
  <c r="BS23" i="2" s="1"/>
  <c r="BQ24" i="2"/>
  <c r="BR24" i="2" s="1"/>
  <c r="BS24" i="2" s="1"/>
  <c r="BQ25" i="2"/>
  <c r="BR25" i="2" s="1"/>
  <c r="BS25" i="2" s="1"/>
  <c r="BQ26" i="2"/>
  <c r="BQ27" i="2"/>
  <c r="BR27" i="2" s="1"/>
  <c r="BS27" i="2" s="1"/>
  <c r="BQ28" i="2"/>
  <c r="BR28" i="2" s="1"/>
  <c r="BS28" i="2" s="1"/>
  <c r="BQ29" i="2"/>
  <c r="BR29" i="2" s="1"/>
  <c r="BS29" i="2" s="1"/>
  <c r="BQ30" i="2"/>
  <c r="BR30" i="2" s="1"/>
  <c r="BS30" i="2" s="1"/>
  <c r="BQ31" i="2"/>
  <c r="BR31" i="2" s="1"/>
  <c r="BS31" i="2" s="1"/>
  <c r="BQ32" i="2"/>
  <c r="BR32" i="2" s="1"/>
  <c r="BS32" i="2" s="1"/>
  <c r="BQ33" i="2"/>
  <c r="BR33" i="2" s="1"/>
  <c r="BS33" i="2" s="1"/>
  <c r="BQ34" i="2"/>
  <c r="BR34" i="2" s="1"/>
  <c r="BS34" i="2" s="1"/>
  <c r="BQ35" i="2"/>
  <c r="BR35" i="2" s="1"/>
  <c r="BS35" i="2" s="1"/>
  <c r="BQ36" i="2"/>
  <c r="BR36" i="2" s="1"/>
  <c r="BS36" i="2" s="1"/>
  <c r="BQ37" i="2"/>
  <c r="BR37" i="2" s="1"/>
  <c r="BS37" i="2" s="1"/>
  <c r="BQ38" i="2"/>
  <c r="BR38" i="2" s="1"/>
  <c r="BS38" i="2" s="1"/>
  <c r="BQ39" i="2"/>
  <c r="BR39" i="2" s="1"/>
  <c r="BS39" i="2" s="1"/>
  <c r="BQ40" i="2"/>
  <c r="BR40" i="2" s="1"/>
  <c r="BS40" i="2" s="1"/>
  <c r="BQ41" i="2"/>
  <c r="BR41" i="2" s="1"/>
  <c r="BS41" i="2" s="1"/>
  <c r="BQ42" i="2"/>
  <c r="BQ43" i="2"/>
  <c r="BR43" i="2" s="1"/>
  <c r="BS43" i="2" s="1"/>
  <c r="BQ44" i="2"/>
  <c r="BR44" i="2" s="1"/>
  <c r="BS44" i="2" s="1"/>
  <c r="BQ45" i="2"/>
  <c r="BR45" i="2" s="1"/>
  <c r="BS45" i="2" s="1"/>
  <c r="BQ46" i="2"/>
  <c r="BR46" i="2" s="1"/>
  <c r="BS46" i="2" s="1"/>
  <c r="BQ47" i="2"/>
  <c r="BR47" i="2" s="1"/>
  <c r="BS47" i="2" s="1"/>
  <c r="BQ48" i="2"/>
  <c r="BR48" i="2" s="1"/>
  <c r="BS48" i="2" s="1"/>
  <c r="BQ49" i="2"/>
  <c r="BR49" i="2" s="1"/>
  <c r="BS49" i="2" s="1"/>
  <c r="BQ50" i="2"/>
  <c r="BR50" i="2" s="1"/>
  <c r="BS50" i="2" s="1"/>
  <c r="BQ51" i="2"/>
  <c r="BR51" i="2" s="1"/>
  <c r="BS51" i="2" s="1"/>
  <c r="BQ52" i="2"/>
  <c r="BR52" i="2" s="1"/>
  <c r="BS52" i="2" s="1"/>
  <c r="BQ53" i="2"/>
  <c r="BR53" i="2" s="1"/>
  <c r="BS53" i="2" s="1"/>
  <c r="BQ54" i="2"/>
  <c r="BQ55" i="2"/>
  <c r="BR55" i="2" s="1"/>
  <c r="BS55" i="2" s="1"/>
  <c r="BQ56" i="2"/>
  <c r="BR56" i="2" s="1"/>
  <c r="BS56" i="2" s="1"/>
  <c r="BQ57" i="2"/>
  <c r="BR57" i="2" s="1"/>
  <c r="BS57" i="2" s="1"/>
  <c r="BQ58" i="2"/>
  <c r="BR58" i="2" s="1"/>
  <c r="BS58" i="2" s="1"/>
  <c r="BQ59" i="2"/>
  <c r="BR59" i="2" s="1"/>
  <c r="BS59" i="2" s="1"/>
  <c r="BQ60" i="2"/>
  <c r="BR60" i="2" s="1"/>
  <c r="BS60" i="2" s="1"/>
  <c r="BQ61" i="2"/>
  <c r="BR61" i="2" s="1"/>
  <c r="BS61" i="2" s="1"/>
  <c r="BQ62" i="2"/>
  <c r="BR62" i="2" s="1"/>
  <c r="BS62" i="2" s="1"/>
  <c r="BQ63" i="2"/>
  <c r="BR63" i="2" s="1"/>
  <c r="BS63" i="2" s="1"/>
  <c r="BQ64" i="2"/>
  <c r="BR64" i="2" s="1"/>
  <c r="BS64" i="2" s="1"/>
  <c r="BQ65" i="2"/>
  <c r="BR65" i="2" s="1"/>
  <c r="BS65" i="2" s="1"/>
  <c r="BQ66" i="2"/>
  <c r="BR66" i="2" s="1"/>
  <c r="BS66" i="2" s="1"/>
  <c r="BQ67" i="2"/>
  <c r="BR67" i="2" s="1"/>
  <c r="BS67" i="2" s="1"/>
  <c r="BQ68" i="2"/>
  <c r="BR68" i="2" s="1"/>
  <c r="BS68" i="2" s="1"/>
  <c r="BQ69" i="2"/>
  <c r="BR69" i="2" s="1"/>
  <c r="BS69" i="2" s="1"/>
  <c r="BQ70" i="2"/>
  <c r="BR70" i="2" s="1"/>
  <c r="BS70" i="2" s="1"/>
  <c r="BQ71" i="2"/>
  <c r="BR71" i="2" s="1"/>
  <c r="BS71" i="2" s="1"/>
  <c r="BQ72" i="2"/>
  <c r="BR72" i="2" s="1"/>
  <c r="BS72" i="2" s="1"/>
  <c r="BQ73" i="2"/>
  <c r="BR73" i="2" s="1"/>
  <c r="BS73" i="2" s="1"/>
  <c r="BQ74" i="2"/>
  <c r="BR74" i="2" s="1"/>
  <c r="BS74" i="2" s="1"/>
  <c r="BQ75" i="2"/>
  <c r="BR75" i="2" s="1"/>
  <c r="BS75" i="2" s="1"/>
  <c r="BQ76" i="2"/>
  <c r="BR76" i="2" s="1"/>
  <c r="BS76" i="2" s="1"/>
  <c r="BQ77" i="2"/>
  <c r="BR77" i="2" s="1"/>
  <c r="BS77" i="2" s="1"/>
  <c r="BQ78" i="2"/>
  <c r="BR78" i="2" s="1"/>
  <c r="BS78" i="2" s="1"/>
  <c r="BQ79" i="2"/>
  <c r="BR79" i="2" s="1"/>
  <c r="BS79" i="2" s="1"/>
  <c r="BQ80" i="2"/>
  <c r="BR80" i="2" s="1"/>
  <c r="BS80" i="2" s="1"/>
  <c r="BQ81" i="2"/>
  <c r="BR81" i="2" s="1"/>
  <c r="BS81" i="2" s="1"/>
  <c r="BQ82" i="2"/>
  <c r="BR82" i="2" s="1"/>
  <c r="BS82" i="2" s="1"/>
  <c r="BQ83" i="2"/>
  <c r="BR83" i="2" s="1"/>
  <c r="BS83" i="2" s="1"/>
  <c r="BQ84" i="2"/>
  <c r="BR84" i="2" s="1"/>
  <c r="BS84" i="2" s="1"/>
  <c r="BQ85" i="2"/>
  <c r="BR85" i="2" s="1"/>
  <c r="BS85" i="2" s="1"/>
  <c r="BQ86" i="2"/>
  <c r="BR86" i="2" s="1"/>
  <c r="BS86" i="2" s="1"/>
  <c r="BQ87" i="2"/>
  <c r="BR87" i="2" s="1"/>
  <c r="BS87" i="2" s="1"/>
  <c r="BQ88" i="2"/>
  <c r="BR88" i="2" s="1"/>
  <c r="BS88" i="2" s="1"/>
  <c r="BQ89" i="2"/>
  <c r="BR89" i="2" s="1"/>
  <c r="BS89" i="2" s="1"/>
  <c r="BQ90" i="2"/>
  <c r="BR90" i="2" s="1"/>
  <c r="BS90" i="2" s="1"/>
  <c r="BQ91" i="2"/>
  <c r="BQ92" i="2"/>
  <c r="BQ93" i="2"/>
  <c r="BR93" i="2" s="1"/>
  <c r="BS93" i="2" s="1"/>
  <c r="BQ94" i="2"/>
  <c r="BR94" i="2" s="1"/>
  <c r="BS94" i="2" s="1"/>
  <c r="BQ95" i="2"/>
  <c r="BR95" i="2" s="1"/>
  <c r="BS95" i="2" s="1"/>
  <c r="BQ96" i="2"/>
  <c r="BR96" i="2" s="1"/>
  <c r="BS96" i="2" s="1"/>
  <c r="BQ97" i="2"/>
  <c r="BR97" i="2" s="1"/>
  <c r="BS97" i="2" s="1"/>
  <c r="BQ98" i="2"/>
  <c r="BR98" i="2" s="1"/>
  <c r="BS98" i="2" s="1"/>
  <c r="BQ99" i="2"/>
  <c r="BR99" i="2" s="1"/>
  <c r="BS99" i="2" s="1"/>
  <c r="BQ100" i="2"/>
  <c r="BR100" i="2" s="1"/>
  <c r="BS100" i="2" s="1"/>
  <c r="BQ101" i="2"/>
  <c r="BR101" i="2" s="1"/>
  <c r="BS101" i="2" s="1"/>
  <c r="BQ102" i="2"/>
  <c r="BR102" i="2" s="1"/>
  <c r="BS102" i="2" s="1"/>
  <c r="BQ103" i="2"/>
  <c r="BR103" i="2" s="1"/>
  <c r="BS103" i="2" s="1"/>
  <c r="BQ104" i="2"/>
  <c r="BR104" i="2" s="1"/>
  <c r="BS104" i="2" s="1"/>
  <c r="BQ105" i="2"/>
  <c r="BR105" i="2" s="1"/>
  <c r="BS105" i="2" s="1"/>
  <c r="BQ106" i="2"/>
  <c r="BQ107" i="2"/>
  <c r="BR107" i="2" s="1"/>
  <c r="BS107" i="2" s="1"/>
  <c r="BQ108" i="2"/>
  <c r="BQ109" i="2"/>
  <c r="BR109" i="2" s="1"/>
  <c r="BS109" i="2" s="1"/>
  <c r="BQ110" i="2"/>
  <c r="BR110" i="2" s="1"/>
  <c r="BS110" i="2" s="1"/>
  <c r="BQ111" i="2"/>
  <c r="BR111" i="2" s="1"/>
  <c r="BS111" i="2" s="1"/>
  <c r="BQ112" i="2"/>
  <c r="BR112" i="2" s="1"/>
  <c r="BS112" i="2" s="1"/>
  <c r="BQ113" i="2"/>
  <c r="BR113" i="2" s="1"/>
  <c r="BS113" i="2" s="1"/>
  <c r="BQ114" i="2"/>
  <c r="BR114" i="2" s="1"/>
  <c r="BS114" i="2" s="1"/>
  <c r="BQ115" i="2"/>
  <c r="BR115" i="2" s="1"/>
  <c r="BS115" i="2" s="1"/>
  <c r="BQ116" i="2"/>
  <c r="BR116" i="2" s="1"/>
  <c r="BS116" i="2" s="1"/>
  <c r="BQ117" i="2"/>
  <c r="BR117" i="2" s="1"/>
  <c r="BS117" i="2" s="1"/>
  <c r="BQ118" i="2"/>
  <c r="BR118" i="2" s="1"/>
  <c r="BS118" i="2" s="1"/>
  <c r="BQ119" i="2"/>
  <c r="BR119" i="2" s="1"/>
  <c r="BS119" i="2" s="1"/>
  <c r="BQ120" i="2"/>
  <c r="BR120" i="2" s="1"/>
  <c r="BS120" i="2" s="1"/>
  <c r="BQ121" i="2"/>
  <c r="BR121" i="2" s="1"/>
  <c r="BS121" i="2" s="1"/>
  <c r="BQ122" i="2"/>
  <c r="BR122" i="2" s="1"/>
  <c r="BS122" i="2" s="1"/>
  <c r="BQ123" i="2"/>
  <c r="BJ18" i="2"/>
  <c r="BK18" i="2" s="1"/>
  <c r="BJ34" i="2"/>
  <c r="BK34" i="2" s="1"/>
  <c r="BJ40" i="2"/>
  <c r="BK40" i="2" s="1"/>
  <c r="BJ50" i="2"/>
  <c r="BK50" i="2" s="1"/>
  <c r="BJ55" i="2"/>
  <c r="BK55" i="2" s="1"/>
  <c r="BJ56" i="2"/>
  <c r="BK56" i="2" s="1"/>
  <c r="BJ64" i="2"/>
  <c r="BK64" i="2" s="1"/>
  <c r="BJ82" i="2"/>
  <c r="BK82" i="2" s="1"/>
  <c r="BJ104" i="2"/>
  <c r="BK104" i="2" s="1"/>
  <c r="BJ114" i="2"/>
  <c r="BK114" i="2" s="1"/>
  <c r="BJ120" i="2"/>
  <c r="BK120" i="2" s="1"/>
  <c r="BJ130" i="2"/>
  <c r="BK130" i="2" s="1"/>
  <c r="BJ136" i="2"/>
  <c r="BK136" i="2" s="1"/>
  <c r="BJ146" i="2"/>
  <c r="BK146" i="2" s="1"/>
  <c r="BI4" i="2"/>
  <c r="BJ4" i="2" s="1"/>
  <c r="BK4" i="2" s="1"/>
  <c r="BI5" i="2"/>
  <c r="BJ5" i="2" s="1"/>
  <c r="BK5" i="2" s="1"/>
  <c r="BI6" i="2"/>
  <c r="BJ6" i="2" s="1"/>
  <c r="BK6" i="2" s="1"/>
  <c r="BI7" i="2"/>
  <c r="BJ7" i="2" s="1"/>
  <c r="BK7" i="2" s="1"/>
  <c r="BI8" i="2"/>
  <c r="BJ8" i="2" s="1"/>
  <c r="BK8" i="2" s="1"/>
  <c r="BI9" i="2"/>
  <c r="BJ9" i="2" s="1"/>
  <c r="BK9" i="2" s="1"/>
  <c r="BI10" i="2"/>
  <c r="BJ10" i="2" s="1"/>
  <c r="BK10" i="2" s="1"/>
  <c r="BI11" i="2"/>
  <c r="BJ11" i="2" s="1"/>
  <c r="BK11" i="2" s="1"/>
  <c r="BI12" i="2"/>
  <c r="BJ12" i="2" s="1"/>
  <c r="BK12" i="2" s="1"/>
  <c r="BI13" i="2"/>
  <c r="BJ13" i="2" s="1"/>
  <c r="BK13" i="2" s="1"/>
  <c r="BI14" i="2"/>
  <c r="BJ14" i="2" s="1"/>
  <c r="BK14" i="2" s="1"/>
  <c r="BI15" i="2"/>
  <c r="BJ15" i="2" s="1"/>
  <c r="BK15" i="2" s="1"/>
  <c r="BI16" i="2"/>
  <c r="BJ16" i="2" s="1"/>
  <c r="BK16" i="2" s="1"/>
  <c r="BI17" i="2"/>
  <c r="BJ17" i="2" s="1"/>
  <c r="BK17" i="2" s="1"/>
  <c r="BI18" i="2"/>
  <c r="BI19" i="2"/>
  <c r="BJ19" i="2" s="1"/>
  <c r="BK19" i="2" s="1"/>
  <c r="BI20" i="2"/>
  <c r="BJ20" i="2" s="1"/>
  <c r="BK20" i="2" s="1"/>
  <c r="BI21" i="2"/>
  <c r="BJ21" i="2" s="1"/>
  <c r="BK21" i="2" s="1"/>
  <c r="BI22" i="2"/>
  <c r="BJ22" i="2" s="1"/>
  <c r="BK22" i="2" s="1"/>
  <c r="BI23" i="2"/>
  <c r="BJ23" i="2" s="1"/>
  <c r="BK23" i="2" s="1"/>
  <c r="BI24" i="2"/>
  <c r="BJ24" i="2" s="1"/>
  <c r="BK24" i="2" s="1"/>
  <c r="BI25" i="2"/>
  <c r="BJ25" i="2" s="1"/>
  <c r="BK25" i="2" s="1"/>
  <c r="BI26" i="2"/>
  <c r="BJ26" i="2" s="1"/>
  <c r="BK26" i="2" s="1"/>
  <c r="BI27" i="2"/>
  <c r="BJ27" i="2" s="1"/>
  <c r="BK27" i="2" s="1"/>
  <c r="BI28" i="2"/>
  <c r="BJ28" i="2" s="1"/>
  <c r="BK28" i="2" s="1"/>
  <c r="BI29" i="2"/>
  <c r="BJ29" i="2" s="1"/>
  <c r="BK29" i="2" s="1"/>
  <c r="BI30" i="2"/>
  <c r="BJ30" i="2" s="1"/>
  <c r="BK30" i="2" s="1"/>
  <c r="BI31" i="2"/>
  <c r="BJ31" i="2" s="1"/>
  <c r="BK31" i="2" s="1"/>
  <c r="BI32" i="2"/>
  <c r="BJ32" i="2" s="1"/>
  <c r="BK32" i="2" s="1"/>
  <c r="BI33" i="2"/>
  <c r="BJ33" i="2" s="1"/>
  <c r="BK33" i="2" s="1"/>
  <c r="BI34" i="2"/>
  <c r="BI35" i="2"/>
  <c r="BJ35" i="2" s="1"/>
  <c r="BK35" i="2" s="1"/>
  <c r="BI36" i="2"/>
  <c r="BJ36" i="2" s="1"/>
  <c r="BK36" i="2" s="1"/>
  <c r="BI37" i="2"/>
  <c r="BJ37" i="2" s="1"/>
  <c r="BK37" i="2" s="1"/>
  <c r="BI38" i="2"/>
  <c r="BJ38" i="2" s="1"/>
  <c r="BK38" i="2" s="1"/>
  <c r="BI39" i="2"/>
  <c r="BJ39" i="2" s="1"/>
  <c r="BK39" i="2" s="1"/>
  <c r="BI40" i="2"/>
  <c r="BI41" i="2"/>
  <c r="BJ41" i="2" s="1"/>
  <c r="BK41" i="2" s="1"/>
  <c r="BI42" i="2"/>
  <c r="BJ42" i="2" s="1"/>
  <c r="BK42" i="2" s="1"/>
  <c r="BI43" i="2"/>
  <c r="BJ43" i="2" s="1"/>
  <c r="BK43" i="2" s="1"/>
  <c r="BI44" i="2"/>
  <c r="BJ44" i="2" s="1"/>
  <c r="BK44" i="2" s="1"/>
  <c r="BI45" i="2"/>
  <c r="BJ45" i="2" s="1"/>
  <c r="BK45" i="2" s="1"/>
  <c r="BI46" i="2"/>
  <c r="BJ46" i="2" s="1"/>
  <c r="BK46" i="2" s="1"/>
  <c r="BI47" i="2"/>
  <c r="BJ47" i="2" s="1"/>
  <c r="BK47" i="2" s="1"/>
  <c r="BI48" i="2"/>
  <c r="BJ48" i="2" s="1"/>
  <c r="BK48" i="2" s="1"/>
  <c r="BI49" i="2"/>
  <c r="BJ49" i="2" s="1"/>
  <c r="BK49" i="2" s="1"/>
  <c r="BI50" i="2"/>
  <c r="BI51" i="2"/>
  <c r="BJ51" i="2" s="1"/>
  <c r="BK51" i="2" s="1"/>
  <c r="BI52" i="2"/>
  <c r="BJ52" i="2" s="1"/>
  <c r="BK52" i="2" s="1"/>
  <c r="BI53" i="2"/>
  <c r="BJ53" i="2" s="1"/>
  <c r="BK53" i="2" s="1"/>
  <c r="BI54" i="2"/>
  <c r="BJ54" i="2" s="1"/>
  <c r="BK54" i="2" s="1"/>
  <c r="BI55" i="2"/>
  <c r="BI56" i="2"/>
  <c r="BI57" i="2"/>
  <c r="BJ57" i="2" s="1"/>
  <c r="BK57" i="2" s="1"/>
  <c r="BI58" i="2"/>
  <c r="BJ58" i="2" s="1"/>
  <c r="BK58" i="2" s="1"/>
  <c r="BI59" i="2"/>
  <c r="BJ59" i="2" s="1"/>
  <c r="BK59" i="2" s="1"/>
  <c r="BI60" i="2"/>
  <c r="BJ60" i="2" s="1"/>
  <c r="BK60" i="2" s="1"/>
  <c r="BI61" i="2"/>
  <c r="BJ61" i="2" s="1"/>
  <c r="BK61" i="2" s="1"/>
  <c r="BI62" i="2"/>
  <c r="BJ62" i="2" s="1"/>
  <c r="BK62" i="2" s="1"/>
  <c r="BI63" i="2"/>
  <c r="BJ63" i="2" s="1"/>
  <c r="BK63" i="2" s="1"/>
  <c r="BI64" i="2"/>
  <c r="BI65" i="2"/>
  <c r="BJ65" i="2" s="1"/>
  <c r="BK65" i="2" s="1"/>
  <c r="BI66" i="2"/>
  <c r="BJ66" i="2" s="1"/>
  <c r="BK66" i="2" s="1"/>
  <c r="BI67" i="2"/>
  <c r="BJ67" i="2" s="1"/>
  <c r="BK67" i="2" s="1"/>
  <c r="BI68" i="2"/>
  <c r="BJ68" i="2" s="1"/>
  <c r="BK68" i="2" s="1"/>
  <c r="BI69" i="2"/>
  <c r="BJ69" i="2" s="1"/>
  <c r="BK69" i="2" s="1"/>
  <c r="BI70" i="2"/>
  <c r="BJ70" i="2" s="1"/>
  <c r="BK70" i="2" s="1"/>
  <c r="BI71" i="2"/>
  <c r="BJ71" i="2" s="1"/>
  <c r="BK71" i="2" s="1"/>
  <c r="BI72" i="2"/>
  <c r="BJ72" i="2" s="1"/>
  <c r="BK72" i="2" s="1"/>
  <c r="BI73" i="2"/>
  <c r="BJ73" i="2" s="1"/>
  <c r="BK73" i="2" s="1"/>
  <c r="BI74" i="2"/>
  <c r="BJ74" i="2" s="1"/>
  <c r="BK74" i="2" s="1"/>
  <c r="BI75" i="2"/>
  <c r="BJ75" i="2" s="1"/>
  <c r="BK75" i="2" s="1"/>
  <c r="BI76" i="2"/>
  <c r="BJ76" i="2" s="1"/>
  <c r="BK76" i="2" s="1"/>
  <c r="BI77" i="2"/>
  <c r="BJ77" i="2" s="1"/>
  <c r="BK77" i="2" s="1"/>
  <c r="BI78" i="2"/>
  <c r="BJ78" i="2" s="1"/>
  <c r="BK78" i="2" s="1"/>
  <c r="BI79" i="2"/>
  <c r="BJ79" i="2" s="1"/>
  <c r="BK79" i="2" s="1"/>
  <c r="BI80" i="2"/>
  <c r="BJ80" i="2" s="1"/>
  <c r="BK80" i="2" s="1"/>
  <c r="BI81" i="2"/>
  <c r="BJ81" i="2" s="1"/>
  <c r="BK81" i="2" s="1"/>
  <c r="BI82" i="2"/>
  <c r="BI83" i="2"/>
  <c r="BJ83" i="2" s="1"/>
  <c r="BK83" i="2" s="1"/>
  <c r="BI84" i="2"/>
  <c r="BJ84" i="2" s="1"/>
  <c r="BK84" i="2" s="1"/>
  <c r="BI85" i="2"/>
  <c r="BJ85" i="2" s="1"/>
  <c r="BK85" i="2" s="1"/>
  <c r="BI86" i="2"/>
  <c r="BJ86" i="2" s="1"/>
  <c r="BK86" i="2" s="1"/>
  <c r="BI87" i="2"/>
  <c r="BJ87" i="2" s="1"/>
  <c r="BK87" i="2" s="1"/>
  <c r="BI88" i="2"/>
  <c r="BJ88" i="2" s="1"/>
  <c r="BK88" i="2" s="1"/>
  <c r="BI89" i="2"/>
  <c r="BJ89" i="2" s="1"/>
  <c r="BK89" i="2" s="1"/>
  <c r="BI90" i="2"/>
  <c r="BJ90" i="2" s="1"/>
  <c r="BK90" i="2" s="1"/>
  <c r="BI91" i="2"/>
  <c r="BJ91" i="2" s="1"/>
  <c r="BK91" i="2" s="1"/>
  <c r="BI92" i="2"/>
  <c r="BJ92" i="2" s="1"/>
  <c r="BK92" i="2" s="1"/>
  <c r="BI93" i="2"/>
  <c r="BJ93" i="2" s="1"/>
  <c r="BK93" i="2" s="1"/>
  <c r="BI94" i="2"/>
  <c r="BJ94" i="2" s="1"/>
  <c r="BK94" i="2" s="1"/>
  <c r="BI95" i="2"/>
  <c r="BJ95" i="2" s="1"/>
  <c r="BK95" i="2" s="1"/>
  <c r="BI96" i="2"/>
  <c r="BJ96" i="2" s="1"/>
  <c r="BK96" i="2" s="1"/>
  <c r="BI97" i="2"/>
  <c r="BJ97" i="2" s="1"/>
  <c r="BK97" i="2" s="1"/>
  <c r="BI98" i="2"/>
  <c r="BJ98" i="2" s="1"/>
  <c r="BK98" i="2" s="1"/>
  <c r="BI99" i="2"/>
  <c r="BJ99" i="2" s="1"/>
  <c r="BK99" i="2" s="1"/>
  <c r="BI100" i="2"/>
  <c r="BJ100" i="2" s="1"/>
  <c r="BK100" i="2" s="1"/>
  <c r="BI101" i="2"/>
  <c r="BJ101" i="2" s="1"/>
  <c r="BK101" i="2" s="1"/>
  <c r="BI102" i="2"/>
  <c r="BJ102" i="2" s="1"/>
  <c r="BK102" i="2" s="1"/>
  <c r="BI103" i="2"/>
  <c r="BJ103" i="2" s="1"/>
  <c r="BK103" i="2" s="1"/>
  <c r="BI104" i="2"/>
  <c r="BI105" i="2"/>
  <c r="BJ105" i="2" s="1"/>
  <c r="BK105" i="2" s="1"/>
  <c r="BI106" i="2"/>
  <c r="BJ106" i="2" s="1"/>
  <c r="BK106" i="2" s="1"/>
  <c r="BI107" i="2"/>
  <c r="BJ107" i="2" s="1"/>
  <c r="BK107" i="2" s="1"/>
  <c r="BI108" i="2"/>
  <c r="BJ108" i="2" s="1"/>
  <c r="BK108" i="2" s="1"/>
  <c r="BI109" i="2"/>
  <c r="BJ109" i="2" s="1"/>
  <c r="BK109" i="2" s="1"/>
  <c r="BI110" i="2"/>
  <c r="BJ110" i="2" s="1"/>
  <c r="BK110" i="2" s="1"/>
  <c r="BI111" i="2"/>
  <c r="BJ111" i="2" s="1"/>
  <c r="BK111" i="2" s="1"/>
  <c r="BI112" i="2"/>
  <c r="BJ112" i="2" s="1"/>
  <c r="BK112" i="2" s="1"/>
  <c r="BI113" i="2"/>
  <c r="BJ113" i="2" s="1"/>
  <c r="BK113" i="2" s="1"/>
  <c r="BI114" i="2"/>
  <c r="BI115" i="2"/>
  <c r="BJ115" i="2" s="1"/>
  <c r="BK115" i="2" s="1"/>
  <c r="BI116" i="2"/>
  <c r="BJ116" i="2" s="1"/>
  <c r="BK116" i="2" s="1"/>
  <c r="BI117" i="2"/>
  <c r="BJ117" i="2" s="1"/>
  <c r="BK117" i="2" s="1"/>
  <c r="BI118" i="2"/>
  <c r="BJ118" i="2" s="1"/>
  <c r="BK118" i="2" s="1"/>
  <c r="BI119" i="2"/>
  <c r="BJ119" i="2" s="1"/>
  <c r="BK119" i="2" s="1"/>
  <c r="BI120" i="2"/>
  <c r="BI121" i="2"/>
  <c r="BJ121" i="2" s="1"/>
  <c r="BK121" i="2" s="1"/>
  <c r="BI122" i="2"/>
  <c r="BJ122" i="2" s="1"/>
  <c r="BK122" i="2" s="1"/>
  <c r="BI123" i="2"/>
  <c r="BJ123" i="2" s="1"/>
  <c r="BK123" i="2" s="1"/>
  <c r="BI124" i="2"/>
  <c r="BJ124" i="2" s="1"/>
  <c r="BK124" i="2" s="1"/>
  <c r="BI125" i="2"/>
  <c r="BJ125" i="2" s="1"/>
  <c r="BK125" i="2" s="1"/>
  <c r="BI126" i="2"/>
  <c r="BJ126" i="2" s="1"/>
  <c r="BK126" i="2" s="1"/>
  <c r="BI127" i="2"/>
  <c r="BJ127" i="2" s="1"/>
  <c r="BK127" i="2" s="1"/>
  <c r="BI128" i="2"/>
  <c r="BJ128" i="2" s="1"/>
  <c r="BK128" i="2" s="1"/>
  <c r="BI129" i="2"/>
  <c r="BJ129" i="2" s="1"/>
  <c r="BK129" i="2" s="1"/>
  <c r="BI130" i="2"/>
  <c r="BI131" i="2"/>
  <c r="BJ131" i="2" s="1"/>
  <c r="BK131" i="2" s="1"/>
  <c r="BI132" i="2"/>
  <c r="BJ132" i="2" s="1"/>
  <c r="BK132" i="2" s="1"/>
  <c r="BI133" i="2"/>
  <c r="BJ133" i="2" s="1"/>
  <c r="BK133" i="2" s="1"/>
  <c r="BI134" i="2"/>
  <c r="BJ134" i="2" s="1"/>
  <c r="BK134" i="2" s="1"/>
  <c r="BI135" i="2"/>
  <c r="BJ135" i="2" s="1"/>
  <c r="BK135" i="2" s="1"/>
  <c r="BI136" i="2"/>
  <c r="BI137" i="2"/>
  <c r="BJ137" i="2" s="1"/>
  <c r="BK137" i="2" s="1"/>
  <c r="BI138" i="2"/>
  <c r="BJ138" i="2" s="1"/>
  <c r="BK138" i="2" s="1"/>
  <c r="BI139" i="2"/>
  <c r="BJ139" i="2" s="1"/>
  <c r="BK139" i="2" s="1"/>
  <c r="BI140" i="2"/>
  <c r="BJ140" i="2" s="1"/>
  <c r="BK140" i="2" s="1"/>
  <c r="BI141" i="2"/>
  <c r="BJ141" i="2" s="1"/>
  <c r="BK141" i="2" s="1"/>
  <c r="BI142" i="2"/>
  <c r="BJ142" i="2" s="1"/>
  <c r="BK142" i="2" s="1"/>
  <c r="BI143" i="2"/>
  <c r="BJ143" i="2" s="1"/>
  <c r="BK143" i="2" s="1"/>
  <c r="BI144" i="2"/>
  <c r="BJ144" i="2" s="1"/>
  <c r="BK144" i="2" s="1"/>
  <c r="BI145" i="2"/>
  <c r="BJ145" i="2" s="1"/>
  <c r="BK145" i="2" s="1"/>
  <c r="BI146" i="2"/>
  <c r="BI147" i="2"/>
  <c r="BJ147" i="2" s="1"/>
  <c r="BK147" i="2" s="1"/>
  <c r="BI148" i="2"/>
  <c r="BJ148" i="2" s="1"/>
  <c r="BK148" i="2" s="1"/>
  <c r="BI149" i="2"/>
  <c r="BJ149" i="2" s="1"/>
  <c r="BK149" i="2" s="1"/>
  <c r="BI150" i="2"/>
  <c r="BJ150" i="2" s="1"/>
  <c r="BK150" i="2" s="1"/>
  <c r="BI151" i="2"/>
  <c r="BJ151" i="2" s="1"/>
  <c r="BK151" i="2" s="1"/>
  <c r="BI152" i="2"/>
  <c r="BJ152" i="2" s="1"/>
  <c r="BK152" i="2" s="1"/>
  <c r="BI153" i="2"/>
  <c r="BJ153" i="2" s="1"/>
  <c r="BK153" i="2" s="1"/>
  <c r="BI154" i="2"/>
  <c r="BJ154" i="2" s="1"/>
  <c r="BK154" i="2" s="1"/>
  <c r="BI155" i="2"/>
  <c r="BJ155" i="2" s="1"/>
  <c r="BK155" i="2" s="1"/>
  <c r="BI3" i="2"/>
  <c r="BJ3" i="2" s="1"/>
  <c r="BK3" i="2" s="1"/>
  <c r="AX1" i="2"/>
  <c r="BB3" i="2"/>
  <c r="BC3" i="2" s="1"/>
  <c r="BB4" i="2"/>
  <c r="BC4" i="2" s="1"/>
  <c r="BB5" i="2"/>
  <c r="BC5" i="2" s="1"/>
  <c r="BB6" i="2"/>
  <c r="BC6" i="2" s="1"/>
  <c r="BB9" i="2"/>
  <c r="BC9" i="2" s="1"/>
  <c r="BB10" i="2"/>
  <c r="BC10" i="2" s="1"/>
  <c r="BB19" i="2"/>
  <c r="BC19" i="2" s="1"/>
  <c r="BB22" i="2"/>
  <c r="BC22" i="2" s="1"/>
  <c r="BB25" i="2"/>
  <c r="BC25" i="2" s="1"/>
  <c r="BB26" i="2"/>
  <c r="BC26" i="2" s="1"/>
  <c r="BB35" i="2"/>
  <c r="BC35" i="2" s="1"/>
  <c r="BB38" i="2"/>
  <c r="BC38" i="2" s="1"/>
  <c r="BB40" i="2"/>
  <c r="BC40" i="2" s="1"/>
  <c r="BB41" i="2"/>
  <c r="BC41" i="2" s="1"/>
  <c r="BB42" i="2"/>
  <c r="BC42" i="2" s="1"/>
  <c r="BB51" i="2"/>
  <c r="BC51" i="2" s="1"/>
  <c r="BB54" i="2"/>
  <c r="BC54" i="2" s="1"/>
  <c r="BB56" i="2"/>
  <c r="BC56" i="2" s="1"/>
  <c r="BB57" i="2"/>
  <c r="BC57" i="2" s="1"/>
  <c r="BB58" i="2"/>
  <c r="BC58" i="2" s="1"/>
  <c r="BB60" i="2"/>
  <c r="BC60" i="2" s="1"/>
  <c r="BB65" i="2"/>
  <c r="BC65" i="2" s="1"/>
  <c r="BB67" i="2"/>
  <c r="BC67" i="2" s="1"/>
  <c r="BB70" i="2"/>
  <c r="BC70" i="2" s="1"/>
  <c r="BB72" i="2"/>
  <c r="BC72" i="2" s="1"/>
  <c r="BB73" i="2"/>
  <c r="BC73" i="2" s="1"/>
  <c r="BB74" i="2"/>
  <c r="BC74" i="2" s="1"/>
  <c r="BB83" i="2"/>
  <c r="BC83" i="2" s="1"/>
  <c r="BB86" i="2"/>
  <c r="BC86" i="2" s="1"/>
  <c r="CA1" i="2" l="1"/>
  <c r="BS1" i="2"/>
  <c r="BK1" i="2"/>
  <c r="BC1" i="2"/>
  <c r="AU6" i="2"/>
  <c r="AU9" i="2"/>
  <c r="AU10" i="2"/>
  <c r="AU12" i="2"/>
  <c r="AU15" i="2"/>
  <c r="AU21" i="2"/>
  <c r="AU22" i="2"/>
  <c r="AU24" i="2"/>
  <c r="AU25" i="2"/>
  <c r="AU27" i="2"/>
  <c r="AU28" i="2"/>
  <c r="AU31" i="2"/>
  <c r="AU37" i="2"/>
  <c r="AU40" i="2"/>
  <c r="AU42" i="2"/>
  <c r="AU43" i="2"/>
  <c r="AU53" i="2"/>
  <c r="AU54" i="2"/>
  <c r="AU57" i="2"/>
  <c r="AU58" i="2"/>
  <c r="AU60" i="2"/>
  <c r="AU63" i="2"/>
  <c r="AU69" i="2"/>
  <c r="AU70" i="2"/>
  <c r="AU72" i="2"/>
  <c r="AU73" i="2"/>
  <c r="AU75" i="2"/>
  <c r="AU76" i="2"/>
  <c r="AU79" i="2"/>
  <c r="AU85" i="2"/>
  <c r="AU88" i="2"/>
  <c r="AU90" i="2"/>
  <c r="AU91" i="2"/>
  <c r="AM37" i="2"/>
  <c r="AM73" i="2"/>
  <c r="AM91" i="2"/>
  <c r="W72" i="2"/>
  <c r="AP1" i="2"/>
  <c r="AS4" i="2"/>
  <c r="AT4" i="2" s="1"/>
  <c r="AU4" i="2" s="1"/>
  <c r="AS5" i="2"/>
  <c r="AS6" i="2"/>
  <c r="AT6" i="2" s="1"/>
  <c r="AS7" i="2"/>
  <c r="AT7" i="2" s="1"/>
  <c r="AU7" i="2" s="1"/>
  <c r="AS8" i="2"/>
  <c r="AS9" i="2"/>
  <c r="AT9" i="2" s="1"/>
  <c r="AS10" i="2"/>
  <c r="AT10" i="2" s="1"/>
  <c r="AS11" i="2"/>
  <c r="AS12" i="2"/>
  <c r="AT12" i="2" s="1"/>
  <c r="AS13" i="2"/>
  <c r="AT13" i="2" s="1"/>
  <c r="AU13" i="2" s="1"/>
  <c r="AS14" i="2"/>
  <c r="AS15" i="2"/>
  <c r="AT15" i="2" s="1"/>
  <c r="AS16" i="2"/>
  <c r="AT16" i="2" s="1"/>
  <c r="AU16" i="2" s="1"/>
  <c r="AS17" i="2"/>
  <c r="AT17" i="2" s="1"/>
  <c r="AU17" i="2" s="1"/>
  <c r="AS18" i="2"/>
  <c r="AT18" i="2" s="1"/>
  <c r="AU18" i="2" s="1"/>
  <c r="AS19" i="2"/>
  <c r="AT19" i="2" s="1"/>
  <c r="AU19" i="2" s="1"/>
  <c r="AS20" i="2"/>
  <c r="AS21" i="2"/>
  <c r="AT21" i="2" s="1"/>
  <c r="AS22" i="2"/>
  <c r="AT22" i="2" s="1"/>
  <c r="AS23" i="2"/>
  <c r="AS24" i="2"/>
  <c r="AT24" i="2" s="1"/>
  <c r="AS25" i="2"/>
  <c r="AT25" i="2" s="1"/>
  <c r="AS26" i="2"/>
  <c r="AS27" i="2"/>
  <c r="AT27" i="2" s="1"/>
  <c r="AS28" i="2"/>
  <c r="AT28" i="2" s="1"/>
  <c r="AS29" i="2"/>
  <c r="AS30" i="2"/>
  <c r="AT30" i="2" s="1"/>
  <c r="AU30" i="2" s="1"/>
  <c r="AS31" i="2"/>
  <c r="AT31" i="2" s="1"/>
  <c r="AS32" i="2"/>
  <c r="AS33" i="2"/>
  <c r="AT33" i="2" s="1"/>
  <c r="AU33" i="2" s="1"/>
  <c r="AS34" i="2"/>
  <c r="AT34" i="2" s="1"/>
  <c r="AU34" i="2" s="1"/>
  <c r="AS35" i="2"/>
  <c r="AT35" i="2" s="1"/>
  <c r="AU35" i="2" s="1"/>
  <c r="AS36" i="2"/>
  <c r="AT36" i="2" s="1"/>
  <c r="AU36" i="2" s="1"/>
  <c r="AS37" i="2"/>
  <c r="AT37" i="2" s="1"/>
  <c r="AS38" i="2"/>
  <c r="AS39" i="2"/>
  <c r="AT39" i="2" s="1"/>
  <c r="AU39" i="2" s="1"/>
  <c r="AS40" i="2"/>
  <c r="AT40" i="2" s="1"/>
  <c r="AS41" i="2"/>
  <c r="AS42" i="2"/>
  <c r="AT42" i="2" s="1"/>
  <c r="AS43" i="2"/>
  <c r="AT43" i="2" s="1"/>
  <c r="AS44" i="2"/>
  <c r="AS45" i="2"/>
  <c r="AT45" i="2" s="1"/>
  <c r="AU45" i="2" s="1"/>
  <c r="AS46" i="2"/>
  <c r="AT46" i="2" s="1"/>
  <c r="AU46" i="2" s="1"/>
  <c r="AS47" i="2"/>
  <c r="AS48" i="2"/>
  <c r="AT48" i="2" s="1"/>
  <c r="AU48" i="2" s="1"/>
  <c r="AS49" i="2"/>
  <c r="AT49" i="2" s="1"/>
  <c r="AU49" i="2" s="1"/>
  <c r="AS50" i="2"/>
  <c r="AS51" i="2"/>
  <c r="AT51" i="2" s="1"/>
  <c r="AU51" i="2" s="1"/>
  <c r="AS52" i="2"/>
  <c r="AT52" i="2" s="1"/>
  <c r="AU52" i="2" s="1"/>
  <c r="AS53" i="2"/>
  <c r="AT53" i="2" s="1"/>
  <c r="AS54" i="2"/>
  <c r="AT54" i="2" s="1"/>
  <c r="AS55" i="2"/>
  <c r="AT55" i="2" s="1"/>
  <c r="AU55" i="2" s="1"/>
  <c r="AS56" i="2"/>
  <c r="AS57" i="2"/>
  <c r="AT57" i="2" s="1"/>
  <c r="AS58" i="2"/>
  <c r="AT58" i="2" s="1"/>
  <c r="AS59" i="2"/>
  <c r="AS60" i="2"/>
  <c r="AT60" i="2" s="1"/>
  <c r="AS61" i="2"/>
  <c r="AT61" i="2" s="1"/>
  <c r="AU61" i="2" s="1"/>
  <c r="AS62" i="2"/>
  <c r="AS63" i="2"/>
  <c r="AT63" i="2" s="1"/>
  <c r="AS64" i="2"/>
  <c r="AT64" i="2" s="1"/>
  <c r="AU64" i="2" s="1"/>
  <c r="AS65" i="2"/>
  <c r="AS66" i="2"/>
  <c r="AT66" i="2" s="1"/>
  <c r="AU66" i="2" s="1"/>
  <c r="AS67" i="2"/>
  <c r="AT67" i="2" s="1"/>
  <c r="AU67" i="2" s="1"/>
  <c r="AS68" i="2"/>
  <c r="AS69" i="2"/>
  <c r="AT69" i="2" s="1"/>
  <c r="AS70" i="2"/>
  <c r="AT70" i="2" s="1"/>
  <c r="AS71" i="2"/>
  <c r="AT71" i="2" s="1"/>
  <c r="AU71" i="2" s="1"/>
  <c r="AS72" i="2"/>
  <c r="AT72" i="2" s="1"/>
  <c r="AS73" i="2"/>
  <c r="AT73" i="2" s="1"/>
  <c r="AS74" i="2"/>
  <c r="AS75" i="2"/>
  <c r="AT75" i="2" s="1"/>
  <c r="AS76" i="2"/>
  <c r="AT76" i="2" s="1"/>
  <c r="AS77" i="2"/>
  <c r="AS78" i="2"/>
  <c r="AT78" i="2" s="1"/>
  <c r="AU78" i="2" s="1"/>
  <c r="AS79" i="2"/>
  <c r="AT79" i="2" s="1"/>
  <c r="AS80" i="2"/>
  <c r="AS81" i="2"/>
  <c r="AT81" i="2" s="1"/>
  <c r="AU81" i="2" s="1"/>
  <c r="AS82" i="2"/>
  <c r="AT82" i="2" s="1"/>
  <c r="AU82" i="2" s="1"/>
  <c r="AS83" i="2"/>
  <c r="AS84" i="2"/>
  <c r="AT84" i="2" s="1"/>
  <c r="AU84" i="2" s="1"/>
  <c r="AS85" i="2"/>
  <c r="AT85" i="2" s="1"/>
  <c r="AS86" i="2"/>
  <c r="AS87" i="2"/>
  <c r="AT87" i="2" s="1"/>
  <c r="AU87" i="2" s="1"/>
  <c r="AS88" i="2"/>
  <c r="AT88" i="2" s="1"/>
  <c r="AS89" i="2"/>
  <c r="AS90" i="2"/>
  <c r="AT90" i="2" s="1"/>
  <c r="AS91" i="2"/>
  <c r="AT91" i="2" s="1"/>
  <c r="AS92" i="2"/>
  <c r="AS93" i="2"/>
  <c r="AT93" i="2" s="1"/>
  <c r="AU93" i="2" s="1"/>
  <c r="AS94" i="2"/>
  <c r="AT94" i="2" s="1"/>
  <c r="AU94" i="2" s="1"/>
  <c r="AS95" i="2"/>
  <c r="AS96" i="2"/>
  <c r="AT96" i="2" s="1"/>
  <c r="AU96" i="2" s="1"/>
  <c r="AS97" i="2"/>
  <c r="AT97" i="2" s="1"/>
  <c r="AU97" i="2" s="1"/>
  <c r="AS98" i="2"/>
  <c r="AS99" i="2"/>
  <c r="AT99" i="2" s="1"/>
  <c r="AU99" i="2" s="1"/>
  <c r="AS3" i="2"/>
  <c r="AT3" i="2" s="1"/>
  <c r="AU3" i="2" s="1"/>
  <c r="AK4" i="2"/>
  <c r="AL4" i="2" s="1"/>
  <c r="AM4" i="2" s="1"/>
  <c r="AK5" i="2"/>
  <c r="AL5" i="2" s="1"/>
  <c r="AM5" i="2" s="1"/>
  <c r="AK6" i="2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K13" i="2"/>
  <c r="AL13" i="2" s="1"/>
  <c r="AM13" i="2" s="1"/>
  <c r="AK14" i="2"/>
  <c r="AL14" i="2" s="1"/>
  <c r="AM14" i="2" s="1"/>
  <c r="AK15" i="2"/>
  <c r="AL15" i="2" s="1"/>
  <c r="AM15" i="2" s="1"/>
  <c r="AK16" i="2"/>
  <c r="AK17" i="2"/>
  <c r="AL17" i="2" s="1"/>
  <c r="AM17" i="2" s="1"/>
  <c r="AK18" i="2"/>
  <c r="AK19" i="2"/>
  <c r="AL19" i="2" s="1"/>
  <c r="AM19" i="2" s="1"/>
  <c r="AK20" i="2"/>
  <c r="AK21" i="2"/>
  <c r="AL21" i="2" s="1"/>
  <c r="AM21" i="2" s="1"/>
  <c r="AK22" i="2"/>
  <c r="AL22" i="2" s="1"/>
  <c r="AM22" i="2" s="1"/>
  <c r="AK23" i="2"/>
  <c r="AL23" i="2" s="1"/>
  <c r="AM23" i="2" s="1"/>
  <c r="AK24" i="2"/>
  <c r="AK25" i="2"/>
  <c r="AL25" i="2" s="1"/>
  <c r="AM25" i="2" s="1"/>
  <c r="AK26" i="2"/>
  <c r="AL26" i="2" s="1"/>
  <c r="AM26" i="2" s="1"/>
  <c r="AK27" i="2"/>
  <c r="AL27" i="2" s="1"/>
  <c r="AM27" i="2" s="1"/>
  <c r="AK28" i="2"/>
  <c r="AL28" i="2" s="1"/>
  <c r="AM28" i="2" s="1"/>
  <c r="AK29" i="2"/>
  <c r="AK30" i="2"/>
  <c r="AK31" i="2"/>
  <c r="AL31" i="2" s="1"/>
  <c r="AM31" i="2" s="1"/>
  <c r="AK32" i="2"/>
  <c r="AK33" i="2"/>
  <c r="AL33" i="2" s="1"/>
  <c r="AM33" i="2" s="1"/>
  <c r="AK34" i="2"/>
  <c r="AL34" i="2" s="1"/>
  <c r="AM34" i="2" s="1"/>
  <c r="AK35" i="2"/>
  <c r="AK36" i="2"/>
  <c r="AK37" i="2"/>
  <c r="AL37" i="2" s="1"/>
  <c r="AK38" i="2"/>
  <c r="AL38" i="2" s="1"/>
  <c r="AM38" i="2" s="1"/>
  <c r="AK39" i="2"/>
  <c r="AL39" i="2" s="1"/>
  <c r="AM39" i="2" s="1"/>
  <c r="AK40" i="2"/>
  <c r="AL40" i="2" s="1"/>
  <c r="AM40" i="2" s="1"/>
  <c r="AK41" i="2"/>
  <c r="AK42" i="2"/>
  <c r="AK43" i="2"/>
  <c r="AL43" i="2" s="1"/>
  <c r="AM43" i="2" s="1"/>
  <c r="AK44" i="2"/>
  <c r="AL44" i="2" s="1"/>
  <c r="AM44" i="2" s="1"/>
  <c r="AK45" i="2"/>
  <c r="AL45" i="2" s="1"/>
  <c r="AM45" i="2" s="1"/>
  <c r="AK46" i="2"/>
  <c r="AL46" i="2" s="1"/>
  <c r="AM46" i="2" s="1"/>
  <c r="AK47" i="2"/>
  <c r="AK48" i="2"/>
  <c r="AK49" i="2"/>
  <c r="AL49" i="2" s="1"/>
  <c r="AM49" i="2" s="1"/>
  <c r="AK50" i="2"/>
  <c r="AK51" i="2"/>
  <c r="AL51" i="2" s="1"/>
  <c r="AM51" i="2" s="1"/>
  <c r="AK52" i="2"/>
  <c r="AL52" i="2" s="1"/>
  <c r="AM52" i="2" s="1"/>
  <c r="AK53" i="2"/>
  <c r="AK54" i="2"/>
  <c r="AK55" i="2"/>
  <c r="AL55" i="2" s="1"/>
  <c r="AM55" i="2" s="1"/>
  <c r="AK56" i="2"/>
  <c r="AL56" i="2" s="1"/>
  <c r="AM56" i="2" s="1"/>
  <c r="AK57" i="2"/>
  <c r="AL57" i="2" s="1"/>
  <c r="AM57" i="2" s="1"/>
  <c r="AK58" i="2"/>
  <c r="AL58" i="2" s="1"/>
  <c r="AM58" i="2" s="1"/>
  <c r="AK59" i="2"/>
  <c r="AK60" i="2"/>
  <c r="AK61" i="2"/>
  <c r="AL61" i="2" s="1"/>
  <c r="AM61" i="2" s="1"/>
  <c r="AK62" i="2"/>
  <c r="AL62" i="2" s="1"/>
  <c r="AM62" i="2" s="1"/>
  <c r="AK63" i="2"/>
  <c r="AL63" i="2" s="1"/>
  <c r="AM63" i="2" s="1"/>
  <c r="AK64" i="2"/>
  <c r="AL64" i="2" s="1"/>
  <c r="AM64" i="2" s="1"/>
  <c r="AK65" i="2"/>
  <c r="AK66" i="2"/>
  <c r="AK67" i="2"/>
  <c r="AL67" i="2" s="1"/>
  <c r="AM67" i="2" s="1"/>
  <c r="AK68" i="2"/>
  <c r="AK69" i="2"/>
  <c r="AL69" i="2" s="1"/>
  <c r="AM69" i="2" s="1"/>
  <c r="AK70" i="2"/>
  <c r="AL70" i="2" s="1"/>
  <c r="AM70" i="2" s="1"/>
  <c r="AK71" i="2"/>
  <c r="AK72" i="2"/>
  <c r="AK73" i="2"/>
  <c r="AL73" i="2" s="1"/>
  <c r="AK74" i="2"/>
  <c r="AL74" i="2" s="1"/>
  <c r="AM74" i="2" s="1"/>
  <c r="AK75" i="2"/>
  <c r="AL75" i="2" s="1"/>
  <c r="AM75" i="2" s="1"/>
  <c r="AK76" i="2"/>
  <c r="AL76" i="2" s="1"/>
  <c r="AM76" i="2" s="1"/>
  <c r="AK77" i="2"/>
  <c r="AK78" i="2"/>
  <c r="AK79" i="2"/>
  <c r="AL79" i="2" s="1"/>
  <c r="AM79" i="2" s="1"/>
  <c r="AK80" i="2"/>
  <c r="AL80" i="2" s="1"/>
  <c r="AM80" i="2" s="1"/>
  <c r="AK81" i="2"/>
  <c r="AL81" i="2" s="1"/>
  <c r="AM81" i="2" s="1"/>
  <c r="AK82" i="2"/>
  <c r="AL82" i="2" s="1"/>
  <c r="AM82" i="2" s="1"/>
  <c r="AK83" i="2"/>
  <c r="AK84" i="2"/>
  <c r="AK85" i="2"/>
  <c r="AL85" i="2" s="1"/>
  <c r="AM85" i="2" s="1"/>
  <c r="AK86" i="2"/>
  <c r="AK87" i="2"/>
  <c r="AL87" i="2" s="1"/>
  <c r="AM87" i="2" s="1"/>
  <c r="AK88" i="2"/>
  <c r="AL88" i="2" s="1"/>
  <c r="AM88" i="2" s="1"/>
  <c r="AK89" i="2"/>
  <c r="AK90" i="2"/>
  <c r="AL90" i="2" s="1"/>
  <c r="AM90" i="2" s="1"/>
  <c r="AK91" i="2"/>
  <c r="AL91" i="2" s="1"/>
  <c r="AK92" i="2"/>
  <c r="AL92" i="2" s="1"/>
  <c r="AM92" i="2" s="1"/>
  <c r="AK93" i="2"/>
  <c r="AL93" i="2" s="1"/>
  <c r="AM93" i="2" s="1"/>
  <c r="AK94" i="2"/>
  <c r="AL94" i="2" s="1"/>
  <c r="AM94" i="2" s="1"/>
  <c r="AK95" i="2"/>
  <c r="AK96" i="2"/>
  <c r="AL96" i="2" s="1"/>
  <c r="AM96" i="2" s="1"/>
  <c r="AK97" i="2"/>
  <c r="AL97" i="2" s="1"/>
  <c r="AM97" i="2" s="1"/>
  <c r="AK98" i="2"/>
  <c r="AL98" i="2" s="1"/>
  <c r="AM98" i="2" s="1"/>
  <c r="AK99" i="2"/>
  <c r="AL99" i="2" s="1"/>
  <c r="AM99" i="2" s="1"/>
  <c r="AH1" i="2"/>
  <c r="AK3" i="2"/>
  <c r="AL3" i="2" s="1"/>
  <c r="AM3" i="2" s="1"/>
  <c r="AC4" i="2"/>
  <c r="AD4" i="2" s="1"/>
  <c r="AE4" i="2" s="1"/>
  <c r="AC5" i="2"/>
  <c r="AC6" i="2"/>
  <c r="AD6" i="2" s="1"/>
  <c r="AE6" i="2" s="1"/>
  <c r="AC7" i="2"/>
  <c r="AD7" i="2" s="1"/>
  <c r="AE7" i="2" s="1"/>
  <c r="AC8" i="2"/>
  <c r="AD8" i="2" s="1"/>
  <c r="AE8" i="2" s="1"/>
  <c r="AC9" i="2"/>
  <c r="AC10" i="2"/>
  <c r="AD10" i="2" s="1"/>
  <c r="AE10" i="2" s="1"/>
  <c r="AC11" i="2"/>
  <c r="AC12" i="2"/>
  <c r="AD12" i="2" s="1"/>
  <c r="AE12" i="2" s="1"/>
  <c r="AC13" i="2"/>
  <c r="AD13" i="2" s="1"/>
  <c r="AE13" i="2" s="1"/>
  <c r="AC14" i="2"/>
  <c r="AC15" i="2"/>
  <c r="AC16" i="2"/>
  <c r="AD16" i="2" s="1"/>
  <c r="AE16" i="2" s="1"/>
  <c r="AC17" i="2"/>
  <c r="AC18" i="2"/>
  <c r="AD18" i="2" s="1"/>
  <c r="AE18" i="2" s="1"/>
  <c r="AC19" i="2"/>
  <c r="AD19" i="2" s="1"/>
  <c r="AE19" i="2" s="1"/>
  <c r="AC20" i="2"/>
  <c r="AD20" i="2" s="1"/>
  <c r="AE20" i="2" s="1"/>
  <c r="AC21" i="2"/>
  <c r="AC22" i="2"/>
  <c r="AD22" i="2" s="1"/>
  <c r="AE22" i="2" s="1"/>
  <c r="AC23" i="2"/>
  <c r="AC24" i="2"/>
  <c r="AD24" i="2" s="1"/>
  <c r="AE24" i="2" s="1"/>
  <c r="AC25" i="2"/>
  <c r="AD25" i="2" s="1"/>
  <c r="AE25" i="2" s="1"/>
  <c r="AC26" i="2"/>
  <c r="AD26" i="2" s="1"/>
  <c r="AE26" i="2" s="1"/>
  <c r="AC27" i="2"/>
  <c r="AC28" i="2"/>
  <c r="AD28" i="2" s="1"/>
  <c r="AE28" i="2" s="1"/>
  <c r="AC29" i="2"/>
  <c r="AC30" i="2"/>
  <c r="AD30" i="2" s="1"/>
  <c r="AE30" i="2" s="1"/>
  <c r="AC31" i="2"/>
  <c r="AD31" i="2" s="1"/>
  <c r="AE31" i="2" s="1"/>
  <c r="AC32" i="2"/>
  <c r="AC33" i="2"/>
  <c r="AC34" i="2"/>
  <c r="AD34" i="2" s="1"/>
  <c r="AE34" i="2" s="1"/>
  <c r="AC35" i="2"/>
  <c r="AC36" i="2"/>
  <c r="AD36" i="2" s="1"/>
  <c r="AE36" i="2" s="1"/>
  <c r="AC37" i="2"/>
  <c r="AC38" i="2"/>
  <c r="AC39" i="2"/>
  <c r="AC40" i="2"/>
  <c r="AD40" i="2" s="1"/>
  <c r="AE40" i="2" s="1"/>
  <c r="AC41" i="2"/>
  <c r="AC42" i="2"/>
  <c r="AD42" i="2" s="1"/>
  <c r="AE42" i="2" s="1"/>
  <c r="AC43" i="2"/>
  <c r="AD43" i="2" s="1"/>
  <c r="AE43" i="2" s="1"/>
  <c r="AC44" i="2"/>
  <c r="AD44" i="2" s="1"/>
  <c r="AE44" i="2" s="1"/>
  <c r="AC45" i="2"/>
  <c r="AC46" i="2"/>
  <c r="AD46" i="2" s="1"/>
  <c r="AE46" i="2" s="1"/>
  <c r="AC47" i="2"/>
  <c r="AC48" i="2"/>
  <c r="AD48" i="2" s="1"/>
  <c r="AE48" i="2" s="1"/>
  <c r="AC49" i="2"/>
  <c r="AD49" i="2" s="1"/>
  <c r="AE49" i="2" s="1"/>
  <c r="AC50" i="2"/>
  <c r="AD50" i="2" s="1"/>
  <c r="AE50" i="2" s="1"/>
  <c r="AC51" i="2"/>
  <c r="AC52" i="2"/>
  <c r="AD52" i="2" s="1"/>
  <c r="AE52" i="2" s="1"/>
  <c r="AC53" i="2"/>
  <c r="AC54" i="2"/>
  <c r="AD54" i="2" s="1"/>
  <c r="AE54" i="2" s="1"/>
  <c r="AC55" i="2"/>
  <c r="AC56" i="2"/>
  <c r="AC57" i="2"/>
  <c r="AC58" i="2"/>
  <c r="AD58" i="2" s="1"/>
  <c r="AE58" i="2" s="1"/>
  <c r="AC59" i="2"/>
  <c r="AC60" i="2"/>
  <c r="AD60" i="2" s="1"/>
  <c r="AE60" i="2" s="1"/>
  <c r="AC61" i="2"/>
  <c r="AC62" i="2"/>
  <c r="AC63" i="2"/>
  <c r="AC64" i="2"/>
  <c r="AD64" i="2" s="1"/>
  <c r="AE64" i="2" s="1"/>
  <c r="AC65" i="2"/>
  <c r="AC66" i="2"/>
  <c r="AD66" i="2" s="1"/>
  <c r="AE66" i="2" s="1"/>
  <c r="AC67" i="2"/>
  <c r="AD67" i="2" s="1"/>
  <c r="AE67" i="2" s="1"/>
  <c r="AC68" i="2"/>
  <c r="AD68" i="2" s="1"/>
  <c r="AE68" i="2" s="1"/>
  <c r="AC69" i="2"/>
  <c r="AC70" i="2"/>
  <c r="AD70" i="2" s="1"/>
  <c r="AE70" i="2" s="1"/>
  <c r="AC71" i="2"/>
  <c r="AC72" i="2"/>
  <c r="AD72" i="2" s="1"/>
  <c r="AE72" i="2" s="1"/>
  <c r="AC73" i="2"/>
  <c r="AC74" i="2"/>
  <c r="AC75" i="2"/>
  <c r="AC76" i="2"/>
  <c r="AC77" i="2"/>
  <c r="AC78" i="2"/>
  <c r="AD78" i="2" s="1"/>
  <c r="AE78" i="2" s="1"/>
  <c r="AC79" i="2"/>
  <c r="AD79" i="2" s="1"/>
  <c r="AE79" i="2" s="1"/>
  <c r="AC80" i="2"/>
  <c r="AC81" i="2"/>
  <c r="AC82" i="2"/>
  <c r="AD82" i="2" s="1"/>
  <c r="AE82" i="2" s="1"/>
  <c r="AC83" i="2"/>
  <c r="AC84" i="2"/>
  <c r="AD84" i="2" s="1"/>
  <c r="AE84" i="2" s="1"/>
  <c r="AC85" i="2"/>
  <c r="AD85" i="2" s="1"/>
  <c r="AE85" i="2" s="1"/>
  <c r="AC86" i="2"/>
  <c r="AC87" i="2"/>
  <c r="AC88" i="2"/>
  <c r="AD88" i="2" s="1"/>
  <c r="AE88" i="2" s="1"/>
  <c r="AC89" i="2"/>
  <c r="AC90" i="2"/>
  <c r="AD90" i="2" s="1"/>
  <c r="AE90" i="2" s="1"/>
  <c r="AC91" i="2"/>
  <c r="AC92" i="2"/>
  <c r="AC93" i="2"/>
  <c r="AC94" i="2"/>
  <c r="AD94" i="2" s="1"/>
  <c r="AE94" i="2" s="1"/>
  <c r="AC95" i="2"/>
  <c r="AC96" i="2"/>
  <c r="AD96" i="2" s="1"/>
  <c r="AE96" i="2" s="1"/>
  <c r="AC97" i="2"/>
  <c r="AD97" i="2" s="1"/>
  <c r="AE97" i="2" s="1"/>
  <c r="AC98" i="2"/>
  <c r="AC99" i="2"/>
  <c r="AC3" i="2"/>
  <c r="AD3" i="2" s="1"/>
  <c r="AE3" i="2" s="1"/>
  <c r="Z1" i="2"/>
  <c r="R1" i="2"/>
  <c r="U4" i="2"/>
  <c r="V4" i="2" s="1"/>
  <c r="W4" i="2" s="1"/>
  <c r="U5" i="2"/>
  <c r="U6" i="2"/>
  <c r="V6" i="2" s="1"/>
  <c r="W6" i="2" s="1"/>
  <c r="U7" i="2"/>
  <c r="V7" i="2" s="1"/>
  <c r="W7" i="2" s="1"/>
  <c r="U8" i="2"/>
  <c r="V8" i="2" s="1"/>
  <c r="W8" i="2" s="1"/>
  <c r="U9" i="2"/>
  <c r="U10" i="2"/>
  <c r="V10" i="2" s="1"/>
  <c r="W10" i="2" s="1"/>
  <c r="U11" i="2"/>
  <c r="U12" i="2"/>
  <c r="V12" i="2" s="1"/>
  <c r="W12" i="2" s="1"/>
  <c r="U13" i="2"/>
  <c r="V13" i="2" s="1"/>
  <c r="W13" i="2" s="1"/>
  <c r="U14" i="2"/>
  <c r="V14" i="2" s="1"/>
  <c r="W14" i="2" s="1"/>
  <c r="U15" i="2"/>
  <c r="U16" i="2"/>
  <c r="V16" i="2" s="1"/>
  <c r="W16" i="2" s="1"/>
  <c r="U17" i="2"/>
  <c r="U18" i="2"/>
  <c r="V18" i="2" s="1"/>
  <c r="W18" i="2" s="1"/>
  <c r="U19" i="2"/>
  <c r="U20" i="2"/>
  <c r="U21" i="2"/>
  <c r="U22" i="2"/>
  <c r="V22" i="2" s="1"/>
  <c r="W22" i="2" s="1"/>
  <c r="U23" i="2"/>
  <c r="U24" i="2"/>
  <c r="V24" i="2" s="1"/>
  <c r="W24" i="2" s="1"/>
  <c r="U25" i="2"/>
  <c r="V25" i="2" s="1"/>
  <c r="W25" i="2" s="1"/>
  <c r="U26" i="2"/>
  <c r="V26" i="2" s="1"/>
  <c r="W26" i="2" s="1"/>
  <c r="U27" i="2"/>
  <c r="U28" i="2"/>
  <c r="V28" i="2" s="1"/>
  <c r="W28" i="2" s="1"/>
  <c r="U29" i="2"/>
  <c r="U30" i="2"/>
  <c r="V30" i="2" s="1"/>
  <c r="W30" i="2" s="1"/>
  <c r="U31" i="2"/>
  <c r="V31" i="2" s="1"/>
  <c r="W31" i="2" s="1"/>
  <c r="U32" i="2"/>
  <c r="V32" i="2" s="1"/>
  <c r="W32" i="2" s="1"/>
  <c r="U33" i="2"/>
  <c r="U34" i="2"/>
  <c r="U35" i="2"/>
  <c r="U36" i="2"/>
  <c r="V36" i="2" s="1"/>
  <c r="W36" i="2" s="1"/>
  <c r="U37" i="2"/>
  <c r="V37" i="2" s="1"/>
  <c r="W37" i="2" s="1"/>
  <c r="U38" i="2"/>
  <c r="V38" i="2" s="1"/>
  <c r="W38" i="2" s="1"/>
  <c r="U39" i="2"/>
  <c r="U40" i="2"/>
  <c r="V40" i="2" s="1"/>
  <c r="W40" i="2" s="1"/>
  <c r="U41" i="2"/>
  <c r="U42" i="2"/>
  <c r="V42" i="2" s="1"/>
  <c r="W42" i="2" s="1"/>
  <c r="U43" i="2"/>
  <c r="V43" i="2" s="1"/>
  <c r="W43" i="2" s="1"/>
  <c r="U44" i="2"/>
  <c r="V44" i="2" s="1"/>
  <c r="W44" i="2" s="1"/>
  <c r="U45" i="2"/>
  <c r="U46" i="2"/>
  <c r="V46" i="2" s="1"/>
  <c r="W46" i="2" s="1"/>
  <c r="U47" i="2"/>
  <c r="U48" i="2"/>
  <c r="V48" i="2" s="1"/>
  <c r="W48" i="2" s="1"/>
  <c r="U49" i="2"/>
  <c r="V49" i="2" s="1"/>
  <c r="W49" i="2" s="1"/>
  <c r="U50" i="2"/>
  <c r="V50" i="2" s="1"/>
  <c r="W50" i="2" s="1"/>
  <c r="U51" i="2"/>
  <c r="U52" i="2"/>
  <c r="V52" i="2" s="1"/>
  <c r="W52" i="2" s="1"/>
  <c r="U53" i="2"/>
  <c r="U54" i="2"/>
  <c r="V54" i="2" s="1"/>
  <c r="W54" i="2" s="1"/>
  <c r="U55" i="2"/>
  <c r="U56" i="2"/>
  <c r="U57" i="2"/>
  <c r="U58" i="2"/>
  <c r="V58" i="2" s="1"/>
  <c r="W58" i="2" s="1"/>
  <c r="U59" i="2"/>
  <c r="U60" i="2"/>
  <c r="V60" i="2" s="1"/>
  <c r="W60" i="2" s="1"/>
  <c r="U61" i="2"/>
  <c r="V61" i="2" s="1"/>
  <c r="W61" i="2" s="1"/>
  <c r="U62" i="2"/>
  <c r="V62" i="2" s="1"/>
  <c r="W62" i="2" s="1"/>
  <c r="U63" i="2"/>
  <c r="U64" i="2"/>
  <c r="V64" i="2" s="1"/>
  <c r="W64" i="2" s="1"/>
  <c r="U65" i="2"/>
  <c r="U66" i="2"/>
  <c r="V66" i="2" s="1"/>
  <c r="W66" i="2" s="1"/>
  <c r="U67" i="2"/>
  <c r="V67" i="2" s="1"/>
  <c r="W67" i="2" s="1"/>
  <c r="U68" i="2"/>
  <c r="V68" i="2" s="1"/>
  <c r="W68" i="2" s="1"/>
  <c r="U69" i="2"/>
  <c r="U70" i="2"/>
  <c r="V70" i="2" s="1"/>
  <c r="W70" i="2" s="1"/>
  <c r="U71" i="2"/>
  <c r="U72" i="2"/>
  <c r="V72" i="2" s="1"/>
  <c r="U73" i="2"/>
  <c r="U74" i="2"/>
  <c r="U75" i="2"/>
  <c r="U76" i="2"/>
  <c r="V76" i="2" s="1"/>
  <c r="W76" i="2" s="1"/>
  <c r="U77" i="2"/>
  <c r="U78" i="2"/>
  <c r="V78" i="2" s="1"/>
  <c r="W78" i="2" s="1"/>
  <c r="U79" i="2"/>
  <c r="V79" i="2" s="1"/>
  <c r="W79" i="2" s="1"/>
  <c r="U80" i="2"/>
  <c r="V80" i="2" s="1"/>
  <c r="W80" i="2" s="1"/>
  <c r="U81" i="2"/>
  <c r="U82" i="2"/>
  <c r="V82" i="2" s="1"/>
  <c r="W82" i="2" s="1"/>
  <c r="U83" i="2"/>
  <c r="U84" i="2"/>
  <c r="V84" i="2" s="1"/>
  <c r="W84" i="2" s="1"/>
  <c r="U85" i="2"/>
  <c r="V85" i="2" s="1"/>
  <c r="W85" i="2" s="1"/>
  <c r="U86" i="2"/>
  <c r="V86" i="2" s="1"/>
  <c r="W86" i="2" s="1"/>
  <c r="U87" i="2"/>
  <c r="U88" i="2"/>
  <c r="V88" i="2" s="1"/>
  <c r="W88" i="2" s="1"/>
  <c r="U89" i="2"/>
  <c r="U90" i="2"/>
  <c r="V90" i="2" s="1"/>
  <c r="W90" i="2" s="1"/>
  <c r="U91" i="2"/>
  <c r="U92" i="2"/>
  <c r="U93" i="2"/>
  <c r="U94" i="2"/>
  <c r="V94" i="2" s="1"/>
  <c r="W94" i="2" s="1"/>
  <c r="U95" i="2"/>
  <c r="U96" i="2"/>
  <c r="V96" i="2" s="1"/>
  <c r="W96" i="2" s="1"/>
  <c r="U97" i="2"/>
  <c r="V97" i="2" s="1"/>
  <c r="W97" i="2" s="1"/>
  <c r="U98" i="2"/>
  <c r="V98" i="2" s="1"/>
  <c r="W98" i="2" s="1"/>
  <c r="U99" i="2"/>
  <c r="U100" i="2"/>
  <c r="U3" i="2"/>
  <c r="V3" i="2" s="1"/>
  <c r="W3" i="2" s="1"/>
  <c r="K1" i="2"/>
  <c r="C1" i="2"/>
  <c r="M4" i="2"/>
  <c r="N4" i="2" s="1"/>
  <c r="O4" i="2" s="1"/>
  <c r="M5" i="2"/>
  <c r="N5" i="2" s="1"/>
  <c r="O5" i="2" s="1"/>
  <c r="M6" i="2"/>
  <c r="M7" i="2"/>
  <c r="N7" i="2" s="1"/>
  <c r="O7" i="2" s="1"/>
  <c r="M8" i="2"/>
  <c r="N8" i="2" s="1"/>
  <c r="O8" i="2" s="1"/>
  <c r="M9" i="2"/>
  <c r="M10" i="2"/>
  <c r="N10" i="2" s="1"/>
  <c r="O10" i="2" s="1"/>
  <c r="M11" i="2"/>
  <c r="N11" i="2" s="1"/>
  <c r="O11" i="2" s="1"/>
  <c r="M12" i="2"/>
  <c r="M13" i="2"/>
  <c r="N13" i="2" s="1"/>
  <c r="O13" i="2" s="1"/>
  <c r="M14" i="2"/>
  <c r="N14" i="2" s="1"/>
  <c r="O14" i="2" s="1"/>
  <c r="M15" i="2"/>
  <c r="N15" i="2" s="1"/>
  <c r="O15" i="2" s="1"/>
  <c r="M16" i="2"/>
  <c r="N16" i="2" s="1"/>
  <c r="O16" i="2" s="1"/>
  <c r="M17" i="2"/>
  <c r="N17" i="2" s="1"/>
  <c r="O17" i="2" s="1"/>
  <c r="M18" i="2"/>
  <c r="M19" i="2"/>
  <c r="N19" i="2" s="1"/>
  <c r="O19" i="2" s="1"/>
  <c r="M20" i="2"/>
  <c r="N20" i="2" s="1"/>
  <c r="O20" i="2" s="1"/>
  <c r="M21" i="2"/>
  <c r="N21" i="2" s="1"/>
  <c r="O21" i="2" s="1"/>
  <c r="M22" i="2"/>
  <c r="N22" i="2" s="1"/>
  <c r="O22" i="2" s="1"/>
  <c r="M23" i="2"/>
  <c r="N23" i="2" s="1"/>
  <c r="O23" i="2" s="1"/>
  <c r="M24" i="2"/>
  <c r="M25" i="2"/>
  <c r="N25" i="2" s="1"/>
  <c r="O25" i="2" s="1"/>
  <c r="M26" i="2"/>
  <c r="N26" i="2" s="1"/>
  <c r="O26" i="2" s="1"/>
  <c r="M27" i="2"/>
  <c r="N27" i="2" s="1"/>
  <c r="O27" i="2" s="1"/>
  <c r="M28" i="2"/>
  <c r="N28" i="2" s="1"/>
  <c r="O28" i="2" s="1"/>
  <c r="M29" i="2"/>
  <c r="N29" i="2" s="1"/>
  <c r="O29" i="2" s="1"/>
  <c r="M30" i="2"/>
  <c r="M31" i="2"/>
  <c r="N31" i="2" s="1"/>
  <c r="O31" i="2" s="1"/>
  <c r="M32" i="2"/>
  <c r="N32" i="2" s="1"/>
  <c r="O32" i="2" s="1"/>
  <c r="M33" i="2"/>
  <c r="N33" i="2" s="1"/>
  <c r="O33" i="2" s="1"/>
  <c r="M34" i="2"/>
  <c r="N34" i="2" s="1"/>
  <c r="O34" i="2" s="1"/>
  <c r="M35" i="2"/>
  <c r="N35" i="2" s="1"/>
  <c r="O35" i="2" s="1"/>
  <c r="M36" i="2"/>
  <c r="M37" i="2"/>
  <c r="N37" i="2" s="1"/>
  <c r="O37" i="2" s="1"/>
  <c r="M38" i="2"/>
  <c r="N38" i="2" s="1"/>
  <c r="O38" i="2" s="1"/>
  <c r="M39" i="2"/>
  <c r="N39" i="2" s="1"/>
  <c r="O39" i="2" s="1"/>
  <c r="M40" i="2"/>
  <c r="N40" i="2" s="1"/>
  <c r="O40" i="2" s="1"/>
  <c r="M41" i="2"/>
  <c r="N41" i="2" s="1"/>
  <c r="O41" i="2" s="1"/>
  <c r="M42" i="2"/>
  <c r="M43" i="2"/>
  <c r="N43" i="2" s="1"/>
  <c r="O43" i="2" s="1"/>
  <c r="M44" i="2"/>
  <c r="N44" i="2" s="1"/>
  <c r="O44" i="2" s="1"/>
  <c r="M45" i="2"/>
  <c r="N45" i="2" s="1"/>
  <c r="O45" i="2" s="1"/>
  <c r="M46" i="2"/>
  <c r="N46" i="2" s="1"/>
  <c r="O46" i="2" s="1"/>
  <c r="M47" i="2"/>
  <c r="N47" i="2" s="1"/>
  <c r="O47" i="2" s="1"/>
  <c r="M48" i="2"/>
  <c r="M49" i="2"/>
  <c r="N49" i="2" s="1"/>
  <c r="O49" i="2" s="1"/>
  <c r="M50" i="2"/>
  <c r="N50" i="2" s="1"/>
  <c r="O50" i="2" s="1"/>
  <c r="M51" i="2"/>
  <c r="N51" i="2" s="1"/>
  <c r="O51" i="2" s="1"/>
  <c r="M52" i="2"/>
  <c r="N52" i="2" s="1"/>
  <c r="O52" i="2" s="1"/>
  <c r="M53" i="2"/>
  <c r="N53" i="2" s="1"/>
  <c r="O53" i="2" s="1"/>
  <c r="M54" i="2"/>
  <c r="M55" i="2"/>
  <c r="N55" i="2" s="1"/>
  <c r="O55" i="2" s="1"/>
  <c r="M56" i="2"/>
  <c r="N56" i="2" s="1"/>
  <c r="O56" i="2" s="1"/>
  <c r="M57" i="2"/>
  <c r="N57" i="2" s="1"/>
  <c r="O57" i="2" s="1"/>
  <c r="M58" i="2"/>
  <c r="N58" i="2" s="1"/>
  <c r="O58" i="2" s="1"/>
  <c r="M59" i="2"/>
  <c r="N59" i="2" s="1"/>
  <c r="O59" i="2" s="1"/>
  <c r="M60" i="2"/>
  <c r="M61" i="2"/>
  <c r="N61" i="2" s="1"/>
  <c r="O61" i="2" s="1"/>
  <c r="M62" i="2"/>
  <c r="N62" i="2" s="1"/>
  <c r="O62" i="2" s="1"/>
  <c r="M63" i="2"/>
  <c r="N63" i="2" s="1"/>
  <c r="O63" i="2" s="1"/>
  <c r="M64" i="2"/>
  <c r="N64" i="2" s="1"/>
  <c r="O64" i="2" s="1"/>
  <c r="M65" i="2"/>
  <c r="N65" i="2" s="1"/>
  <c r="O65" i="2" s="1"/>
  <c r="M66" i="2"/>
  <c r="M67" i="2"/>
  <c r="N67" i="2" s="1"/>
  <c r="O67" i="2" s="1"/>
  <c r="M68" i="2"/>
  <c r="N68" i="2" s="1"/>
  <c r="O68" i="2" s="1"/>
  <c r="M69" i="2"/>
  <c r="N69" i="2" s="1"/>
  <c r="O69" i="2" s="1"/>
  <c r="M70" i="2"/>
  <c r="M71" i="2"/>
  <c r="N71" i="2" s="1"/>
  <c r="O71" i="2" s="1"/>
  <c r="M72" i="2"/>
  <c r="M73" i="2"/>
  <c r="N73" i="2" s="1"/>
  <c r="O73" i="2" s="1"/>
  <c r="M74" i="2"/>
  <c r="N74" i="2" s="1"/>
  <c r="O74" i="2" s="1"/>
  <c r="M75" i="2"/>
  <c r="N75" i="2" s="1"/>
  <c r="O75" i="2" s="1"/>
  <c r="M76" i="2"/>
  <c r="N76" i="2" s="1"/>
  <c r="O76" i="2" s="1"/>
  <c r="M77" i="2"/>
  <c r="N77" i="2" s="1"/>
  <c r="O77" i="2" s="1"/>
  <c r="M78" i="2"/>
  <c r="M79" i="2"/>
  <c r="N79" i="2" s="1"/>
  <c r="O79" i="2" s="1"/>
  <c r="M80" i="2"/>
  <c r="N80" i="2" s="1"/>
  <c r="O80" i="2" s="1"/>
  <c r="M81" i="2"/>
  <c r="N81" i="2" s="1"/>
  <c r="O81" i="2" s="1"/>
  <c r="M82" i="2"/>
  <c r="N82" i="2" s="1"/>
  <c r="O82" i="2" s="1"/>
  <c r="M83" i="2"/>
  <c r="N83" i="2" s="1"/>
  <c r="O83" i="2" s="1"/>
  <c r="M84" i="2"/>
  <c r="M85" i="2"/>
  <c r="N85" i="2" s="1"/>
  <c r="O85" i="2" s="1"/>
  <c r="M86" i="2"/>
  <c r="N86" i="2" s="1"/>
  <c r="O86" i="2" s="1"/>
  <c r="M87" i="2"/>
  <c r="N87" i="2" s="1"/>
  <c r="O87" i="2" s="1"/>
  <c r="M88" i="2"/>
  <c r="M89" i="2"/>
  <c r="N89" i="2" s="1"/>
  <c r="O89" i="2" s="1"/>
  <c r="M90" i="2"/>
  <c r="M91" i="2"/>
  <c r="N91" i="2" s="1"/>
  <c r="O91" i="2" s="1"/>
  <c r="M92" i="2"/>
  <c r="N92" i="2" s="1"/>
  <c r="O92" i="2" s="1"/>
  <c r="M93" i="2"/>
  <c r="N93" i="2" s="1"/>
  <c r="O93" i="2" s="1"/>
  <c r="M94" i="2"/>
  <c r="N94" i="2" s="1"/>
  <c r="O94" i="2" s="1"/>
  <c r="M95" i="2"/>
  <c r="N95" i="2" s="1"/>
  <c r="O95" i="2" s="1"/>
  <c r="M96" i="2"/>
  <c r="M97" i="2"/>
  <c r="N97" i="2" s="1"/>
  <c r="O97" i="2" s="1"/>
  <c r="M98" i="2"/>
  <c r="N98" i="2" s="1"/>
  <c r="O98" i="2" s="1"/>
  <c r="M99" i="2"/>
  <c r="M3" i="2"/>
  <c r="N3" i="2" s="1"/>
  <c r="O3" i="2" s="1"/>
  <c r="J1" i="2"/>
  <c r="AL41" i="2" l="1"/>
  <c r="AM41" i="2" s="1"/>
  <c r="AD62" i="2"/>
  <c r="AE62" i="2" s="1"/>
  <c r="AD38" i="2"/>
  <c r="AE38" i="2" s="1"/>
  <c r="AL16" i="2"/>
  <c r="AM16" i="2" s="1"/>
  <c r="AL95" i="2"/>
  <c r="AM95" i="2" s="1"/>
  <c r="AD61" i="2"/>
  <c r="AE61" i="2" s="1"/>
  <c r="AD32" i="2"/>
  <c r="AE32" i="2" s="1"/>
  <c r="AD14" i="2"/>
  <c r="AE14" i="2" s="1"/>
  <c r="AL89" i="2"/>
  <c r="AM89" i="2" s="1"/>
  <c r="AL71" i="2"/>
  <c r="AM71" i="2" s="1"/>
  <c r="AL53" i="2"/>
  <c r="AM53" i="2" s="1"/>
  <c r="AL35" i="2"/>
  <c r="AM35" i="2" s="1"/>
  <c r="AL59" i="2"/>
  <c r="AM59" i="2" s="1"/>
  <c r="AD56" i="2"/>
  <c r="AE56" i="2" s="1"/>
  <c r="AL86" i="2"/>
  <c r="AM86" i="2" s="1"/>
  <c r="AL68" i="2"/>
  <c r="AM68" i="2" s="1"/>
  <c r="AL50" i="2"/>
  <c r="AM50" i="2" s="1"/>
  <c r="AL32" i="2"/>
  <c r="AM32" i="2" s="1"/>
  <c r="AT89" i="2"/>
  <c r="AU89" i="2" s="1"/>
  <c r="AL77" i="2"/>
  <c r="AM77" i="2" s="1"/>
  <c r="AL83" i="2"/>
  <c r="AM83" i="2" s="1"/>
  <c r="AL65" i="2"/>
  <c r="AM65" i="2" s="1"/>
  <c r="AL47" i="2"/>
  <c r="AM47" i="2" s="1"/>
  <c r="AL29" i="2"/>
  <c r="AM29" i="2" s="1"/>
  <c r="AD91" i="2"/>
  <c r="AE91" i="2" s="1"/>
  <c r="AD73" i="2"/>
  <c r="AE73" i="2" s="1"/>
  <c r="AD55" i="2"/>
  <c r="AE55" i="2" s="1"/>
  <c r="AD37" i="2"/>
  <c r="AE37" i="2" s="1"/>
  <c r="AD95" i="2"/>
  <c r="AE95" i="2" s="1"/>
  <c r="AD83" i="2"/>
  <c r="AE83" i="2" s="1"/>
  <c r="AD77" i="2"/>
  <c r="AE77" i="2" s="1"/>
  <c r="AD71" i="2"/>
  <c r="AE71" i="2" s="1"/>
  <c r="AD65" i="2"/>
  <c r="AE65" i="2" s="1"/>
  <c r="AD59" i="2"/>
  <c r="AE59" i="2" s="1"/>
  <c r="AD53" i="2"/>
  <c r="AE53" i="2" s="1"/>
  <c r="AD47" i="2"/>
  <c r="AE47" i="2" s="1"/>
  <c r="AD41" i="2"/>
  <c r="AE41" i="2" s="1"/>
  <c r="AD35" i="2"/>
  <c r="AE35" i="2" s="1"/>
  <c r="AD29" i="2"/>
  <c r="AE29" i="2" s="1"/>
  <c r="AD23" i="2"/>
  <c r="AE23" i="2" s="1"/>
  <c r="AD17" i="2"/>
  <c r="AE17" i="2" s="1"/>
  <c r="AD11" i="2"/>
  <c r="AE11" i="2" s="1"/>
  <c r="AD5" i="2"/>
  <c r="AE5" i="2" s="1"/>
  <c r="AE1" i="2" s="1"/>
  <c r="AD86" i="2"/>
  <c r="AE86" i="2" s="1"/>
  <c r="AL84" i="2"/>
  <c r="AM84" i="2" s="1"/>
  <c r="AL78" i="2"/>
  <c r="AM78" i="2" s="1"/>
  <c r="AL72" i="2"/>
  <c r="AM72" i="2" s="1"/>
  <c r="AL66" i="2"/>
  <c r="AM66" i="2" s="1"/>
  <c r="AL60" i="2"/>
  <c r="AM60" i="2" s="1"/>
  <c r="AL54" i="2"/>
  <c r="AM54" i="2" s="1"/>
  <c r="AL48" i="2"/>
  <c r="AM48" i="2" s="1"/>
  <c r="AL42" i="2"/>
  <c r="AM42" i="2" s="1"/>
  <c r="AL36" i="2"/>
  <c r="AM36" i="2" s="1"/>
  <c r="AL30" i="2"/>
  <c r="AM30" i="2" s="1"/>
  <c r="AL24" i="2"/>
  <c r="AM24" i="2" s="1"/>
  <c r="AL18" i="2"/>
  <c r="AM18" i="2" s="1"/>
  <c r="AL12" i="2"/>
  <c r="AM12" i="2" s="1"/>
  <c r="AL6" i="2"/>
  <c r="AM6" i="2" s="1"/>
  <c r="AM1" i="2" s="1"/>
  <c r="AD92" i="2"/>
  <c r="AE92" i="2" s="1"/>
  <c r="AD74" i="2"/>
  <c r="AE74" i="2" s="1"/>
  <c r="AD89" i="2"/>
  <c r="AE89" i="2" s="1"/>
  <c r="AD76" i="2"/>
  <c r="AE76" i="2" s="1"/>
  <c r="AT98" i="2"/>
  <c r="AU98" i="2" s="1"/>
  <c r="AT92" i="2"/>
  <c r="AU92" i="2" s="1"/>
  <c r="AT86" i="2"/>
  <c r="AU86" i="2" s="1"/>
  <c r="AT80" i="2"/>
  <c r="AU80" i="2" s="1"/>
  <c r="AT74" i="2"/>
  <c r="AU74" i="2" s="1"/>
  <c r="AT68" i="2"/>
  <c r="AU68" i="2" s="1"/>
  <c r="AT62" i="2"/>
  <c r="AU62" i="2" s="1"/>
  <c r="AT56" i="2"/>
  <c r="AU56" i="2" s="1"/>
  <c r="AT50" i="2"/>
  <c r="AU50" i="2" s="1"/>
  <c r="AT44" i="2"/>
  <c r="AU44" i="2" s="1"/>
  <c r="AT38" i="2"/>
  <c r="AU38" i="2" s="1"/>
  <c r="AT32" i="2"/>
  <c r="AU32" i="2" s="1"/>
  <c r="AT26" i="2"/>
  <c r="AU26" i="2" s="1"/>
  <c r="AT20" i="2"/>
  <c r="AU20" i="2" s="1"/>
  <c r="AT14" i="2"/>
  <c r="AU14" i="2" s="1"/>
  <c r="AT8" i="2"/>
  <c r="AU8" i="2" s="1"/>
  <c r="AD99" i="2"/>
  <c r="AE99" i="2" s="1"/>
  <c r="AD93" i="2"/>
  <c r="AE93" i="2" s="1"/>
  <c r="AD87" i="2"/>
  <c r="AE87" i="2" s="1"/>
  <c r="AD81" i="2"/>
  <c r="AE81" i="2" s="1"/>
  <c r="AD75" i="2"/>
  <c r="AE75" i="2" s="1"/>
  <c r="AD69" i="2"/>
  <c r="AE69" i="2" s="1"/>
  <c r="AD63" i="2"/>
  <c r="AE63" i="2" s="1"/>
  <c r="AD57" i="2"/>
  <c r="AE57" i="2" s="1"/>
  <c r="AD51" i="2"/>
  <c r="AE51" i="2" s="1"/>
  <c r="AD45" i="2"/>
  <c r="AE45" i="2" s="1"/>
  <c r="AD39" i="2"/>
  <c r="AE39" i="2" s="1"/>
  <c r="AD33" i="2"/>
  <c r="AE33" i="2" s="1"/>
  <c r="AD27" i="2"/>
  <c r="AE27" i="2" s="1"/>
  <c r="AD21" i="2"/>
  <c r="AE21" i="2" s="1"/>
  <c r="AD15" i="2"/>
  <c r="AE15" i="2" s="1"/>
  <c r="AD9" i="2"/>
  <c r="AE9" i="2" s="1"/>
  <c r="AD98" i="2"/>
  <c r="AE98" i="2" s="1"/>
  <c r="AD80" i="2"/>
  <c r="AE80" i="2" s="1"/>
  <c r="AL20" i="2"/>
  <c r="AM20" i="2" s="1"/>
  <c r="AT95" i="2"/>
  <c r="AU95" i="2" s="1"/>
  <c r="AT77" i="2"/>
  <c r="AU77" i="2" s="1"/>
  <c r="AT59" i="2"/>
  <c r="AU59" i="2" s="1"/>
  <c r="AT41" i="2"/>
  <c r="AU41" i="2" s="1"/>
  <c r="AT23" i="2"/>
  <c r="AU23" i="2" s="1"/>
  <c r="AT5" i="2"/>
  <c r="AU5" i="2" s="1"/>
  <c r="AU1" i="2" s="1"/>
  <c r="AT83" i="2"/>
  <c r="AU83" i="2" s="1"/>
  <c r="AT65" i="2"/>
  <c r="AU65" i="2" s="1"/>
  <c r="AT47" i="2"/>
  <c r="AU47" i="2" s="1"/>
  <c r="AT29" i="2"/>
  <c r="AU29" i="2" s="1"/>
  <c r="AT11" i="2"/>
  <c r="AU11" i="2" s="1"/>
  <c r="N96" i="2"/>
  <c r="O96" i="2" s="1"/>
  <c r="N78" i="2"/>
  <c r="O78" i="2" s="1"/>
  <c r="N66" i="2"/>
  <c r="O66" i="2" s="1"/>
  <c r="N48" i="2"/>
  <c r="O48" i="2" s="1"/>
  <c r="N12" i="2"/>
  <c r="O12" i="2" s="1"/>
  <c r="V100" i="2"/>
  <c r="W100" i="2" s="1"/>
  <c r="N90" i="2"/>
  <c r="O90" i="2" s="1"/>
  <c r="N72" i="2"/>
  <c r="O72" i="2" s="1"/>
  <c r="N60" i="2"/>
  <c r="O60" i="2" s="1"/>
  <c r="N54" i="2"/>
  <c r="O54" i="2" s="1"/>
  <c r="N42" i="2"/>
  <c r="O42" i="2" s="1"/>
  <c r="N30" i="2"/>
  <c r="O30" i="2" s="1"/>
  <c r="N24" i="2"/>
  <c r="O24" i="2" s="1"/>
  <c r="N18" i="2"/>
  <c r="O18" i="2" s="1"/>
  <c r="N6" i="2"/>
  <c r="O6" i="2" s="1"/>
  <c r="N88" i="2"/>
  <c r="O88" i="2" s="1"/>
  <c r="N70" i="2"/>
  <c r="O70" i="2" s="1"/>
  <c r="N84" i="2"/>
  <c r="O84" i="2" s="1"/>
  <c r="N99" i="2"/>
  <c r="O99" i="2" s="1"/>
  <c r="N9" i="2"/>
  <c r="O9" i="2" s="1"/>
  <c r="N36" i="2"/>
  <c r="O36" i="2" s="1"/>
  <c r="V91" i="2"/>
  <c r="W91" i="2" s="1"/>
  <c r="V73" i="2"/>
  <c r="W73" i="2" s="1"/>
  <c r="V55" i="2"/>
  <c r="W55" i="2" s="1"/>
  <c r="V19" i="2"/>
  <c r="W19" i="2" s="1"/>
  <c r="V34" i="2"/>
  <c r="W34" i="2" s="1"/>
  <c r="V95" i="2"/>
  <c r="W95" i="2" s="1"/>
  <c r="V89" i="2"/>
  <c r="W89" i="2" s="1"/>
  <c r="V83" i="2"/>
  <c r="W83" i="2" s="1"/>
  <c r="V77" i="2"/>
  <c r="W77" i="2" s="1"/>
  <c r="V71" i="2"/>
  <c r="W71" i="2" s="1"/>
  <c r="V65" i="2"/>
  <c r="W65" i="2" s="1"/>
  <c r="V59" i="2"/>
  <c r="W59" i="2" s="1"/>
  <c r="V53" i="2"/>
  <c r="W53" i="2" s="1"/>
  <c r="V47" i="2"/>
  <c r="W47" i="2" s="1"/>
  <c r="V41" i="2"/>
  <c r="W41" i="2" s="1"/>
  <c r="V35" i="2"/>
  <c r="W35" i="2" s="1"/>
  <c r="V29" i="2"/>
  <c r="W29" i="2" s="1"/>
  <c r="V23" i="2"/>
  <c r="W23" i="2" s="1"/>
  <c r="V17" i="2"/>
  <c r="W17" i="2" s="1"/>
  <c r="V11" i="2"/>
  <c r="W11" i="2" s="1"/>
  <c r="V5" i="2"/>
  <c r="W5" i="2" s="1"/>
  <c r="V99" i="2"/>
  <c r="V93" i="2"/>
  <c r="W93" i="2" s="1"/>
  <c r="V87" i="2"/>
  <c r="W87" i="2" s="1"/>
  <c r="V81" i="2"/>
  <c r="W81" i="2" s="1"/>
  <c r="V75" i="2"/>
  <c r="W75" i="2" s="1"/>
  <c r="V69" i="2"/>
  <c r="W69" i="2" s="1"/>
  <c r="V63" i="2"/>
  <c r="W63" i="2" s="1"/>
  <c r="V57" i="2"/>
  <c r="W57" i="2" s="1"/>
  <c r="V51" i="2"/>
  <c r="W51" i="2" s="1"/>
  <c r="V45" i="2"/>
  <c r="W45" i="2" s="1"/>
  <c r="V39" i="2"/>
  <c r="W39" i="2" s="1"/>
  <c r="V33" i="2"/>
  <c r="W33" i="2" s="1"/>
  <c r="V27" i="2"/>
  <c r="W27" i="2" s="1"/>
  <c r="V21" i="2"/>
  <c r="W21" i="2" s="1"/>
  <c r="V15" i="2"/>
  <c r="W15" i="2" s="1"/>
  <c r="V9" i="2"/>
  <c r="W9" i="2" s="1"/>
  <c r="V92" i="2"/>
  <c r="V74" i="2"/>
  <c r="W74" i="2" s="1"/>
  <c r="V56" i="2"/>
  <c r="W56" i="2" s="1"/>
  <c r="V20" i="2"/>
  <c r="W20" i="2" s="1"/>
  <c r="W1" i="2" l="1"/>
  <c r="O1" i="2"/>
  <c r="AT1" i="2"/>
  <c r="AD1" i="2"/>
  <c r="V1" i="2"/>
  <c r="AL1" i="2"/>
  <c r="N1" i="2"/>
  <c r="B1" i="2" l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E22" i="2"/>
  <c r="F22" i="2" s="1"/>
  <c r="E23" i="2"/>
  <c r="F23" i="2" s="1"/>
  <c r="E24" i="2"/>
  <c r="F24" i="2" s="1"/>
  <c r="E25" i="2"/>
  <c r="F25" i="2" s="1"/>
  <c r="E26" i="2"/>
  <c r="F26" i="2" s="1"/>
  <c r="E27" i="2"/>
  <c r="E28" i="2"/>
  <c r="F28" i="2" s="1"/>
  <c r="E29" i="2"/>
  <c r="F29" i="2" s="1"/>
  <c r="E30" i="2"/>
  <c r="F30" i="2" s="1"/>
  <c r="E31" i="2"/>
  <c r="F31" i="2" s="1"/>
  <c r="E32" i="2"/>
  <c r="F32" i="2" s="1"/>
  <c r="E33" i="2"/>
  <c r="E34" i="2"/>
  <c r="F34" i="2" s="1"/>
  <c r="E35" i="2"/>
  <c r="F35" i="2" s="1"/>
  <c r="E36" i="2"/>
  <c r="F36" i="2" s="1"/>
  <c r="E37" i="2"/>
  <c r="F37" i="2" s="1"/>
  <c r="E38" i="2"/>
  <c r="F38" i="2" s="1"/>
  <c r="E39" i="2"/>
  <c r="E40" i="2"/>
  <c r="F40" i="2" s="1"/>
  <c r="E41" i="2"/>
  <c r="F41" i="2" s="1"/>
  <c r="E42" i="2"/>
  <c r="F42" i="2" s="1"/>
  <c r="E43" i="2"/>
  <c r="F43" i="2" s="1"/>
  <c r="E44" i="2"/>
  <c r="F44" i="2" s="1"/>
  <c r="E45" i="2"/>
  <c r="E46" i="2"/>
  <c r="F46" i="2" s="1"/>
  <c r="E47" i="2"/>
  <c r="F47" i="2" s="1"/>
  <c r="E48" i="2"/>
  <c r="F48" i="2" s="1"/>
  <c r="E49" i="2"/>
  <c r="F49" i="2" s="1"/>
  <c r="E50" i="2"/>
  <c r="F50" i="2" s="1"/>
  <c r="E51" i="2"/>
  <c r="E52" i="2"/>
  <c r="F52" i="2" s="1"/>
  <c r="E53" i="2"/>
  <c r="F53" i="2" s="1"/>
  <c r="E54" i="2"/>
  <c r="F54" i="2" s="1"/>
  <c r="E55" i="2"/>
  <c r="F55" i="2" s="1"/>
  <c r="E56" i="2"/>
  <c r="F56" i="2" s="1"/>
  <c r="E57" i="2"/>
  <c r="E58" i="2"/>
  <c r="F58" i="2" s="1"/>
  <c r="E59" i="2"/>
  <c r="F59" i="2" s="1"/>
  <c r="E60" i="2"/>
  <c r="F60" i="2" s="1"/>
  <c r="E61" i="2"/>
  <c r="F61" i="2" s="1"/>
  <c r="E62" i="2"/>
  <c r="F62" i="2" s="1"/>
  <c r="E63" i="2"/>
  <c r="E64" i="2"/>
  <c r="F64" i="2" s="1"/>
  <c r="E65" i="2"/>
  <c r="F65" i="2" s="1"/>
  <c r="E66" i="2"/>
  <c r="F66" i="2" s="1"/>
  <c r="E67" i="2"/>
  <c r="F67" i="2" s="1"/>
  <c r="E68" i="2"/>
  <c r="F68" i="2" s="1"/>
  <c r="E69" i="2"/>
  <c r="E70" i="2"/>
  <c r="F70" i="2" s="1"/>
  <c r="E71" i="2"/>
  <c r="F71" i="2" s="1"/>
  <c r="E72" i="2"/>
  <c r="F72" i="2" s="1"/>
  <c r="E73" i="2"/>
  <c r="F73" i="2" s="1"/>
  <c r="E74" i="2"/>
  <c r="F74" i="2" s="1"/>
  <c r="E75" i="2"/>
  <c r="E76" i="2"/>
  <c r="F76" i="2" s="1"/>
  <c r="E77" i="2"/>
  <c r="F77" i="2" s="1"/>
  <c r="E78" i="2"/>
  <c r="F78" i="2" s="1"/>
  <c r="E79" i="2"/>
  <c r="F79" i="2" s="1"/>
  <c r="E80" i="2"/>
  <c r="F80" i="2" s="1"/>
  <c r="E81" i="2"/>
  <c r="E82" i="2"/>
  <c r="F82" i="2" s="1"/>
  <c r="E83" i="2"/>
  <c r="F83" i="2" s="1"/>
  <c r="E84" i="2"/>
  <c r="F84" i="2" s="1"/>
  <c r="E85" i="2"/>
  <c r="F85" i="2" s="1"/>
  <c r="E86" i="2"/>
  <c r="F86" i="2" s="1"/>
  <c r="E87" i="2"/>
  <c r="E88" i="2"/>
  <c r="F88" i="2" s="1"/>
  <c r="E89" i="2"/>
  <c r="F89" i="2" s="1"/>
  <c r="E90" i="2"/>
  <c r="F90" i="2" s="1"/>
  <c r="E91" i="2"/>
  <c r="F91" i="2" s="1"/>
  <c r="E92" i="2"/>
  <c r="F92" i="2" s="1"/>
  <c r="E93" i="2"/>
  <c r="E94" i="2"/>
  <c r="F94" i="2" s="1"/>
  <c r="E3" i="2"/>
  <c r="F93" i="2" l="1"/>
  <c r="F87" i="2"/>
  <c r="F81" i="2"/>
  <c r="F69" i="2"/>
  <c r="F63" i="2"/>
  <c r="F57" i="2"/>
  <c r="F51" i="2"/>
  <c r="F45" i="2"/>
  <c r="F39" i="2"/>
  <c r="F33" i="2"/>
  <c r="F27" i="2"/>
  <c r="F21" i="2"/>
  <c r="F75" i="2"/>
  <c r="G1" i="2" l="1"/>
  <c r="F1" i="2"/>
</calcChain>
</file>

<file path=xl/sharedStrings.xml><?xml version="1.0" encoding="utf-8"?>
<sst xmlns="http://schemas.openxmlformats.org/spreadsheetml/2006/main" count="119" uniqueCount="48">
  <si>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</si>
  <si>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</si>
  <si>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</si>
  <si>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</si>
  <si>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</si>
  <si>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</si>
  <si>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</si>
  <si>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</si>
  <si>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</si>
  <si>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</si>
  <si>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</si>
  <si>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</si>
  <si>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</si>
  <si>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</si>
  <si>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</si>
  <si>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</si>
  <si>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</si>
  <si>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</si>
  <si>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</si>
  <si>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</si>
  <si>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</si>
  <si>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</si>
  <si>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</si>
  <si>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</si>
  <si>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</si>
  <si>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</si>
  <si>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</si>
  <si>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Time</t>
  </si>
  <si>
    <t>Max Amp</t>
  </si>
  <si>
    <t>Storm 2</t>
  </si>
  <si>
    <t>tau</t>
  </si>
  <si>
    <t>amp_factor</t>
  </si>
  <si>
    <t>Ch2 Impulses</t>
  </si>
  <si>
    <t>Impulses/s</t>
  </si>
  <si>
    <t>Tau (Pa)</t>
  </si>
  <si>
    <t>Dmax (mm)</t>
  </si>
  <si>
    <t>Storm 3</t>
  </si>
  <si>
    <t>Storm 4</t>
  </si>
  <si>
    <t>Storm 5</t>
  </si>
  <si>
    <t>Storm 6</t>
  </si>
  <si>
    <t>Storm 7</t>
  </si>
  <si>
    <t xml:space="preserve">Imp/s * MaxAmp </t>
  </si>
  <si>
    <t>Imp/s</t>
  </si>
  <si>
    <t>Imp/s * MaxAmp</t>
  </si>
  <si>
    <t>Event 1</t>
  </si>
  <si>
    <t>Event 2</t>
  </si>
  <si>
    <t>Event 3</t>
  </si>
  <si>
    <t>Event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</si>
</sst>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0.000000"/>
    <numFmt numFmtId="166" formatCode="0.00000"/>
    <numFmt numFmtId="167" formatCode="0.0000"/>
    <numFmt numFmtId="168" formatCode="0.000"/>
    <numFmt numFmtId="169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2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4" borderId="0" xfId="0" applyFont="1" applyFill="1"/>
    <xf numFmtId="2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8" fontId="0" fillId="3" borderId="0" xfId="0" applyNumberFormat="1" applyFill="1" applyAlignment="1">
      <alignment horizontal="center"/>
    </xf>
    <xf numFmtId="19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22" fontId="0" fillId="6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2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168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19" fontId="1" fillId="1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9" fontId="1" fillId="2" borderId="0" xfId="0" applyNumberFormat="1" applyFont="1" applyFill="1" applyAlignment="1">
      <alignment horizontal="center"/>
    </xf>
    <xf numFmtId="22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2" fontId="0" fillId="12" borderId="0" xfId="0" applyNumberFormat="1" applyFill="1" applyAlignment="1">
      <alignment horizontal="center"/>
    </xf>
    <xf numFmtId="168" fontId="0" fillId="12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center"/>
    </xf>
    <xf numFmtId="168" fontId="1" fillId="8" borderId="0" xfId="0" applyNumberFormat="1" applyFont="1" applyFill="1" applyAlignment="1">
      <alignment horizontal="center"/>
    </xf>
    <xf numFmtId="168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8" fontId="1" fillId="12" borderId="0" xfId="0" applyNumberFormat="1" applyFont="1" applyFill="1" applyAlignment="1">
      <alignment horizontal="center"/>
    </xf>
    <xf numFmtId="164" fontId="1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168" fontId="1" fillId="14" borderId="0" xfId="0" applyNumberFormat="1" applyFont="1" applyFill="1" applyAlignment="1">
      <alignment horizontal="center"/>
    </xf>
    <xf numFmtId="164" fontId="1" fillId="14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2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167" fontId="0" fillId="14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6" fontId="0" fillId="12" borderId="0" xfId="0" applyNumberFormat="1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15" borderId="0" xfId="0" applyFont="1" applyFill="1" applyAlignment="1">
      <alignment horizontal="center"/>
    </xf>
    <xf numFmtId="22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8" borderId="0" xfId="0" applyFill="1" applyAlignment="1">
      <alignment horizontal="center"/>
    </xf>
    <xf numFmtId="22" fontId="0" fillId="18" borderId="0" xfId="0" applyNumberFormat="1" applyFill="1" applyAlignment="1">
      <alignment horizontal="center"/>
    </xf>
    <xf numFmtId="168" fontId="0" fillId="18" borderId="0" xfId="0" applyNumberFormat="1" applyFill="1" applyAlignment="1">
      <alignment horizontal="center"/>
    </xf>
    <xf numFmtId="2" fontId="0" fillId="18" borderId="0" xfId="0" applyNumberForma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22" fontId="0" fillId="19" borderId="0" xfId="0" applyNumberFormat="1" applyFill="1" applyAlignment="1">
      <alignment horizontal="center"/>
    </xf>
    <xf numFmtId="167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2" fontId="0" fillId="19" borderId="0" xfId="0" applyNumberFormat="1" applyFill="1" applyAlignment="1">
      <alignment horizontal="center"/>
    </xf>
    <xf numFmtId="168" fontId="0" fillId="19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22" fontId="0" fillId="20" borderId="0" xfId="0" applyNumberFormat="1" applyFill="1"/>
    <xf numFmtId="167" fontId="0" fillId="20" borderId="0" xfId="0" applyNumberFormat="1" applyFill="1" applyAlignment="1">
      <alignment horizontal="center"/>
    </xf>
    <xf numFmtId="168" fontId="0" fillId="20" borderId="0" xfId="0" applyNumberFormat="1" applyFill="1" applyAlignment="1">
      <alignment horizontal="center"/>
    </xf>
    <xf numFmtId="2" fontId="0" fillId="20" borderId="0" xfId="0" applyNumberFormat="1" applyFill="1" applyAlignment="1">
      <alignment horizontal="center"/>
    </xf>
    <xf numFmtId="2" fontId="1" fillId="18" borderId="0" xfId="0" applyNumberFormat="1" applyFont="1" applyFill="1" applyAlignment="1">
      <alignment horizontal="center"/>
    </xf>
    <xf numFmtId="164" fontId="1" fillId="18" borderId="0" xfId="0" applyNumberFormat="1" applyFont="1" applyFill="1" applyAlignment="1">
      <alignment horizontal="center"/>
    </xf>
    <xf numFmtId="0" fontId="1" fillId="18" borderId="0" xfId="0" applyNumberFormat="1" applyFont="1" applyFill="1" applyAlignment="1">
      <alignment horizontal="center"/>
    </xf>
    <xf numFmtId="2" fontId="1" fillId="19" borderId="0" xfId="0" applyNumberFormat="1" applyFont="1" applyFill="1" applyAlignment="1">
      <alignment horizontal="center"/>
    </xf>
    <xf numFmtId="164" fontId="1" fillId="19" borderId="0" xfId="0" applyNumberFormat="1" applyFont="1" applyFill="1" applyAlignment="1">
      <alignment horizontal="center"/>
    </xf>
    <xf numFmtId="0" fontId="1" fillId="19" borderId="0" xfId="0" applyNumberFormat="1" applyFont="1" applyFill="1" applyAlignment="1">
      <alignment horizontal="center"/>
    </xf>
    <xf numFmtId="2" fontId="1" fillId="20" borderId="0" xfId="0" applyNumberFormat="1" applyFont="1" applyFill="1" applyAlignment="1">
      <alignment horizontal="center"/>
    </xf>
    <xf numFmtId="164" fontId="1" fillId="20" borderId="0" xfId="0" applyNumberFormat="1" applyFont="1" applyFill="1" applyAlignment="1">
      <alignment horizontal="center"/>
    </xf>
    <xf numFmtId="0" fontId="1" fillId="20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0" fillId="19" borderId="0" xfId="0" applyFill="1"/>
    <xf numFmtId="166" fontId="0" fillId="3" borderId="0" xfId="0" applyNumberFormat="1" applyFill="1"/>
    <xf numFmtId="0" fontId="0" fillId="3" borderId="0" xfId="0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'time series'!$C$3:$C$94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'time series'!$G$3:$G$94</c:f>
              <c:numCache>
                <c:formatCode>0.00</c:formatCode>
                <c:ptCount val="92"/>
                <c:pt idx="0">
                  <c:v>0</c:v>
                </c:pt>
                <c:pt idx="1">
                  <c:v>2.791356996271706</c:v>
                </c:pt>
                <c:pt idx="2">
                  <c:v>2.7649809345134853</c:v>
                </c:pt>
                <c:pt idx="3">
                  <c:v>2.4673148397084299</c:v>
                </c:pt>
                <c:pt idx="4">
                  <c:v>2.6457893704180964</c:v>
                </c:pt>
                <c:pt idx="5">
                  <c:v>2.3305783803926121</c:v>
                </c:pt>
                <c:pt idx="6">
                  <c:v>2.519936075085202</c:v>
                </c:pt>
                <c:pt idx="7">
                  <c:v>2.7344911288796694</c:v>
                </c:pt>
                <c:pt idx="8">
                  <c:v>2.5987833405071061</c:v>
                </c:pt>
                <c:pt idx="9">
                  <c:v>2.5177073751060881</c:v>
                </c:pt>
                <c:pt idx="10">
                  <c:v>2.5009070349243157</c:v>
                </c:pt>
                <c:pt idx="11">
                  <c:v>2.6140845154105792</c:v>
                </c:pt>
                <c:pt idx="12">
                  <c:v>2.7385988992140011</c:v>
                </c:pt>
                <c:pt idx="13">
                  <c:v>2.4928226307659678</c:v>
                </c:pt>
                <c:pt idx="14">
                  <c:v>1.955137808952677</c:v>
                </c:pt>
                <c:pt idx="15">
                  <c:v>1.9100868324142395</c:v>
                </c:pt>
                <c:pt idx="16">
                  <c:v>2.3597504837832695</c:v>
                </c:pt>
                <c:pt idx="17">
                  <c:v>2.2621472474486231</c:v>
                </c:pt>
                <c:pt idx="18">
                  <c:v>2.1886123908823101</c:v>
                </c:pt>
                <c:pt idx="19">
                  <c:v>2.0708367050090577</c:v>
                </c:pt>
                <c:pt idx="20">
                  <c:v>2.2203737895454494</c:v>
                </c:pt>
                <c:pt idx="21">
                  <c:v>2.1516403171733334</c:v>
                </c:pt>
                <c:pt idx="22">
                  <c:v>2.8109089601537796</c:v>
                </c:pt>
                <c:pt idx="23">
                  <c:v>2.2972335025138353</c:v>
                </c:pt>
                <c:pt idx="24">
                  <c:v>1.987134337417199</c:v>
                </c:pt>
                <c:pt idx="25">
                  <c:v>2.3715024734635026</c:v>
                </c:pt>
                <c:pt idx="26">
                  <c:v>2.1918527936826915</c:v>
                </c:pt>
                <c:pt idx="27">
                  <c:v>2.0954901014104932</c:v>
                </c:pt>
                <c:pt idx="28">
                  <c:v>2.0566781292310021</c:v>
                </c:pt>
                <c:pt idx="29">
                  <c:v>2.1015524171423281</c:v>
                </c:pt>
                <c:pt idx="30">
                  <c:v>1.8867225320127219</c:v>
                </c:pt>
                <c:pt idx="31">
                  <c:v>2.0742160088414772</c:v>
                </c:pt>
                <c:pt idx="32">
                  <c:v>2.5598144420098592</c:v>
                </c:pt>
                <c:pt idx="33">
                  <c:v>2.8000452401310367</c:v>
                </c:pt>
                <c:pt idx="34">
                  <c:v>2.2126595392400104</c:v>
                </c:pt>
                <c:pt idx="35">
                  <c:v>2.4063153288996197</c:v>
                </c:pt>
                <c:pt idx="36">
                  <c:v>2.5005328993596638</c:v>
                </c:pt>
                <c:pt idx="37">
                  <c:v>2.7887964937903398</c:v>
                </c:pt>
                <c:pt idx="38">
                  <c:v>2.2353458694972441</c:v>
                </c:pt>
                <c:pt idx="39">
                  <c:v>2.1403096958246715</c:v>
                </c:pt>
                <c:pt idx="40">
                  <c:v>2.5151462820220147</c:v>
                </c:pt>
                <c:pt idx="41">
                  <c:v>2.2483611090648514</c:v>
                </c:pt>
                <c:pt idx="42">
                  <c:v>1.9960082421885208</c:v>
                </c:pt>
                <c:pt idx="43">
                  <c:v>2.393450860062051</c:v>
                </c:pt>
                <c:pt idx="44">
                  <c:v>1.8202265142136964</c:v>
                </c:pt>
                <c:pt idx="45">
                  <c:v>1.9122893030964594</c:v>
                </c:pt>
                <c:pt idx="46">
                  <c:v>2.4806328887058307</c:v>
                </c:pt>
                <c:pt idx="47">
                  <c:v>2.0680484163617989</c:v>
                </c:pt>
                <c:pt idx="48">
                  <c:v>2.1923101887379342</c:v>
                </c:pt>
                <c:pt idx="49">
                  <c:v>2.3584103922725554</c:v>
                </c:pt>
                <c:pt idx="50">
                  <c:v>2.3762676229922564</c:v>
                </c:pt>
                <c:pt idx="51">
                  <c:v>2.1421789492760746</c:v>
                </c:pt>
                <c:pt idx="52">
                  <c:v>2.3931565222710121</c:v>
                </c:pt>
                <c:pt idx="53">
                  <c:v>1.929398795245691</c:v>
                </c:pt>
                <c:pt idx="54">
                  <c:v>1.7766629370625679</c:v>
                </c:pt>
                <c:pt idx="55">
                  <c:v>1.9799141859576828</c:v>
                </c:pt>
                <c:pt idx="56">
                  <c:v>1.9851199936728641</c:v>
                </c:pt>
                <c:pt idx="57">
                  <c:v>2.6695984197047946</c:v>
                </c:pt>
                <c:pt idx="58">
                  <c:v>3.4390710041697061</c:v>
                </c:pt>
                <c:pt idx="59">
                  <c:v>16.570402163552938</c:v>
                </c:pt>
                <c:pt idx="60">
                  <c:v>80.273877098790663</c:v>
                </c:pt>
                <c:pt idx="61">
                  <c:v>57.74068660746331</c:v>
                </c:pt>
                <c:pt idx="62">
                  <c:v>47.567699592066525</c:v>
                </c:pt>
                <c:pt idx="63">
                  <c:v>37.803575502160662</c:v>
                </c:pt>
                <c:pt idx="64">
                  <c:v>40.243169637786821</c:v>
                </c:pt>
                <c:pt idx="65">
                  <c:v>42.735212073900847</c:v>
                </c:pt>
                <c:pt idx="66">
                  <c:v>43.617949398828969</c:v>
                </c:pt>
                <c:pt idx="67">
                  <c:v>39.930389944927285</c:v>
                </c:pt>
                <c:pt idx="68">
                  <c:v>42.07379889809004</c:v>
                </c:pt>
                <c:pt idx="69">
                  <c:v>37.463227375233117</c:v>
                </c:pt>
                <c:pt idx="70">
                  <c:v>32.15885703275017</c:v>
                </c:pt>
                <c:pt idx="71">
                  <c:v>30.216881568047896</c:v>
                </c:pt>
                <c:pt idx="72">
                  <c:v>25.2787257337237</c:v>
                </c:pt>
                <c:pt idx="73">
                  <c:v>23.739182874624156</c:v>
                </c:pt>
                <c:pt idx="74">
                  <c:v>20.789893494319333</c:v>
                </c:pt>
                <c:pt idx="75">
                  <c:v>16.932750535726619</c:v>
                </c:pt>
                <c:pt idx="76">
                  <c:v>16.986556591580069</c:v>
                </c:pt>
                <c:pt idx="77">
                  <c:v>16.446236032101172</c:v>
                </c:pt>
                <c:pt idx="78">
                  <c:v>15.7063329331754</c:v>
                </c:pt>
                <c:pt idx="79">
                  <c:v>16.489667945408691</c:v>
                </c:pt>
                <c:pt idx="80">
                  <c:v>19.118390583830159</c:v>
                </c:pt>
                <c:pt idx="81">
                  <c:v>19.676102765150922</c:v>
                </c:pt>
                <c:pt idx="82">
                  <c:v>19.144849338717748</c:v>
                </c:pt>
                <c:pt idx="83">
                  <c:v>19.754958522759882</c:v>
                </c:pt>
                <c:pt idx="84">
                  <c:v>19.39100882698407</c:v>
                </c:pt>
                <c:pt idx="85">
                  <c:v>24.136926880406467</c:v>
                </c:pt>
                <c:pt idx="86">
                  <c:v>24.678012257173279</c:v>
                </c:pt>
                <c:pt idx="87">
                  <c:v>26.325657424734072</c:v>
                </c:pt>
                <c:pt idx="88">
                  <c:v>23.593040021995446</c:v>
                </c:pt>
                <c:pt idx="89">
                  <c:v>22.475689915463917</c:v>
                </c:pt>
                <c:pt idx="90">
                  <c:v>26.430343391447533</c:v>
                </c:pt>
                <c:pt idx="91">
                  <c:v>23.017241398062826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series'!$I$3:$I$99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'time series'!$K$3:$K$99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series'!$I$3:$I$99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'time series'!$O$3:$O$99</c:f>
              <c:numCache>
                <c:formatCode>0.00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31.628057381454148</c:v>
                </c:pt>
                <c:pt idx="58">
                  <c:v>39.520557851236589</c:v>
                </c:pt>
                <c:pt idx="59">
                  <c:v>48.206055461172006</c:v>
                </c:pt>
                <c:pt idx="60">
                  <c:v>52.388619007464662</c:v>
                </c:pt>
                <c:pt idx="61">
                  <c:v>44.818728513329802</c:v>
                </c:pt>
                <c:pt idx="62">
                  <c:v>43.206049923903961</c:v>
                </c:pt>
                <c:pt idx="63">
                  <c:v>43.31440835604613</c:v>
                </c:pt>
                <c:pt idx="64">
                  <c:v>37.496655980859039</c:v>
                </c:pt>
                <c:pt idx="65">
                  <c:v>35.145846764055413</c:v>
                </c:pt>
                <c:pt idx="66">
                  <c:v>31.976588608982734</c:v>
                </c:pt>
                <c:pt idx="67">
                  <c:v>30.14223013829745</c:v>
                </c:pt>
                <c:pt idx="68">
                  <c:v>28.210255746906032</c:v>
                </c:pt>
                <c:pt idx="69">
                  <c:v>27.954913528904317</c:v>
                </c:pt>
                <c:pt idx="70">
                  <c:v>26.174497591542213</c:v>
                </c:pt>
                <c:pt idx="71">
                  <c:v>27.109452181307351</c:v>
                </c:pt>
                <c:pt idx="72">
                  <c:v>29.726733706097683</c:v>
                </c:pt>
                <c:pt idx="73">
                  <c:v>28.327737969171352</c:v>
                </c:pt>
                <c:pt idx="74">
                  <c:v>23.797764112710826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series'!$Q$3:$Q$100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'time series'!$S$3:$S$100</c:f>
              <c:numCache>
                <c:formatCode>0.0000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series'!$Q$3:$Q$100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'time series'!$W$4:$W$100</c:f>
              <c:numCache>
                <c:formatCode>0.000</c:formatCode>
                <c:ptCount val="97"/>
                <c:pt idx="0">
                  <c:v>24.834623711052632</c:v>
                </c:pt>
                <c:pt idx="1">
                  <c:v>29.921368797033395</c:v>
                </c:pt>
                <c:pt idx="2">
                  <c:v>0</c:v>
                </c:pt>
                <c:pt idx="3">
                  <c:v>31.416100892084852</c:v>
                </c:pt>
                <c:pt idx="4">
                  <c:v>31.72190310962235</c:v>
                </c:pt>
                <c:pt idx="5">
                  <c:v>32.296096210611431</c:v>
                </c:pt>
                <c:pt idx="6">
                  <c:v>0</c:v>
                </c:pt>
                <c:pt idx="7">
                  <c:v>28.745635725673324</c:v>
                </c:pt>
                <c:pt idx="8">
                  <c:v>0</c:v>
                </c:pt>
                <c:pt idx="9">
                  <c:v>0</c:v>
                </c:pt>
                <c:pt idx="10">
                  <c:v>25.000150459147054</c:v>
                </c:pt>
                <c:pt idx="11">
                  <c:v>0</c:v>
                </c:pt>
                <c:pt idx="12">
                  <c:v>25.851328026017967</c:v>
                </c:pt>
                <c:pt idx="13">
                  <c:v>24.344066247837816</c:v>
                </c:pt>
                <c:pt idx="14">
                  <c:v>0</c:v>
                </c:pt>
                <c:pt idx="15">
                  <c:v>25.042965983382995</c:v>
                </c:pt>
                <c:pt idx="16">
                  <c:v>34.074083109995165</c:v>
                </c:pt>
                <c:pt idx="17">
                  <c:v>23.299505046324192</c:v>
                </c:pt>
                <c:pt idx="18">
                  <c:v>0</c:v>
                </c:pt>
                <c:pt idx="19">
                  <c:v>24.481562219331547</c:v>
                </c:pt>
                <c:pt idx="20">
                  <c:v>26.305713580823937</c:v>
                </c:pt>
                <c:pt idx="21">
                  <c:v>0</c:v>
                </c:pt>
                <c:pt idx="22">
                  <c:v>0</c:v>
                </c:pt>
                <c:pt idx="23">
                  <c:v>28.029419693648578</c:v>
                </c:pt>
                <c:pt idx="24">
                  <c:v>0</c:v>
                </c:pt>
                <c:pt idx="25">
                  <c:v>23.617769736132988</c:v>
                </c:pt>
                <c:pt idx="26">
                  <c:v>0</c:v>
                </c:pt>
                <c:pt idx="27">
                  <c:v>0</c:v>
                </c:pt>
                <c:pt idx="28">
                  <c:v>34.072659579360547</c:v>
                </c:pt>
                <c:pt idx="29">
                  <c:v>36.075288113137567</c:v>
                </c:pt>
                <c:pt idx="30">
                  <c:v>33.162763445790141</c:v>
                </c:pt>
                <c:pt idx="31">
                  <c:v>33.154611821964082</c:v>
                </c:pt>
                <c:pt idx="32">
                  <c:v>33.299564222719859</c:v>
                </c:pt>
                <c:pt idx="33">
                  <c:v>30.497558859900899</c:v>
                </c:pt>
                <c:pt idx="34">
                  <c:v>30.662751949554721</c:v>
                </c:pt>
                <c:pt idx="35">
                  <c:v>26.413777935966973</c:v>
                </c:pt>
                <c:pt idx="36">
                  <c:v>31.648459436364803</c:v>
                </c:pt>
                <c:pt idx="37">
                  <c:v>27.358674605746323</c:v>
                </c:pt>
                <c:pt idx="38">
                  <c:v>30.783289155104974</c:v>
                </c:pt>
                <c:pt idx="39">
                  <c:v>24.968028454143379</c:v>
                </c:pt>
                <c:pt idx="40">
                  <c:v>32.017461353840112</c:v>
                </c:pt>
                <c:pt idx="41">
                  <c:v>25.807271531844108</c:v>
                </c:pt>
                <c:pt idx="42">
                  <c:v>0</c:v>
                </c:pt>
                <c:pt idx="43">
                  <c:v>0</c:v>
                </c:pt>
                <c:pt idx="44">
                  <c:v>23.029285130619289</c:v>
                </c:pt>
                <c:pt idx="45">
                  <c:v>0</c:v>
                </c:pt>
                <c:pt idx="46">
                  <c:v>23.363546554934821</c:v>
                </c:pt>
                <c:pt idx="47">
                  <c:v>28.447231957877804</c:v>
                </c:pt>
                <c:pt idx="48">
                  <c:v>0</c:v>
                </c:pt>
                <c:pt idx="49">
                  <c:v>0</c:v>
                </c:pt>
                <c:pt idx="50">
                  <c:v>27.631963081806077</c:v>
                </c:pt>
                <c:pt idx="51">
                  <c:v>0</c:v>
                </c:pt>
                <c:pt idx="52">
                  <c:v>23.323837793864588</c:v>
                </c:pt>
                <c:pt idx="53">
                  <c:v>30.475025054476774</c:v>
                </c:pt>
                <c:pt idx="54">
                  <c:v>39.976974540218343</c:v>
                </c:pt>
                <c:pt idx="55">
                  <c:v>44.357726288728202</c:v>
                </c:pt>
                <c:pt idx="56">
                  <c:v>35.519168131343648</c:v>
                </c:pt>
                <c:pt idx="57">
                  <c:v>45.33368254123814</c:v>
                </c:pt>
                <c:pt idx="58">
                  <c:v>54.471179758949042</c:v>
                </c:pt>
                <c:pt idx="59">
                  <c:v>66.475800518584137</c:v>
                </c:pt>
                <c:pt idx="60">
                  <c:v>67.895630319562855</c:v>
                </c:pt>
                <c:pt idx="61">
                  <c:v>74.369135417746435</c:v>
                </c:pt>
                <c:pt idx="62">
                  <c:v>75.463396074733694</c:v>
                </c:pt>
                <c:pt idx="63">
                  <c:v>72.887401129850275</c:v>
                </c:pt>
                <c:pt idx="64">
                  <c:v>62.926854263426122</c:v>
                </c:pt>
                <c:pt idx="65">
                  <c:v>68.058800694432833</c:v>
                </c:pt>
                <c:pt idx="66">
                  <c:v>70.468009795221292</c:v>
                </c:pt>
                <c:pt idx="67">
                  <c:v>64.629613249745333</c:v>
                </c:pt>
                <c:pt idx="68">
                  <c:v>66.88126761185822</c:v>
                </c:pt>
                <c:pt idx="69">
                  <c:v>55.372613673813277</c:v>
                </c:pt>
                <c:pt idx="70">
                  <c:v>54.095331733934266</c:v>
                </c:pt>
                <c:pt idx="71">
                  <c:v>50.626120782656123</c:v>
                </c:pt>
                <c:pt idx="72">
                  <c:v>50.571011673526229</c:v>
                </c:pt>
                <c:pt idx="73">
                  <c:v>44.121621251906596</c:v>
                </c:pt>
                <c:pt idx="74">
                  <c:v>47.547214629001694</c:v>
                </c:pt>
                <c:pt idx="75">
                  <c:v>42.572631686625165</c:v>
                </c:pt>
                <c:pt idx="76">
                  <c:v>40.070420028323532</c:v>
                </c:pt>
                <c:pt idx="77">
                  <c:v>42.498084377982146</c:v>
                </c:pt>
                <c:pt idx="78">
                  <c:v>33.937431496062899</c:v>
                </c:pt>
                <c:pt idx="79">
                  <c:v>36.855333381216369</c:v>
                </c:pt>
                <c:pt idx="80">
                  <c:v>38.071665105915713</c:v>
                </c:pt>
                <c:pt idx="81">
                  <c:v>47.072201205244433</c:v>
                </c:pt>
                <c:pt idx="82">
                  <c:v>45.078553070083458</c:v>
                </c:pt>
                <c:pt idx="83">
                  <c:v>41.386267006171423</c:v>
                </c:pt>
                <c:pt idx="84">
                  <c:v>42.245370956387312</c:v>
                </c:pt>
                <c:pt idx="85">
                  <c:v>35.631584116137674</c:v>
                </c:pt>
                <c:pt idx="86">
                  <c:v>32.853333490527433</c:v>
                </c:pt>
                <c:pt idx="87">
                  <c:v>28.940109598441055</c:v>
                </c:pt>
                <c:pt idx="88">
                  <c:v>34.940571287453785</c:v>
                </c:pt>
                <c:pt idx="89">
                  <c:v>27.320662019534588</c:v>
                </c:pt>
                <c:pt idx="90">
                  <c:v>31.385143033866363</c:v>
                </c:pt>
                <c:pt idx="91">
                  <c:v>26.560697547969596</c:v>
                </c:pt>
                <c:pt idx="92">
                  <c:v>28.640680563368452</c:v>
                </c:pt>
                <c:pt idx="93">
                  <c:v>25.922024993699843</c:v>
                </c:pt>
                <c:pt idx="94">
                  <c:v>27.024533240405859</c:v>
                </c:pt>
                <c:pt idx="95">
                  <c:v>28.461926274567773</c:v>
                </c:pt>
                <c:pt idx="96">
                  <c:v>25.826018806095679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'time series'!$AA$3:$AA$99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series'!$Y$3:$Y$99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'time series'!$AE$4:$AE$99</c:f>
              <c:numCache>
                <c:formatCode>0.00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36.822785439690144</c:v>
                </c:pt>
                <c:pt idx="74">
                  <c:v>41.575767813015752</c:v>
                </c:pt>
                <c:pt idx="75">
                  <c:v>34.109760413043801</c:v>
                </c:pt>
                <c:pt idx="76">
                  <c:v>29.560290618491003</c:v>
                </c:pt>
                <c:pt idx="77">
                  <c:v>24.977325558323379</c:v>
                </c:pt>
                <c:pt idx="78">
                  <c:v>0</c:v>
                </c:pt>
                <c:pt idx="79">
                  <c:v>23.237583535286383</c:v>
                </c:pt>
                <c:pt idx="80">
                  <c:v>25.165047965570441</c:v>
                </c:pt>
                <c:pt idx="81">
                  <c:v>27.938958525291447</c:v>
                </c:pt>
                <c:pt idx="82">
                  <c:v>43.539555051420827</c:v>
                </c:pt>
                <c:pt idx="83">
                  <c:v>37.676387217171367</c:v>
                </c:pt>
                <c:pt idx="84">
                  <c:v>29.02674252086134</c:v>
                </c:pt>
                <c:pt idx="85">
                  <c:v>23.634466339689034</c:v>
                </c:pt>
                <c:pt idx="86">
                  <c:v>0</c:v>
                </c:pt>
                <c:pt idx="87">
                  <c:v>23.848209119595776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series'!$AG$3:$AG$99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'time series'!$AI$3:$AI$99</c:f>
              <c:numCache>
                <c:formatCode>0.0000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series'!$AG$3:$AG$99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'time series'!$AM$4:$AM$99</c:f>
              <c:numCache>
                <c:formatCode>0.000</c:formatCode>
                <c:ptCount val="96"/>
                <c:pt idx="0">
                  <c:v>39.645456583396225</c:v>
                </c:pt>
                <c:pt idx="1">
                  <c:v>28.742904854222196</c:v>
                </c:pt>
                <c:pt idx="2">
                  <c:v>39.369533421059508</c:v>
                </c:pt>
                <c:pt idx="3">
                  <c:v>35.640768428102852</c:v>
                </c:pt>
                <c:pt idx="4">
                  <c:v>38.355507714735971</c:v>
                </c:pt>
                <c:pt idx="5">
                  <c:v>29.345566839890022</c:v>
                </c:pt>
                <c:pt idx="6">
                  <c:v>36.463198159789307</c:v>
                </c:pt>
                <c:pt idx="7">
                  <c:v>35.455946879836603</c:v>
                </c:pt>
                <c:pt idx="8">
                  <c:v>25.443584699087346</c:v>
                </c:pt>
                <c:pt idx="9">
                  <c:v>24.456389878309288</c:v>
                </c:pt>
                <c:pt idx="10">
                  <c:v>26.032136115911982</c:v>
                </c:pt>
                <c:pt idx="11">
                  <c:v>0</c:v>
                </c:pt>
                <c:pt idx="12">
                  <c:v>0</c:v>
                </c:pt>
                <c:pt idx="13">
                  <c:v>35.187040386560966</c:v>
                </c:pt>
                <c:pt idx="14">
                  <c:v>29.810545471853466</c:v>
                </c:pt>
                <c:pt idx="15">
                  <c:v>0</c:v>
                </c:pt>
                <c:pt idx="16">
                  <c:v>34.406977289796167</c:v>
                </c:pt>
                <c:pt idx="17">
                  <c:v>24.729441430649075</c:v>
                </c:pt>
                <c:pt idx="18">
                  <c:v>30.425202491694701</c:v>
                </c:pt>
                <c:pt idx="19">
                  <c:v>27.962656108126847</c:v>
                </c:pt>
                <c:pt idx="20">
                  <c:v>38.263805902213079</c:v>
                </c:pt>
                <c:pt idx="21">
                  <c:v>40.919234617726914</c:v>
                </c:pt>
                <c:pt idx="22">
                  <c:v>32.232064192136171</c:v>
                </c:pt>
                <c:pt idx="23">
                  <c:v>23.911198459324371</c:v>
                </c:pt>
                <c:pt idx="24">
                  <c:v>0</c:v>
                </c:pt>
                <c:pt idx="25">
                  <c:v>32.285996877975236</c:v>
                </c:pt>
                <c:pt idx="26">
                  <c:v>29.232837847728149</c:v>
                </c:pt>
                <c:pt idx="27">
                  <c:v>0</c:v>
                </c:pt>
                <c:pt idx="28">
                  <c:v>0</c:v>
                </c:pt>
                <c:pt idx="29">
                  <c:v>27.691201483776123</c:v>
                </c:pt>
                <c:pt idx="30">
                  <c:v>44.036775639007523</c:v>
                </c:pt>
                <c:pt idx="31">
                  <c:v>31.869579878084458</c:v>
                </c:pt>
                <c:pt idx="32">
                  <c:v>39.651546869503818</c:v>
                </c:pt>
                <c:pt idx="33">
                  <c:v>0</c:v>
                </c:pt>
                <c:pt idx="34">
                  <c:v>28.862487240276568</c:v>
                </c:pt>
                <c:pt idx="35">
                  <c:v>0</c:v>
                </c:pt>
                <c:pt idx="36">
                  <c:v>35.919798352605596</c:v>
                </c:pt>
                <c:pt idx="37">
                  <c:v>29.751265901467569</c:v>
                </c:pt>
                <c:pt idx="38">
                  <c:v>0</c:v>
                </c:pt>
                <c:pt idx="39">
                  <c:v>30.009830800478195</c:v>
                </c:pt>
                <c:pt idx="40">
                  <c:v>30.791908264570221</c:v>
                </c:pt>
                <c:pt idx="41">
                  <c:v>34.691563207225272</c:v>
                </c:pt>
                <c:pt idx="42">
                  <c:v>37.683186838441159</c:v>
                </c:pt>
                <c:pt idx="43">
                  <c:v>40.94006952406091</c:v>
                </c:pt>
                <c:pt idx="44">
                  <c:v>26.502178779401593</c:v>
                </c:pt>
                <c:pt idx="45">
                  <c:v>27.868981957172135</c:v>
                </c:pt>
                <c:pt idx="46">
                  <c:v>39.431641163362293</c:v>
                </c:pt>
                <c:pt idx="47">
                  <c:v>26.50900706392347</c:v>
                </c:pt>
                <c:pt idx="48">
                  <c:v>95.676352165121884</c:v>
                </c:pt>
                <c:pt idx="49">
                  <c:v>79.412228909168903</c:v>
                </c:pt>
                <c:pt idx="50">
                  <c:v>87.359013166733888</c:v>
                </c:pt>
                <c:pt idx="51">
                  <c:v>80.203388791059325</c:v>
                </c:pt>
                <c:pt idx="52">
                  <c:v>73.505784301683235</c:v>
                </c:pt>
                <c:pt idx="53">
                  <c:v>77.991984810012738</c:v>
                </c:pt>
                <c:pt idx="54">
                  <c:v>74.43223351140314</c:v>
                </c:pt>
                <c:pt idx="55">
                  <c:v>72.170223328675746</c:v>
                </c:pt>
                <c:pt idx="56">
                  <c:v>74.178212802820894</c:v>
                </c:pt>
                <c:pt idx="57">
                  <c:v>76.927800845856368</c:v>
                </c:pt>
                <c:pt idx="58">
                  <c:v>71.310016358111767</c:v>
                </c:pt>
                <c:pt idx="59">
                  <c:v>67.173524646610915</c:v>
                </c:pt>
                <c:pt idx="60">
                  <c:v>65.129236714115137</c:v>
                </c:pt>
                <c:pt idx="61">
                  <c:v>68.27913876301389</c:v>
                </c:pt>
                <c:pt idx="62">
                  <c:v>65.631610794766416</c:v>
                </c:pt>
                <c:pt idx="63">
                  <c:v>55.735939623692062</c:v>
                </c:pt>
                <c:pt idx="64">
                  <c:v>51.144889047467956</c:v>
                </c:pt>
                <c:pt idx="65">
                  <c:v>54.04557165756178</c:v>
                </c:pt>
                <c:pt idx="66">
                  <c:v>53.147300424444779</c:v>
                </c:pt>
                <c:pt idx="67">
                  <c:v>50.455102302710593</c:v>
                </c:pt>
                <c:pt idx="68">
                  <c:v>53.140791125360266</c:v>
                </c:pt>
                <c:pt idx="69">
                  <c:v>33.92002009615323</c:v>
                </c:pt>
                <c:pt idx="70">
                  <c:v>36.862092971941742</c:v>
                </c:pt>
                <c:pt idx="71">
                  <c:v>34.483850526131711</c:v>
                </c:pt>
                <c:pt idx="72">
                  <c:v>41.767563527184244</c:v>
                </c:pt>
                <c:pt idx="73">
                  <c:v>46.671742210542483</c:v>
                </c:pt>
                <c:pt idx="74">
                  <c:v>39.612466210306977</c:v>
                </c:pt>
                <c:pt idx="75">
                  <c:v>45.055678199723602</c:v>
                </c:pt>
                <c:pt idx="76">
                  <c:v>49.347151014865034</c:v>
                </c:pt>
                <c:pt idx="77">
                  <c:v>42.461458430102837</c:v>
                </c:pt>
                <c:pt idx="78">
                  <c:v>30.74138169190935</c:v>
                </c:pt>
                <c:pt idx="79">
                  <c:v>49.693531204440781</c:v>
                </c:pt>
                <c:pt idx="80">
                  <c:v>37.24385996388542</c:v>
                </c:pt>
                <c:pt idx="81">
                  <c:v>40.079843078936001</c:v>
                </c:pt>
                <c:pt idx="82">
                  <c:v>40.521872281664393</c:v>
                </c:pt>
                <c:pt idx="83">
                  <c:v>37.747875326223209</c:v>
                </c:pt>
                <c:pt idx="84">
                  <c:v>34.82937236324355</c:v>
                </c:pt>
                <c:pt idx="85">
                  <c:v>34.702384925613089</c:v>
                </c:pt>
                <c:pt idx="86">
                  <c:v>31.476237240272116</c:v>
                </c:pt>
                <c:pt idx="87">
                  <c:v>36.065416543332461</c:v>
                </c:pt>
                <c:pt idx="88">
                  <c:v>30.949052692459428</c:v>
                </c:pt>
                <c:pt idx="89">
                  <c:v>25.744450365142487</c:v>
                </c:pt>
                <c:pt idx="90">
                  <c:v>37.55779534446684</c:v>
                </c:pt>
                <c:pt idx="91">
                  <c:v>35.69955160850747</c:v>
                </c:pt>
                <c:pt idx="92">
                  <c:v>29.688577585078416</c:v>
                </c:pt>
                <c:pt idx="93">
                  <c:v>33.08081782499211</c:v>
                </c:pt>
                <c:pt idx="94">
                  <c:v>36.599771247132161</c:v>
                </c:pt>
                <c:pt idx="95">
                  <c:v>28.697024376637046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series'!$AO$3:$AO$99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'time series'!$AQ$3:$AQ$99</c:f>
              <c:numCache>
                <c:formatCode>General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>
                  <c:v>0.44894941300000002</c:v>
                </c:pt>
                <c:pt idx="57">
                  <c:v>0.53201108200000002</c:v>
                </c:pt>
                <c:pt idx="58">
                  <c:v>0.81307424100000003</c:v>
                </c:pt>
                <c:pt idx="59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>
                  <c:v>1.0404225359999999</c:v>
                </c:pt>
                <c:pt idx="63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>
                  <c:v>3.8698277910000001</c:v>
                </c:pt>
                <c:pt idx="72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>
                  <c:v>1.3790541089999999</c:v>
                </c:pt>
                <c:pt idx="93">
                  <c:v>1.5809633519999999</c:v>
                </c:pt>
                <c:pt idx="94">
                  <c:v>1.4444654269999999</c:v>
                </c:pt>
                <c:pt idx="95">
                  <c:v>1.091323134</c:v>
                </c:pt>
                <c:pt idx="96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series'!$AO$3:$AO$99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'time series'!$AU$4:$AU$99</c:f>
              <c:numCache>
                <c:formatCode>0.0000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23.529760888500462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25.573156472879504</c:v>
                </c:pt>
                <c:pt idx="56">
                  <c:v>67.633099751080081</c:v>
                </c:pt>
                <c:pt idx="57">
                  <c:v>54.018813623467587</c:v>
                </c:pt>
                <c:pt idx="58">
                  <c:v>106.83814356839687</c:v>
                </c:pt>
                <c:pt idx="59">
                  <c:v>99.673799545223744</c:v>
                </c:pt>
                <c:pt idx="60">
                  <c:v>97.062328103421052</c:v>
                </c:pt>
                <c:pt idx="61">
                  <c:v>89.15372486745953</c:v>
                </c:pt>
                <c:pt idx="62">
                  <c:v>102.1926083809247</c:v>
                </c:pt>
                <c:pt idx="63">
                  <c:v>99.684942648089418</c:v>
                </c:pt>
                <c:pt idx="64">
                  <c:v>90.763053303722728</c:v>
                </c:pt>
                <c:pt idx="65">
                  <c:v>100.38832478554443</c:v>
                </c:pt>
                <c:pt idx="66">
                  <c:v>93.632572938006859</c:v>
                </c:pt>
                <c:pt idx="67">
                  <c:v>102.77389380944318</c:v>
                </c:pt>
                <c:pt idx="68">
                  <c:v>89.997534827079306</c:v>
                </c:pt>
                <c:pt idx="69">
                  <c:v>94.455197655142982</c:v>
                </c:pt>
                <c:pt idx="70">
                  <c:v>105.54609071255388</c:v>
                </c:pt>
                <c:pt idx="71">
                  <c:v>111.38634211146521</c:v>
                </c:pt>
                <c:pt idx="72">
                  <c:v>94.772630546827756</c:v>
                </c:pt>
                <c:pt idx="73">
                  <c:v>92.806540268983241</c:v>
                </c:pt>
                <c:pt idx="74">
                  <c:v>91.412474790851846</c:v>
                </c:pt>
                <c:pt idx="75">
                  <c:v>87.888671447756025</c:v>
                </c:pt>
                <c:pt idx="76">
                  <c:v>89.177574662300941</c:v>
                </c:pt>
                <c:pt idx="77">
                  <c:v>89.611375120707919</c:v>
                </c:pt>
                <c:pt idx="78">
                  <c:v>98.111441353476664</c:v>
                </c:pt>
                <c:pt idx="79">
                  <c:v>93.357109770421886</c:v>
                </c:pt>
                <c:pt idx="80">
                  <c:v>91.908217180032523</c:v>
                </c:pt>
                <c:pt idx="81">
                  <c:v>97.11400082844311</c:v>
                </c:pt>
                <c:pt idx="82">
                  <c:v>106.90056919260005</c:v>
                </c:pt>
                <c:pt idx="83">
                  <c:v>95.122085563907291</c:v>
                </c:pt>
                <c:pt idx="84">
                  <c:v>103.52139276543167</c:v>
                </c:pt>
                <c:pt idx="85">
                  <c:v>102.71016099476968</c:v>
                </c:pt>
                <c:pt idx="86">
                  <c:v>99.414688875378118</c:v>
                </c:pt>
                <c:pt idx="87">
                  <c:v>101.39818079228969</c:v>
                </c:pt>
                <c:pt idx="88">
                  <c:v>108.53988152284299</c:v>
                </c:pt>
                <c:pt idx="89">
                  <c:v>124.59799853071195</c:v>
                </c:pt>
                <c:pt idx="90">
                  <c:v>111.26932127393435</c:v>
                </c:pt>
                <c:pt idx="91">
                  <c:v>112.54240468732938</c:v>
                </c:pt>
                <c:pt idx="92">
                  <c:v>106.14772263372836</c:v>
                </c:pt>
                <c:pt idx="93">
                  <c:v>112.86400971102771</c:v>
                </c:pt>
                <c:pt idx="94">
                  <c:v>102.22091020609001</c:v>
                </c:pt>
                <c:pt idx="95">
                  <c:v>96.961864078761835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1 -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series'!$AW$3:$AW$87</c:f>
              <c:numCache>
                <c:formatCode>m/d/yyyy\ h:mm</c:formatCode>
                <c:ptCount val="85"/>
                <c:pt idx="0">
                  <c:v>45046.333333333336</c:v>
                </c:pt>
                <c:pt idx="1">
                  <c:v>45046.34375</c:v>
                </c:pt>
                <c:pt idx="2">
                  <c:v>45046.354166666664</c:v>
                </c:pt>
                <c:pt idx="3">
                  <c:v>45046.364583333336</c:v>
                </c:pt>
                <c:pt idx="4">
                  <c:v>45046.375</c:v>
                </c:pt>
                <c:pt idx="5">
                  <c:v>45046.385416666664</c:v>
                </c:pt>
                <c:pt idx="6">
                  <c:v>45046.395833333336</c:v>
                </c:pt>
                <c:pt idx="7">
                  <c:v>45046.40625</c:v>
                </c:pt>
                <c:pt idx="8">
                  <c:v>45046.416666666664</c:v>
                </c:pt>
                <c:pt idx="9">
                  <c:v>45046.427083333336</c:v>
                </c:pt>
                <c:pt idx="10">
                  <c:v>45046.4375</c:v>
                </c:pt>
                <c:pt idx="11">
                  <c:v>45046.447916666664</c:v>
                </c:pt>
                <c:pt idx="12">
                  <c:v>45046.458333333336</c:v>
                </c:pt>
                <c:pt idx="13">
                  <c:v>45046.46875</c:v>
                </c:pt>
                <c:pt idx="14">
                  <c:v>45046.479166666664</c:v>
                </c:pt>
                <c:pt idx="15">
                  <c:v>45046.489583333336</c:v>
                </c:pt>
                <c:pt idx="16">
                  <c:v>45046.5</c:v>
                </c:pt>
                <c:pt idx="17">
                  <c:v>45046.510416666664</c:v>
                </c:pt>
                <c:pt idx="18">
                  <c:v>45046.520833333336</c:v>
                </c:pt>
                <c:pt idx="19">
                  <c:v>45046.53125</c:v>
                </c:pt>
                <c:pt idx="20">
                  <c:v>45046.541666666664</c:v>
                </c:pt>
                <c:pt idx="21">
                  <c:v>45046.552083333336</c:v>
                </c:pt>
                <c:pt idx="22">
                  <c:v>45046.5625</c:v>
                </c:pt>
                <c:pt idx="23">
                  <c:v>45046.572916666664</c:v>
                </c:pt>
                <c:pt idx="24">
                  <c:v>45046.583333333336</c:v>
                </c:pt>
                <c:pt idx="25">
                  <c:v>45046.59375</c:v>
                </c:pt>
                <c:pt idx="26">
                  <c:v>45046.604166666664</c:v>
                </c:pt>
                <c:pt idx="27">
                  <c:v>45046.614583333336</c:v>
                </c:pt>
                <c:pt idx="28">
                  <c:v>45046.625</c:v>
                </c:pt>
                <c:pt idx="29">
                  <c:v>45046.635416666664</c:v>
                </c:pt>
                <c:pt idx="30">
                  <c:v>45046.645833333336</c:v>
                </c:pt>
                <c:pt idx="31">
                  <c:v>45046.65625</c:v>
                </c:pt>
                <c:pt idx="32">
                  <c:v>45046.666666666664</c:v>
                </c:pt>
                <c:pt idx="33">
                  <c:v>45046.677083333336</c:v>
                </c:pt>
                <c:pt idx="34">
                  <c:v>45046.6875</c:v>
                </c:pt>
                <c:pt idx="35">
                  <c:v>45046.697916666664</c:v>
                </c:pt>
                <c:pt idx="36">
                  <c:v>45046.708333333336</c:v>
                </c:pt>
                <c:pt idx="37">
                  <c:v>45046.71875</c:v>
                </c:pt>
                <c:pt idx="38">
                  <c:v>45046.729166666664</c:v>
                </c:pt>
                <c:pt idx="39">
                  <c:v>45046.739583333336</c:v>
                </c:pt>
                <c:pt idx="40">
                  <c:v>45046.75</c:v>
                </c:pt>
                <c:pt idx="41">
                  <c:v>45046.760416666664</c:v>
                </c:pt>
                <c:pt idx="42">
                  <c:v>45046.770833333336</c:v>
                </c:pt>
                <c:pt idx="43">
                  <c:v>45046.78125</c:v>
                </c:pt>
                <c:pt idx="44">
                  <c:v>45046.791666666664</c:v>
                </c:pt>
                <c:pt idx="45">
                  <c:v>45046.802083333336</c:v>
                </c:pt>
                <c:pt idx="46">
                  <c:v>45046.8125</c:v>
                </c:pt>
                <c:pt idx="47">
                  <c:v>45046.822916666664</c:v>
                </c:pt>
                <c:pt idx="48">
                  <c:v>45046.833333333336</c:v>
                </c:pt>
                <c:pt idx="49">
                  <c:v>45046.84375</c:v>
                </c:pt>
                <c:pt idx="50">
                  <c:v>45046.854166666664</c:v>
                </c:pt>
                <c:pt idx="51">
                  <c:v>45046.864583333336</c:v>
                </c:pt>
                <c:pt idx="52">
                  <c:v>45046.875</c:v>
                </c:pt>
                <c:pt idx="53">
                  <c:v>45046.885416666664</c:v>
                </c:pt>
                <c:pt idx="54">
                  <c:v>45046.895833333336</c:v>
                </c:pt>
                <c:pt idx="55">
                  <c:v>45046.90625</c:v>
                </c:pt>
                <c:pt idx="56">
                  <c:v>45046.916666666664</c:v>
                </c:pt>
                <c:pt idx="57">
                  <c:v>45046.927083333336</c:v>
                </c:pt>
                <c:pt idx="58">
                  <c:v>45046.9375</c:v>
                </c:pt>
                <c:pt idx="59">
                  <c:v>45046.947916666664</c:v>
                </c:pt>
                <c:pt idx="60">
                  <c:v>45046.958333333336</c:v>
                </c:pt>
                <c:pt idx="61">
                  <c:v>45046.96875</c:v>
                </c:pt>
                <c:pt idx="62">
                  <c:v>45046.979166666664</c:v>
                </c:pt>
                <c:pt idx="63">
                  <c:v>45046.989583333336</c:v>
                </c:pt>
                <c:pt idx="64">
                  <c:v>45047</c:v>
                </c:pt>
                <c:pt idx="65">
                  <c:v>45047.010416666664</c:v>
                </c:pt>
                <c:pt idx="66">
                  <c:v>45047.020833333336</c:v>
                </c:pt>
                <c:pt idx="67">
                  <c:v>45047.03125</c:v>
                </c:pt>
                <c:pt idx="68">
                  <c:v>45047.041666666664</c:v>
                </c:pt>
                <c:pt idx="69">
                  <c:v>45047.052083333336</c:v>
                </c:pt>
                <c:pt idx="70">
                  <c:v>45047.0625</c:v>
                </c:pt>
                <c:pt idx="71">
                  <c:v>45047.072916666664</c:v>
                </c:pt>
                <c:pt idx="72">
                  <c:v>45047.083333333336</c:v>
                </c:pt>
                <c:pt idx="73">
                  <c:v>45047.09375</c:v>
                </c:pt>
                <c:pt idx="74">
                  <c:v>45047.104166666664</c:v>
                </c:pt>
                <c:pt idx="75">
                  <c:v>45047.114583333336</c:v>
                </c:pt>
                <c:pt idx="76">
                  <c:v>45047.125</c:v>
                </c:pt>
                <c:pt idx="77">
                  <c:v>45047.135416666664</c:v>
                </c:pt>
                <c:pt idx="78">
                  <c:v>45047.145833333336</c:v>
                </c:pt>
                <c:pt idx="79">
                  <c:v>45047.15625</c:v>
                </c:pt>
                <c:pt idx="80">
                  <c:v>45047.166666666664</c:v>
                </c:pt>
                <c:pt idx="81">
                  <c:v>45047.177083333336</c:v>
                </c:pt>
                <c:pt idx="82">
                  <c:v>45047.1875</c:v>
                </c:pt>
                <c:pt idx="83">
                  <c:v>45047.197916666664</c:v>
                </c:pt>
                <c:pt idx="84">
                  <c:v>45047.208333333336</c:v>
                </c:pt>
              </c:numCache>
            </c:numRef>
          </c:xVal>
          <c:yVal>
            <c:numRef>
              <c:f>'time series'!$AY$3:$AY$87</c:f>
              <c:numCache>
                <c:formatCode>0.000</c:formatCode>
                <c:ptCount val="85"/>
                <c:pt idx="0">
                  <c:v>66.647934039999996</c:v>
                </c:pt>
                <c:pt idx="1">
                  <c:v>70.271667750000006</c:v>
                </c:pt>
                <c:pt idx="2">
                  <c:v>68.466857000000005</c:v>
                </c:pt>
                <c:pt idx="3">
                  <c:v>69.36581735</c:v>
                </c:pt>
                <c:pt idx="4">
                  <c:v>69.36581735</c:v>
                </c:pt>
                <c:pt idx="5">
                  <c:v>67.106545600000004</c:v>
                </c:pt>
                <c:pt idx="6">
                  <c:v>68.466857000000005</c:v>
                </c:pt>
                <c:pt idx="7">
                  <c:v>68.466857000000005</c:v>
                </c:pt>
                <c:pt idx="8">
                  <c:v>67.106545600000004</c:v>
                </c:pt>
                <c:pt idx="9">
                  <c:v>68.008627450000006</c:v>
                </c:pt>
                <c:pt idx="10">
                  <c:v>68.466857000000005</c:v>
                </c:pt>
                <c:pt idx="11">
                  <c:v>69.822823</c:v>
                </c:pt>
                <c:pt idx="12">
                  <c:v>68.466857000000005</c:v>
                </c:pt>
                <c:pt idx="13">
                  <c:v>68.466857000000005</c:v>
                </c:pt>
                <c:pt idx="14">
                  <c:v>68.008627450000006</c:v>
                </c:pt>
                <c:pt idx="15">
                  <c:v>69.822823</c:v>
                </c:pt>
                <c:pt idx="16">
                  <c:v>64.837941950000001</c:v>
                </c:pt>
                <c:pt idx="17">
                  <c:v>69.36581735</c:v>
                </c:pt>
                <c:pt idx="18">
                  <c:v>70.720093730000002</c:v>
                </c:pt>
                <c:pt idx="19">
                  <c:v>70.720093730000002</c:v>
                </c:pt>
                <c:pt idx="20">
                  <c:v>72.069636250000002</c:v>
                </c:pt>
                <c:pt idx="21">
                  <c:v>75.208694050000005</c:v>
                </c:pt>
                <c:pt idx="22">
                  <c:v>72.069636250000002</c:v>
                </c:pt>
                <c:pt idx="23">
                  <c:v>76.544179459999995</c:v>
                </c:pt>
                <c:pt idx="24">
                  <c:v>78.762941850000004</c:v>
                </c:pt>
                <c:pt idx="25">
                  <c:v>76.544179459999995</c:v>
                </c:pt>
                <c:pt idx="26">
                  <c:v>80.523852189999999</c:v>
                </c:pt>
                <c:pt idx="27">
                  <c:v>79.202259850000004</c:v>
                </c:pt>
                <c:pt idx="28">
                  <c:v>83.594462070000006</c:v>
                </c:pt>
                <c:pt idx="29">
                  <c:v>83.594462070000006</c:v>
                </c:pt>
                <c:pt idx="30">
                  <c:v>84.027783200000002</c:v>
                </c:pt>
                <c:pt idx="31">
                  <c:v>82.718647970000006</c:v>
                </c:pt>
                <c:pt idx="32">
                  <c:v>81.405228940000001</c:v>
                </c:pt>
                <c:pt idx="33">
                  <c:v>80.079324720000002</c:v>
                </c:pt>
                <c:pt idx="34">
                  <c:v>84.891986889999998</c:v>
                </c:pt>
                <c:pt idx="35">
                  <c:v>82.276892649999994</c:v>
                </c:pt>
                <c:pt idx="36">
                  <c:v>82.276892649999994</c:v>
                </c:pt>
                <c:pt idx="37">
                  <c:v>79.202259850000004</c:v>
                </c:pt>
                <c:pt idx="38">
                  <c:v>80.523852189999999</c:v>
                </c:pt>
                <c:pt idx="39">
                  <c:v>80.523852189999999</c:v>
                </c:pt>
                <c:pt idx="40">
                  <c:v>81.397704649999994</c:v>
                </c:pt>
                <c:pt idx="41">
                  <c:v>82.276892649999994</c:v>
                </c:pt>
                <c:pt idx="42">
                  <c:v>85.762083380000007</c:v>
                </c:pt>
                <c:pt idx="43">
                  <c:v>85.762083380000007</c:v>
                </c:pt>
                <c:pt idx="44">
                  <c:v>84.891986889999998</c:v>
                </c:pt>
                <c:pt idx="45">
                  <c:v>83.586986100000004</c:v>
                </c:pt>
                <c:pt idx="46">
                  <c:v>85.762083380000007</c:v>
                </c:pt>
                <c:pt idx="47">
                  <c:v>84.891986889999998</c:v>
                </c:pt>
                <c:pt idx="48">
                  <c:v>83.586986100000004</c:v>
                </c:pt>
                <c:pt idx="49">
                  <c:v>85.762083380000007</c:v>
                </c:pt>
                <c:pt idx="50">
                  <c:v>86.192545629999998</c:v>
                </c:pt>
                <c:pt idx="51">
                  <c:v>84.891986889999998</c:v>
                </c:pt>
                <c:pt idx="52">
                  <c:v>87.058386479999996</c:v>
                </c:pt>
                <c:pt idx="53">
                  <c:v>82.276892649999994</c:v>
                </c:pt>
                <c:pt idx="54">
                  <c:v>84.891986889999998</c:v>
                </c:pt>
                <c:pt idx="55">
                  <c:v>82.276892649999994</c:v>
                </c:pt>
                <c:pt idx="56">
                  <c:v>82.711152870000006</c:v>
                </c:pt>
                <c:pt idx="57">
                  <c:v>81.397704649999994</c:v>
                </c:pt>
                <c:pt idx="58">
                  <c:v>85.762083380000007</c:v>
                </c:pt>
                <c:pt idx="59">
                  <c:v>82.276892649999994</c:v>
                </c:pt>
                <c:pt idx="60">
                  <c:v>81.405228940000001</c:v>
                </c:pt>
                <c:pt idx="61">
                  <c:v>77.875916610000004</c:v>
                </c:pt>
                <c:pt idx="62">
                  <c:v>77.875916610000004</c:v>
                </c:pt>
                <c:pt idx="63">
                  <c:v>80.961047410000006</c:v>
                </c:pt>
                <c:pt idx="64">
                  <c:v>82.276892649999994</c:v>
                </c:pt>
                <c:pt idx="65">
                  <c:v>82.276892649999994</c:v>
                </c:pt>
                <c:pt idx="66">
                  <c:v>81.405228940000001</c:v>
                </c:pt>
                <c:pt idx="67">
                  <c:v>82.276892649999994</c:v>
                </c:pt>
                <c:pt idx="68">
                  <c:v>80.961047410000006</c:v>
                </c:pt>
                <c:pt idx="69">
                  <c:v>83.586986100000004</c:v>
                </c:pt>
                <c:pt idx="70">
                  <c:v>83.153095449999995</c:v>
                </c:pt>
                <c:pt idx="71">
                  <c:v>82.276892649999994</c:v>
                </c:pt>
                <c:pt idx="72">
                  <c:v>82.276892649999994</c:v>
                </c:pt>
                <c:pt idx="73">
                  <c:v>82.284398269999997</c:v>
                </c:pt>
                <c:pt idx="74">
                  <c:v>82.284398269999997</c:v>
                </c:pt>
                <c:pt idx="75">
                  <c:v>81.405228940000001</c:v>
                </c:pt>
                <c:pt idx="76">
                  <c:v>81.405228940000001</c:v>
                </c:pt>
                <c:pt idx="77">
                  <c:v>82.276892649999994</c:v>
                </c:pt>
                <c:pt idx="78">
                  <c:v>82.284398269999997</c:v>
                </c:pt>
                <c:pt idx="79">
                  <c:v>82.284398269999997</c:v>
                </c:pt>
                <c:pt idx="80">
                  <c:v>80.086877509999994</c:v>
                </c:pt>
                <c:pt idx="81">
                  <c:v>83.594462070000006</c:v>
                </c:pt>
                <c:pt idx="82">
                  <c:v>82.276892649999994</c:v>
                </c:pt>
                <c:pt idx="83">
                  <c:v>82.718647970000006</c:v>
                </c:pt>
                <c:pt idx="84">
                  <c:v>81.405228940000001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F4-43E1-9057-9BBC3133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series'!$AW$3:$AW$87</c:f>
              <c:numCache>
                <c:formatCode>m/d/yyyy\ h:mm</c:formatCode>
                <c:ptCount val="85"/>
                <c:pt idx="0">
                  <c:v>45046.333333333336</c:v>
                </c:pt>
                <c:pt idx="1">
                  <c:v>45046.34375</c:v>
                </c:pt>
                <c:pt idx="2">
                  <c:v>45046.354166666664</c:v>
                </c:pt>
                <c:pt idx="3">
                  <c:v>45046.364583333336</c:v>
                </c:pt>
                <c:pt idx="4">
                  <c:v>45046.375</c:v>
                </c:pt>
                <c:pt idx="5">
                  <c:v>45046.385416666664</c:v>
                </c:pt>
                <c:pt idx="6">
                  <c:v>45046.395833333336</c:v>
                </c:pt>
                <c:pt idx="7">
                  <c:v>45046.40625</c:v>
                </c:pt>
                <c:pt idx="8">
                  <c:v>45046.416666666664</c:v>
                </c:pt>
                <c:pt idx="9">
                  <c:v>45046.427083333336</c:v>
                </c:pt>
                <c:pt idx="10">
                  <c:v>45046.4375</c:v>
                </c:pt>
                <c:pt idx="11">
                  <c:v>45046.447916666664</c:v>
                </c:pt>
                <c:pt idx="12">
                  <c:v>45046.458333333336</c:v>
                </c:pt>
                <c:pt idx="13">
                  <c:v>45046.46875</c:v>
                </c:pt>
                <c:pt idx="14">
                  <c:v>45046.479166666664</c:v>
                </c:pt>
                <c:pt idx="15">
                  <c:v>45046.489583333336</c:v>
                </c:pt>
                <c:pt idx="16">
                  <c:v>45046.5</c:v>
                </c:pt>
                <c:pt idx="17">
                  <c:v>45046.510416666664</c:v>
                </c:pt>
                <c:pt idx="18">
                  <c:v>45046.520833333336</c:v>
                </c:pt>
                <c:pt idx="19">
                  <c:v>45046.53125</c:v>
                </c:pt>
                <c:pt idx="20">
                  <c:v>45046.541666666664</c:v>
                </c:pt>
                <c:pt idx="21">
                  <c:v>45046.552083333336</c:v>
                </c:pt>
                <c:pt idx="22">
                  <c:v>45046.5625</c:v>
                </c:pt>
                <c:pt idx="23">
                  <c:v>45046.572916666664</c:v>
                </c:pt>
                <c:pt idx="24">
                  <c:v>45046.583333333336</c:v>
                </c:pt>
                <c:pt idx="25">
                  <c:v>45046.59375</c:v>
                </c:pt>
                <c:pt idx="26">
                  <c:v>45046.604166666664</c:v>
                </c:pt>
                <c:pt idx="27">
                  <c:v>45046.614583333336</c:v>
                </c:pt>
                <c:pt idx="28">
                  <c:v>45046.625</c:v>
                </c:pt>
                <c:pt idx="29">
                  <c:v>45046.635416666664</c:v>
                </c:pt>
                <c:pt idx="30">
                  <c:v>45046.645833333336</c:v>
                </c:pt>
                <c:pt idx="31">
                  <c:v>45046.65625</c:v>
                </c:pt>
                <c:pt idx="32">
                  <c:v>45046.666666666664</c:v>
                </c:pt>
                <c:pt idx="33">
                  <c:v>45046.677083333336</c:v>
                </c:pt>
                <c:pt idx="34">
                  <c:v>45046.6875</c:v>
                </c:pt>
                <c:pt idx="35">
                  <c:v>45046.697916666664</c:v>
                </c:pt>
                <c:pt idx="36">
                  <c:v>45046.708333333336</c:v>
                </c:pt>
                <c:pt idx="37">
                  <c:v>45046.71875</c:v>
                </c:pt>
                <c:pt idx="38">
                  <c:v>45046.729166666664</c:v>
                </c:pt>
                <c:pt idx="39">
                  <c:v>45046.739583333336</c:v>
                </c:pt>
                <c:pt idx="40">
                  <c:v>45046.75</c:v>
                </c:pt>
                <c:pt idx="41">
                  <c:v>45046.760416666664</c:v>
                </c:pt>
                <c:pt idx="42">
                  <c:v>45046.770833333336</c:v>
                </c:pt>
                <c:pt idx="43">
                  <c:v>45046.78125</c:v>
                </c:pt>
                <c:pt idx="44">
                  <c:v>45046.791666666664</c:v>
                </c:pt>
                <c:pt idx="45">
                  <c:v>45046.802083333336</c:v>
                </c:pt>
                <c:pt idx="46">
                  <c:v>45046.8125</c:v>
                </c:pt>
                <c:pt idx="47">
                  <c:v>45046.822916666664</c:v>
                </c:pt>
                <c:pt idx="48">
                  <c:v>45046.833333333336</c:v>
                </c:pt>
                <c:pt idx="49">
                  <c:v>45046.84375</c:v>
                </c:pt>
                <c:pt idx="50">
                  <c:v>45046.854166666664</c:v>
                </c:pt>
                <c:pt idx="51">
                  <c:v>45046.864583333336</c:v>
                </c:pt>
                <c:pt idx="52">
                  <c:v>45046.875</c:v>
                </c:pt>
                <c:pt idx="53">
                  <c:v>45046.885416666664</c:v>
                </c:pt>
                <c:pt idx="54">
                  <c:v>45046.895833333336</c:v>
                </c:pt>
                <c:pt idx="55">
                  <c:v>45046.90625</c:v>
                </c:pt>
                <c:pt idx="56">
                  <c:v>45046.916666666664</c:v>
                </c:pt>
                <c:pt idx="57">
                  <c:v>45046.927083333336</c:v>
                </c:pt>
                <c:pt idx="58">
                  <c:v>45046.9375</c:v>
                </c:pt>
                <c:pt idx="59">
                  <c:v>45046.947916666664</c:v>
                </c:pt>
                <c:pt idx="60">
                  <c:v>45046.958333333336</c:v>
                </c:pt>
                <c:pt idx="61">
                  <c:v>45046.96875</c:v>
                </c:pt>
                <c:pt idx="62">
                  <c:v>45046.979166666664</c:v>
                </c:pt>
                <c:pt idx="63">
                  <c:v>45046.989583333336</c:v>
                </c:pt>
                <c:pt idx="64">
                  <c:v>45047</c:v>
                </c:pt>
                <c:pt idx="65">
                  <c:v>45047.010416666664</c:v>
                </c:pt>
                <c:pt idx="66">
                  <c:v>45047.020833333336</c:v>
                </c:pt>
                <c:pt idx="67">
                  <c:v>45047.03125</c:v>
                </c:pt>
                <c:pt idx="68">
                  <c:v>45047.041666666664</c:v>
                </c:pt>
                <c:pt idx="69">
                  <c:v>45047.052083333336</c:v>
                </c:pt>
                <c:pt idx="70">
                  <c:v>45047.0625</c:v>
                </c:pt>
                <c:pt idx="71">
                  <c:v>45047.072916666664</c:v>
                </c:pt>
                <c:pt idx="72">
                  <c:v>45047.083333333336</c:v>
                </c:pt>
                <c:pt idx="73">
                  <c:v>45047.09375</c:v>
                </c:pt>
                <c:pt idx="74">
                  <c:v>45047.104166666664</c:v>
                </c:pt>
                <c:pt idx="75">
                  <c:v>45047.114583333336</c:v>
                </c:pt>
                <c:pt idx="76">
                  <c:v>45047.125</c:v>
                </c:pt>
                <c:pt idx="77">
                  <c:v>45047.135416666664</c:v>
                </c:pt>
                <c:pt idx="78">
                  <c:v>45047.145833333336</c:v>
                </c:pt>
                <c:pt idx="79">
                  <c:v>45047.15625</c:v>
                </c:pt>
                <c:pt idx="80">
                  <c:v>45047.166666666664</c:v>
                </c:pt>
                <c:pt idx="81">
                  <c:v>45047.177083333336</c:v>
                </c:pt>
                <c:pt idx="82">
                  <c:v>45047.1875</c:v>
                </c:pt>
                <c:pt idx="83">
                  <c:v>45047.197916666664</c:v>
                </c:pt>
                <c:pt idx="84">
                  <c:v>45047.208333333336</c:v>
                </c:pt>
              </c:numCache>
            </c:numRef>
          </c:xVal>
          <c:yVal>
            <c:numRef>
              <c:f>'time series'!$BC$3:$BC$87</c:f>
              <c:numCache>
                <c:formatCode>0.000</c:formatCode>
                <c:ptCount val="85"/>
                <c:pt idx="0">
                  <c:v>81.363475963061646</c:v>
                </c:pt>
                <c:pt idx="1">
                  <c:v>82.020077037983313</c:v>
                </c:pt>
                <c:pt idx="2">
                  <c:v>78.371710774317449</c:v>
                </c:pt>
                <c:pt idx="3">
                  <c:v>76.898572358647399</c:v>
                </c:pt>
                <c:pt idx="4">
                  <c:v>79.07065870598538</c:v>
                </c:pt>
                <c:pt idx="5">
                  <c:v>86.410471155116355</c:v>
                </c:pt>
                <c:pt idx="6">
                  <c:v>78.560636745669044</c:v>
                </c:pt>
                <c:pt idx="7">
                  <c:v>82.347600517405539</c:v>
                </c:pt>
                <c:pt idx="8">
                  <c:v>78.892914151061035</c:v>
                </c:pt>
                <c:pt idx="9">
                  <c:v>81.00700208412924</c:v>
                </c:pt>
                <c:pt idx="10">
                  <c:v>82.315521091065975</c:v>
                </c:pt>
                <c:pt idx="11">
                  <c:v>78.363876316632769</c:v>
                </c:pt>
                <c:pt idx="12">
                  <c:v>81.122634952901862</c:v>
                </c:pt>
                <c:pt idx="13">
                  <c:v>81.642689647426877</c:v>
                </c:pt>
                <c:pt idx="14">
                  <c:v>82.123596798944703</c:v>
                </c:pt>
                <c:pt idx="15">
                  <c:v>81.715778246738054</c:v>
                </c:pt>
                <c:pt idx="16">
                  <c:v>82.895447836785578</c:v>
                </c:pt>
                <c:pt idx="17">
                  <c:v>80.435317409263035</c:v>
                </c:pt>
                <c:pt idx="18">
                  <c:v>81.875377684380638</c:v>
                </c:pt>
                <c:pt idx="19">
                  <c:v>84.293148078854855</c:v>
                </c:pt>
                <c:pt idx="20">
                  <c:v>81.333733145824112</c:v>
                </c:pt>
                <c:pt idx="21">
                  <c:v>84.572006122249178</c:v>
                </c:pt>
                <c:pt idx="22">
                  <c:v>85.189017822363695</c:v>
                </c:pt>
                <c:pt idx="23">
                  <c:v>80.394126319763103</c:v>
                </c:pt>
                <c:pt idx="24">
                  <c:v>82.446704472072298</c:v>
                </c:pt>
                <c:pt idx="25">
                  <c:v>81.948793212662608</c:v>
                </c:pt>
                <c:pt idx="26">
                  <c:v>81.835150788792077</c:v>
                </c:pt>
                <c:pt idx="27">
                  <c:v>82.06638324476603</c:v>
                </c:pt>
                <c:pt idx="28">
                  <c:v>78.958126944871054</c:v>
                </c:pt>
                <c:pt idx="29">
                  <c:v>81.943632835591899</c:v>
                </c:pt>
                <c:pt idx="30">
                  <c:v>82.982919276963401</c:v>
                </c:pt>
                <c:pt idx="31">
                  <c:v>81.63902510058081</c:v>
                </c:pt>
                <c:pt idx="32">
                  <c:v>83.399502274836181</c:v>
                </c:pt>
                <c:pt idx="33">
                  <c:v>82.826381405665046</c:v>
                </c:pt>
                <c:pt idx="34">
                  <c:v>80.938169278524285</c:v>
                </c:pt>
                <c:pt idx="35">
                  <c:v>82.401801223161442</c:v>
                </c:pt>
                <c:pt idx="36">
                  <c:v>82.206251840258588</c:v>
                </c:pt>
                <c:pt idx="37">
                  <c:v>80.508683044747798</c:v>
                </c:pt>
                <c:pt idx="38">
                  <c:v>80.446490152713736</c:v>
                </c:pt>
                <c:pt idx="39">
                  <c:v>80.854002467705754</c:v>
                </c:pt>
                <c:pt idx="40">
                  <c:v>80.453291799280009</c:v>
                </c:pt>
                <c:pt idx="41">
                  <c:v>82.262987454587801</c:v>
                </c:pt>
                <c:pt idx="42">
                  <c:v>77.039870709692963</c:v>
                </c:pt>
                <c:pt idx="43">
                  <c:v>88.490803262610711</c:v>
                </c:pt>
                <c:pt idx="44">
                  <c:v>84.132950554715677</c:v>
                </c:pt>
                <c:pt idx="45">
                  <c:v>80.252786642949317</c:v>
                </c:pt>
                <c:pt idx="46">
                  <c:v>80.900835828363043</c:v>
                </c:pt>
                <c:pt idx="47">
                  <c:v>80.400312456493324</c:v>
                </c:pt>
                <c:pt idx="48">
                  <c:v>80.788521161062619</c:v>
                </c:pt>
                <c:pt idx="49">
                  <c:v>83.326600419213051</c:v>
                </c:pt>
                <c:pt idx="50">
                  <c:v>81.554561769067547</c:v>
                </c:pt>
                <c:pt idx="51">
                  <c:v>81.638485754857172</c:v>
                </c:pt>
                <c:pt idx="52">
                  <c:v>82.351533429029573</c:v>
                </c:pt>
                <c:pt idx="53">
                  <c:v>82.75825190250282</c:v>
                </c:pt>
                <c:pt idx="54">
                  <c:v>85.402158111773815</c:v>
                </c:pt>
                <c:pt idx="55">
                  <c:v>80.518565324109005</c:v>
                </c:pt>
                <c:pt idx="56">
                  <c:v>79.655200179778632</c:v>
                </c:pt>
                <c:pt idx="57">
                  <c:v>80.256457217326698</c:v>
                </c:pt>
                <c:pt idx="58">
                  <c:v>88.461524281679715</c:v>
                </c:pt>
                <c:pt idx="59">
                  <c:v>77.199696987500261</c:v>
                </c:pt>
                <c:pt idx="60">
                  <c:v>78.852366764286216</c:v>
                </c:pt>
                <c:pt idx="61">
                  <c:v>78.844595636301676</c:v>
                </c:pt>
                <c:pt idx="62">
                  <c:v>81.927628458854997</c:v>
                </c:pt>
                <c:pt idx="63">
                  <c:v>79.883106696123889</c:v>
                </c:pt>
                <c:pt idx="64">
                  <c:v>80.160708793370546</c:v>
                </c:pt>
                <c:pt idx="65">
                  <c:v>78.972636880082561</c:v>
                </c:pt>
                <c:pt idx="66">
                  <c:v>78.215377379264879</c:v>
                </c:pt>
                <c:pt idx="67">
                  <c:v>77.651048775951509</c:v>
                </c:pt>
                <c:pt idx="68">
                  <c:v>75.779877972610294</c:v>
                </c:pt>
                <c:pt idx="69">
                  <c:v>77.743367210724045</c:v>
                </c:pt>
                <c:pt idx="70">
                  <c:v>80.651218650780677</c:v>
                </c:pt>
                <c:pt idx="71">
                  <c:v>76.780652273051416</c:v>
                </c:pt>
                <c:pt idx="72">
                  <c:v>77.863291611124211</c:v>
                </c:pt>
                <c:pt idx="73">
                  <c:v>81.418402938795751</c:v>
                </c:pt>
                <c:pt idx="74">
                  <c:v>80.077971725097882</c:v>
                </c:pt>
                <c:pt idx="75">
                  <c:v>81.460976931595383</c:v>
                </c:pt>
                <c:pt idx="76">
                  <c:v>75.769687982629208</c:v>
                </c:pt>
                <c:pt idx="77">
                  <c:v>77.54697255344071</c:v>
                </c:pt>
                <c:pt idx="78">
                  <c:v>76.772579244228879</c:v>
                </c:pt>
                <c:pt idx="79">
                  <c:v>78.259397672469291</c:v>
                </c:pt>
                <c:pt idx="80">
                  <c:v>77.484910539306355</c:v>
                </c:pt>
                <c:pt idx="81">
                  <c:v>78.184512833795509</c:v>
                </c:pt>
                <c:pt idx="82">
                  <c:v>76.602971225952132</c:v>
                </c:pt>
                <c:pt idx="83">
                  <c:v>75.753143760456325</c:v>
                </c:pt>
                <c:pt idx="84">
                  <c:v>77.362288230997081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4-43E1-9057-9BBC3133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2 -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series'!$BE$3:$BE$155</c:f>
              <c:numCache>
                <c:formatCode>m/d/yyyy\ h:mm</c:formatCode>
                <c:ptCount val="153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  <c:pt idx="97">
                  <c:v>45048.260416666664</c:v>
                </c:pt>
                <c:pt idx="98">
                  <c:v>45048.270833333336</c:v>
                </c:pt>
                <c:pt idx="99">
                  <c:v>45048.28125</c:v>
                </c:pt>
                <c:pt idx="100">
                  <c:v>45048.291666666664</c:v>
                </c:pt>
                <c:pt idx="101">
                  <c:v>45048.302083333336</c:v>
                </c:pt>
                <c:pt idx="102">
                  <c:v>45048.3125</c:v>
                </c:pt>
                <c:pt idx="103">
                  <c:v>45048.322916666664</c:v>
                </c:pt>
                <c:pt idx="104">
                  <c:v>45048.333333333336</c:v>
                </c:pt>
                <c:pt idx="105">
                  <c:v>45048.34375</c:v>
                </c:pt>
                <c:pt idx="106">
                  <c:v>45048.354166666664</c:v>
                </c:pt>
                <c:pt idx="107">
                  <c:v>45048.364583333336</c:v>
                </c:pt>
                <c:pt idx="108">
                  <c:v>45048.375</c:v>
                </c:pt>
                <c:pt idx="109">
                  <c:v>45048.385416666664</c:v>
                </c:pt>
                <c:pt idx="110">
                  <c:v>45048.395833333336</c:v>
                </c:pt>
                <c:pt idx="111">
                  <c:v>45048.40625</c:v>
                </c:pt>
                <c:pt idx="112">
                  <c:v>45048.416666666664</c:v>
                </c:pt>
                <c:pt idx="113">
                  <c:v>45048.427083333336</c:v>
                </c:pt>
                <c:pt idx="114">
                  <c:v>45048.4375</c:v>
                </c:pt>
                <c:pt idx="115">
                  <c:v>45048.447916666664</c:v>
                </c:pt>
                <c:pt idx="116">
                  <c:v>45048.458333333336</c:v>
                </c:pt>
                <c:pt idx="117">
                  <c:v>45048.46875</c:v>
                </c:pt>
                <c:pt idx="118">
                  <c:v>45048.479166666664</c:v>
                </c:pt>
                <c:pt idx="119">
                  <c:v>45048.489583333336</c:v>
                </c:pt>
                <c:pt idx="120">
                  <c:v>45048.5</c:v>
                </c:pt>
                <c:pt idx="121">
                  <c:v>45048.510416666664</c:v>
                </c:pt>
                <c:pt idx="122">
                  <c:v>45048.520833333336</c:v>
                </c:pt>
                <c:pt idx="123">
                  <c:v>45048.53125</c:v>
                </c:pt>
                <c:pt idx="124">
                  <c:v>45048.541666666664</c:v>
                </c:pt>
                <c:pt idx="125">
                  <c:v>45048.552083333336</c:v>
                </c:pt>
                <c:pt idx="126">
                  <c:v>45048.5625</c:v>
                </c:pt>
                <c:pt idx="127">
                  <c:v>45048.572916666664</c:v>
                </c:pt>
                <c:pt idx="128">
                  <c:v>45048.583333333336</c:v>
                </c:pt>
                <c:pt idx="129">
                  <c:v>45048.59375</c:v>
                </c:pt>
                <c:pt idx="130">
                  <c:v>45048.604166666664</c:v>
                </c:pt>
                <c:pt idx="131">
                  <c:v>45048.614583333336</c:v>
                </c:pt>
                <c:pt idx="132">
                  <c:v>45048.625</c:v>
                </c:pt>
                <c:pt idx="133">
                  <c:v>45048.635416666664</c:v>
                </c:pt>
                <c:pt idx="134">
                  <c:v>45048.645833333336</c:v>
                </c:pt>
                <c:pt idx="135">
                  <c:v>45048.65625</c:v>
                </c:pt>
                <c:pt idx="136">
                  <c:v>45048.666666666664</c:v>
                </c:pt>
                <c:pt idx="137">
                  <c:v>45048.677083333336</c:v>
                </c:pt>
                <c:pt idx="138">
                  <c:v>45048.6875</c:v>
                </c:pt>
                <c:pt idx="139">
                  <c:v>45048.697916666664</c:v>
                </c:pt>
                <c:pt idx="140">
                  <c:v>45048.708333333336</c:v>
                </c:pt>
                <c:pt idx="141">
                  <c:v>45048.71875</c:v>
                </c:pt>
                <c:pt idx="142">
                  <c:v>45048.729166666664</c:v>
                </c:pt>
                <c:pt idx="143">
                  <c:v>45048.739583333336</c:v>
                </c:pt>
                <c:pt idx="144">
                  <c:v>45048.75</c:v>
                </c:pt>
                <c:pt idx="145">
                  <c:v>45048.760416666664</c:v>
                </c:pt>
                <c:pt idx="146">
                  <c:v>45048.770833333336</c:v>
                </c:pt>
                <c:pt idx="147">
                  <c:v>45048.78125</c:v>
                </c:pt>
                <c:pt idx="148">
                  <c:v>45048.791666666664</c:v>
                </c:pt>
                <c:pt idx="149">
                  <c:v>45048.802083333336</c:v>
                </c:pt>
                <c:pt idx="150">
                  <c:v>45048.8125</c:v>
                </c:pt>
                <c:pt idx="151">
                  <c:v>45048.822916666664</c:v>
                </c:pt>
                <c:pt idx="152">
                  <c:v>45048.833333333336</c:v>
                </c:pt>
              </c:numCache>
            </c:numRef>
          </c:xVal>
          <c:yVal>
            <c:numRef>
              <c:f>'time series'!$BG$3:$BG$155</c:f>
              <c:numCache>
                <c:formatCode>0.0000</c:formatCode>
                <c:ptCount val="153"/>
                <c:pt idx="0">
                  <c:v>81.405228940000001</c:v>
                </c:pt>
                <c:pt idx="1">
                  <c:v>78.755362430000005</c:v>
                </c:pt>
                <c:pt idx="2">
                  <c:v>80.079324720000002</c:v>
                </c:pt>
                <c:pt idx="3">
                  <c:v>81.397704649999994</c:v>
                </c:pt>
                <c:pt idx="4">
                  <c:v>80.961047410000006</c:v>
                </c:pt>
                <c:pt idx="5">
                  <c:v>82.276892649999994</c:v>
                </c:pt>
                <c:pt idx="6">
                  <c:v>82.718647970000006</c:v>
                </c:pt>
                <c:pt idx="7">
                  <c:v>84.460540300000005</c:v>
                </c:pt>
                <c:pt idx="8">
                  <c:v>82.284398269999997</c:v>
                </c:pt>
                <c:pt idx="9">
                  <c:v>82.284398269999997</c:v>
                </c:pt>
                <c:pt idx="10">
                  <c:v>81.405228940000001</c:v>
                </c:pt>
                <c:pt idx="11">
                  <c:v>82.284398269999997</c:v>
                </c:pt>
                <c:pt idx="12">
                  <c:v>78.762941850000004</c:v>
                </c:pt>
                <c:pt idx="13">
                  <c:v>80.968580889999998</c:v>
                </c:pt>
                <c:pt idx="14">
                  <c:v>78.762941850000004</c:v>
                </c:pt>
                <c:pt idx="15">
                  <c:v>78.762941850000004</c:v>
                </c:pt>
                <c:pt idx="16">
                  <c:v>80.086877509999994</c:v>
                </c:pt>
                <c:pt idx="17">
                  <c:v>75.208694050000005</c:v>
                </c:pt>
                <c:pt idx="18">
                  <c:v>76.544179459999995</c:v>
                </c:pt>
                <c:pt idx="19">
                  <c:v>76.986061320000005</c:v>
                </c:pt>
                <c:pt idx="20">
                  <c:v>77.875916610000004</c:v>
                </c:pt>
                <c:pt idx="21">
                  <c:v>75.652056590000001</c:v>
                </c:pt>
                <c:pt idx="22">
                  <c:v>76.986061320000005</c:v>
                </c:pt>
                <c:pt idx="23">
                  <c:v>80.523852189999999</c:v>
                </c:pt>
                <c:pt idx="24">
                  <c:v>75.652056590000001</c:v>
                </c:pt>
                <c:pt idx="25">
                  <c:v>76.986061320000005</c:v>
                </c:pt>
                <c:pt idx="26">
                  <c:v>76.986061320000005</c:v>
                </c:pt>
                <c:pt idx="27">
                  <c:v>72.970159429999995</c:v>
                </c:pt>
                <c:pt idx="28">
                  <c:v>77.875916610000004</c:v>
                </c:pt>
                <c:pt idx="29">
                  <c:v>79.202259850000004</c:v>
                </c:pt>
                <c:pt idx="30">
                  <c:v>76.544179459999995</c:v>
                </c:pt>
                <c:pt idx="31">
                  <c:v>78.323104580000006</c:v>
                </c:pt>
                <c:pt idx="32">
                  <c:v>77.875916610000004</c:v>
                </c:pt>
                <c:pt idx="33">
                  <c:v>75.659696060000002</c:v>
                </c:pt>
                <c:pt idx="34">
                  <c:v>78.323104580000006</c:v>
                </c:pt>
                <c:pt idx="35">
                  <c:v>76.101800600000004</c:v>
                </c:pt>
                <c:pt idx="36">
                  <c:v>79.202259850000004</c:v>
                </c:pt>
                <c:pt idx="37">
                  <c:v>80.523852189999999</c:v>
                </c:pt>
                <c:pt idx="38">
                  <c:v>80.523852189999999</c:v>
                </c:pt>
                <c:pt idx="39">
                  <c:v>82.718647970000006</c:v>
                </c:pt>
                <c:pt idx="40">
                  <c:v>81.405228940000001</c:v>
                </c:pt>
                <c:pt idx="41">
                  <c:v>84.027783200000002</c:v>
                </c:pt>
                <c:pt idx="42">
                  <c:v>82.718647970000006</c:v>
                </c:pt>
                <c:pt idx="43">
                  <c:v>87.494480339999996</c:v>
                </c:pt>
                <c:pt idx="44">
                  <c:v>85.323607859999996</c:v>
                </c:pt>
                <c:pt idx="45">
                  <c:v>84.020316870000002</c:v>
                </c:pt>
                <c:pt idx="46">
                  <c:v>85.323607859999996</c:v>
                </c:pt>
                <c:pt idx="47">
                  <c:v>85.323607859999996</c:v>
                </c:pt>
                <c:pt idx="48">
                  <c:v>86.192545629999998</c:v>
                </c:pt>
                <c:pt idx="49">
                  <c:v>82.711152870000006</c:v>
                </c:pt>
                <c:pt idx="50">
                  <c:v>90.484855949999996</c:v>
                </c:pt>
                <c:pt idx="51">
                  <c:v>87.058386479999996</c:v>
                </c:pt>
                <c:pt idx="52">
                  <c:v>86.192545629999998</c:v>
                </c:pt>
                <c:pt idx="53">
                  <c:v>87.487093729999998</c:v>
                </c:pt>
                <c:pt idx="54">
                  <c:v>89.635700749999998</c:v>
                </c:pt>
                <c:pt idx="55">
                  <c:v>84.891986889999998</c:v>
                </c:pt>
                <c:pt idx="56">
                  <c:v>87.494480339999996</c:v>
                </c:pt>
                <c:pt idx="57">
                  <c:v>84.891986889999998</c:v>
                </c:pt>
                <c:pt idx="58">
                  <c:v>84.027783200000002</c:v>
                </c:pt>
                <c:pt idx="59">
                  <c:v>84.027783200000002</c:v>
                </c:pt>
                <c:pt idx="60">
                  <c:v>84.899432570000002</c:v>
                </c:pt>
                <c:pt idx="61">
                  <c:v>82.718647970000006</c:v>
                </c:pt>
                <c:pt idx="62">
                  <c:v>86.199962600000006</c:v>
                </c:pt>
                <c:pt idx="63">
                  <c:v>86.199962600000006</c:v>
                </c:pt>
                <c:pt idx="64">
                  <c:v>87.494480339999996</c:v>
                </c:pt>
                <c:pt idx="65">
                  <c:v>86.199962600000006</c:v>
                </c:pt>
                <c:pt idx="66">
                  <c:v>82.718647970000006</c:v>
                </c:pt>
                <c:pt idx="67">
                  <c:v>88.350109630000006</c:v>
                </c:pt>
                <c:pt idx="68">
                  <c:v>89.209976960000006</c:v>
                </c:pt>
                <c:pt idx="69">
                  <c:v>82.718647970000006</c:v>
                </c:pt>
                <c:pt idx="70">
                  <c:v>84.891986889999998</c:v>
                </c:pt>
                <c:pt idx="71">
                  <c:v>88.350109630000006</c:v>
                </c:pt>
                <c:pt idx="72">
                  <c:v>89.635700749999998</c:v>
                </c:pt>
                <c:pt idx="73">
                  <c:v>89.635700749999998</c:v>
                </c:pt>
                <c:pt idx="74">
                  <c:v>88.350109630000006</c:v>
                </c:pt>
                <c:pt idx="75">
                  <c:v>87.058386479999996</c:v>
                </c:pt>
                <c:pt idx="76">
                  <c:v>89.635700749999998</c:v>
                </c:pt>
                <c:pt idx="77">
                  <c:v>93.038532979999999</c:v>
                </c:pt>
                <c:pt idx="78">
                  <c:v>87.058386479999996</c:v>
                </c:pt>
                <c:pt idx="79">
                  <c:v>89.635700749999998</c:v>
                </c:pt>
                <c:pt idx="80">
                  <c:v>84.891986889999998</c:v>
                </c:pt>
                <c:pt idx="81">
                  <c:v>86.192545629999998</c:v>
                </c:pt>
                <c:pt idx="82">
                  <c:v>89.635700749999998</c:v>
                </c:pt>
                <c:pt idx="83">
                  <c:v>93.038532979999999</c:v>
                </c:pt>
                <c:pt idx="84">
                  <c:v>89.635700749999998</c:v>
                </c:pt>
                <c:pt idx="85">
                  <c:v>85.762083380000007</c:v>
                </c:pt>
                <c:pt idx="86">
                  <c:v>87.058386479999996</c:v>
                </c:pt>
                <c:pt idx="87">
                  <c:v>87.922589900000006</c:v>
                </c:pt>
                <c:pt idx="88">
                  <c:v>84.899432570000002</c:v>
                </c:pt>
                <c:pt idx="89">
                  <c:v>92.610732819999996</c:v>
                </c:pt>
                <c:pt idx="90">
                  <c:v>84.891986889999998</c:v>
                </c:pt>
                <c:pt idx="91">
                  <c:v>84.891986889999998</c:v>
                </c:pt>
                <c:pt idx="92">
                  <c:v>85.762083380000007</c:v>
                </c:pt>
                <c:pt idx="93">
                  <c:v>87.915213519999995</c:v>
                </c:pt>
                <c:pt idx="94">
                  <c:v>87.058386479999996</c:v>
                </c:pt>
                <c:pt idx="95">
                  <c:v>86.199962600000006</c:v>
                </c:pt>
                <c:pt idx="96">
                  <c:v>87.915213519999995</c:v>
                </c:pt>
                <c:pt idx="97">
                  <c:v>84.460540300000005</c:v>
                </c:pt>
                <c:pt idx="98">
                  <c:v>88.350109630000006</c:v>
                </c:pt>
                <c:pt idx="99">
                  <c:v>84.891986889999998</c:v>
                </c:pt>
                <c:pt idx="100">
                  <c:v>84.891986889999998</c:v>
                </c:pt>
                <c:pt idx="101">
                  <c:v>83.586986100000004</c:v>
                </c:pt>
                <c:pt idx="102">
                  <c:v>84.891986889999998</c:v>
                </c:pt>
                <c:pt idx="103">
                  <c:v>84.460540300000005</c:v>
                </c:pt>
                <c:pt idx="104">
                  <c:v>82.711152870000006</c:v>
                </c:pt>
                <c:pt idx="105">
                  <c:v>89.635700749999998</c:v>
                </c:pt>
                <c:pt idx="106">
                  <c:v>85.762083380000007</c:v>
                </c:pt>
                <c:pt idx="107">
                  <c:v>85.762083380000007</c:v>
                </c:pt>
                <c:pt idx="108">
                  <c:v>84.891986889999998</c:v>
                </c:pt>
                <c:pt idx="109">
                  <c:v>85.762083380000007</c:v>
                </c:pt>
                <c:pt idx="110">
                  <c:v>80.079324720000002</c:v>
                </c:pt>
                <c:pt idx="111">
                  <c:v>85.762083380000007</c:v>
                </c:pt>
                <c:pt idx="112">
                  <c:v>84.899432570000002</c:v>
                </c:pt>
                <c:pt idx="113">
                  <c:v>83.594462070000006</c:v>
                </c:pt>
                <c:pt idx="114">
                  <c:v>80.086877509999994</c:v>
                </c:pt>
                <c:pt idx="115">
                  <c:v>85.762083380000007</c:v>
                </c:pt>
                <c:pt idx="116">
                  <c:v>80.086877509999994</c:v>
                </c:pt>
                <c:pt idx="117">
                  <c:v>81.405228940000001</c:v>
                </c:pt>
                <c:pt idx="118">
                  <c:v>79.202259850000004</c:v>
                </c:pt>
                <c:pt idx="119">
                  <c:v>81.405228940000001</c:v>
                </c:pt>
                <c:pt idx="120">
                  <c:v>83.594462070000006</c:v>
                </c:pt>
                <c:pt idx="121">
                  <c:v>83.586986100000004</c:v>
                </c:pt>
                <c:pt idx="122">
                  <c:v>84.020316870000002</c:v>
                </c:pt>
                <c:pt idx="123">
                  <c:v>80.079324720000002</c:v>
                </c:pt>
                <c:pt idx="124">
                  <c:v>81.397704649999994</c:v>
                </c:pt>
                <c:pt idx="125">
                  <c:v>85.762083380000007</c:v>
                </c:pt>
                <c:pt idx="126">
                  <c:v>81.405228940000001</c:v>
                </c:pt>
                <c:pt idx="127">
                  <c:v>81.405228940000001</c:v>
                </c:pt>
                <c:pt idx="128">
                  <c:v>86.192545629999998</c:v>
                </c:pt>
                <c:pt idx="129">
                  <c:v>83.586986100000004</c:v>
                </c:pt>
                <c:pt idx="130">
                  <c:v>84.891986889999998</c:v>
                </c:pt>
                <c:pt idx="131">
                  <c:v>80.523852189999999</c:v>
                </c:pt>
                <c:pt idx="132">
                  <c:v>84.027783200000002</c:v>
                </c:pt>
                <c:pt idx="133">
                  <c:v>93.884261949999996</c:v>
                </c:pt>
                <c:pt idx="134">
                  <c:v>89.635700749999998</c:v>
                </c:pt>
                <c:pt idx="135">
                  <c:v>86.199962600000006</c:v>
                </c:pt>
                <c:pt idx="136">
                  <c:v>90.915794009999999</c:v>
                </c:pt>
                <c:pt idx="137">
                  <c:v>88.350109630000006</c:v>
                </c:pt>
                <c:pt idx="138">
                  <c:v>91.767774239999994</c:v>
                </c:pt>
                <c:pt idx="139">
                  <c:v>96.393321510000007</c:v>
                </c:pt>
                <c:pt idx="140">
                  <c:v>102.9873886</c:v>
                </c:pt>
                <c:pt idx="141">
                  <c:v>99.297599469999994</c:v>
                </c:pt>
                <c:pt idx="142">
                  <c:v>110.9974619</c:v>
                </c:pt>
                <c:pt idx="143">
                  <c:v>122.1341827</c:v>
                </c:pt>
                <c:pt idx="144">
                  <c:v>113.3544048</c:v>
                </c:pt>
                <c:pt idx="145">
                  <c:v>118.36070239999999</c:v>
                </c:pt>
                <c:pt idx="146">
                  <c:v>114.9053189</c:v>
                </c:pt>
                <c:pt idx="147">
                  <c:v>119.12362779999999</c:v>
                </c:pt>
                <c:pt idx="148">
                  <c:v>116.4455014</c:v>
                </c:pt>
                <c:pt idx="149">
                  <c:v>112.18199679999999</c:v>
                </c:pt>
                <c:pt idx="150">
                  <c:v>129.48707379999999</c:v>
                </c:pt>
                <c:pt idx="151">
                  <c:v>125.108964</c:v>
                </c:pt>
                <c:pt idx="152">
                  <c:v>117.9749527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3F-4B34-BDA2-7D0D7A8CC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series'!$BE$3:$BE$155</c:f>
              <c:numCache>
                <c:formatCode>m/d/yyyy\ h:mm</c:formatCode>
                <c:ptCount val="153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  <c:pt idx="97">
                  <c:v>45048.260416666664</c:v>
                </c:pt>
                <c:pt idx="98">
                  <c:v>45048.270833333336</c:v>
                </c:pt>
                <c:pt idx="99">
                  <c:v>45048.28125</c:v>
                </c:pt>
                <c:pt idx="100">
                  <c:v>45048.291666666664</c:v>
                </c:pt>
                <c:pt idx="101">
                  <c:v>45048.302083333336</c:v>
                </c:pt>
                <c:pt idx="102">
                  <c:v>45048.3125</c:v>
                </c:pt>
                <c:pt idx="103">
                  <c:v>45048.322916666664</c:v>
                </c:pt>
                <c:pt idx="104">
                  <c:v>45048.333333333336</c:v>
                </c:pt>
                <c:pt idx="105">
                  <c:v>45048.34375</c:v>
                </c:pt>
                <c:pt idx="106">
                  <c:v>45048.354166666664</c:v>
                </c:pt>
                <c:pt idx="107">
                  <c:v>45048.364583333336</c:v>
                </c:pt>
                <c:pt idx="108">
                  <c:v>45048.375</c:v>
                </c:pt>
                <c:pt idx="109">
                  <c:v>45048.385416666664</c:v>
                </c:pt>
                <c:pt idx="110">
                  <c:v>45048.395833333336</c:v>
                </c:pt>
                <c:pt idx="111">
                  <c:v>45048.40625</c:v>
                </c:pt>
                <c:pt idx="112">
                  <c:v>45048.416666666664</c:v>
                </c:pt>
                <c:pt idx="113">
                  <c:v>45048.427083333336</c:v>
                </c:pt>
                <c:pt idx="114">
                  <c:v>45048.4375</c:v>
                </c:pt>
                <c:pt idx="115">
                  <c:v>45048.447916666664</c:v>
                </c:pt>
                <c:pt idx="116">
                  <c:v>45048.458333333336</c:v>
                </c:pt>
                <c:pt idx="117">
                  <c:v>45048.46875</c:v>
                </c:pt>
                <c:pt idx="118">
                  <c:v>45048.479166666664</c:v>
                </c:pt>
                <c:pt idx="119">
                  <c:v>45048.489583333336</c:v>
                </c:pt>
                <c:pt idx="120">
                  <c:v>45048.5</c:v>
                </c:pt>
                <c:pt idx="121">
                  <c:v>45048.510416666664</c:v>
                </c:pt>
                <c:pt idx="122">
                  <c:v>45048.520833333336</c:v>
                </c:pt>
                <c:pt idx="123">
                  <c:v>45048.53125</c:v>
                </c:pt>
                <c:pt idx="124">
                  <c:v>45048.541666666664</c:v>
                </c:pt>
                <c:pt idx="125">
                  <c:v>45048.552083333336</c:v>
                </c:pt>
                <c:pt idx="126">
                  <c:v>45048.5625</c:v>
                </c:pt>
                <c:pt idx="127">
                  <c:v>45048.572916666664</c:v>
                </c:pt>
                <c:pt idx="128">
                  <c:v>45048.583333333336</c:v>
                </c:pt>
                <c:pt idx="129">
                  <c:v>45048.59375</c:v>
                </c:pt>
                <c:pt idx="130">
                  <c:v>45048.604166666664</c:v>
                </c:pt>
                <c:pt idx="131">
                  <c:v>45048.614583333336</c:v>
                </c:pt>
                <c:pt idx="132">
                  <c:v>45048.625</c:v>
                </c:pt>
                <c:pt idx="133">
                  <c:v>45048.635416666664</c:v>
                </c:pt>
                <c:pt idx="134">
                  <c:v>45048.645833333336</c:v>
                </c:pt>
                <c:pt idx="135">
                  <c:v>45048.65625</c:v>
                </c:pt>
                <c:pt idx="136">
                  <c:v>45048.666666666664</c:v>
                </c:pt>
                <c:pt idx="137">
                  <c:v>45048.677083333336</c:v>
                </c:pt>
                <c:pt idx="138">
                  <c:v>45048.6875</c:v>
                </c:pt>
                <c:pt idx="139">
                  <c:v>45048.697916666664</c:v>
                </c:pt>
                <c:pt idx="140">
                  <c:v>45048.708333333336</c:v>
                </c:pt>
                <c:pt idx="141">
                  <c:v>45048.71875</c:v>
                </c:pt>
                <c:pt idx="142">
                  <c:v>45048.729166666664</c:v>
                </c:pt>
                <c:pt idx="143">
                  <c:v>45048.739583333336</c:v>
                </c:pt>
                <c:pt idx="144">
                  <c:v>45048.75</c:v>
                </c:pt>
                <c:pt idx="145">
                  <c:v>45048.760416666664</c:v>
                </c:pt>
                <c:pt idx="146">
                  <c:v>45048.770833333336</c:v>
                </c:pt>
                <c:pt idx="147">
                  <c:v>45048.78125</c:v>
                </c:pt>
                <c:pt idx="148">
                  <c:v>45048.791666666664</c:v>
                </c:pt>
                <c:pt idx="149">
                  <c:v>45048.802083333336</c:v>
                </c:pt>
                <c:pt idx="150">
                  <c:v>45048.8125</c:v>
                </c:pt>
                <c:pt idx="151">
                  <c:v>45048.822916666664</c:v>
                </c:pt>
                <c:pt idx="152">
                  <c:v>45048.833333333336</c:v>
                </c:pt>
              </c:numCache>
            </c:numRef>
          </c:xVal>
          <c:yVal>
            <c:numRef>
              <c:f>'time series'!$BK$3:$BK$155</c:f>
              <c:numCache>
                <c:formatCode>0.000</c:formatCode>
                <c:ptCount val="153"/>
                <c:pt idx="0">
                  <c:v>77.362288004399332</c:v>
                </c:pt>
                <c:pt idx="1">
                  <c:v>77.81666415726292</c:v>
                </c:pt>
                <c:pt idx="2">
                  <c:v>75.776610972721528</c:v>
                </c:pt>
                <c:pt idx="3">
                  <c:v>76.574542920371201</c:v>
                </c:pt>
                <c:pt idx="4">
                  <c:v>74.118849769232312</c:v>
                </c:pt>
                <c:pt idx="5">
                  <c:v>76.739091393463653</c:v>
                </c:pt>
                <c:pt idx="6">
                  <c:v>75.756498835522578</c:v>
                </c:pt>
                <c:pt idx="7">
                  <c:v>78.08124505381646</c:v>
                </c:pt>
                <c:pt idx="8">
                  <c:v>75.928936726700002</c:v>
                </c:pt>
                <c:pt idx="9">
                  <c:v>77.490905212998626</c:v>
                </c:pt>
                <c:pt idx="10">
                  <c:v>74.675623016160287</c:v>
                </c:pt>
                <c:pt idx="11">
                  <c:v>76.058886788717572</c:v>
                </c:pt>
                <c:pt idx="12">
                  <c:v>78.915723136234604</c:v>
                </c:pt>
                <c:pt idx="13">
                  <c:v>79.537808239607671</c:v>
                </c:pt>
                <c:pt idx="14">
                  <c:v>74.341449568317927</c:v>
                </c:pt>
                <c:pt idx="15">
                  <c:v>78.144134670978204</c:v>
                </c:pt>
                <c:pt idx="16">
                  <c:v>82.031152042436332</c:v>
                </c:pt>
                <c:pt idx="17">
                  <c:v>78.740945511937539</c:v>
                </c:pt>
                <c:pt idx="18">
                  <c:v>75.728106483527228</c:v>
                </c:pt>
                <c:pt idx="19">
                  <c:v>80.868951261887133</c:v>
                </c:pt>
                <c:pt idx="20">
                  <c:v>76.593865601946831</c:v>
                </c:pt>
                <c:pt idx="21">
                  <c:v>75.370341479567273</c:v>
                </c:pt>
                <c:pt idx="22">
                  <c:v>74.891640603794414</c:v>
                </c:pt>
                <c:pt idx="23">
                  <c:v>76.319996669366716</c:v>
                </c:pt>
                <c:pt idx="24">
                  <c:v>77.525901478841334</c:v>
                </c:pt>
                <c:pt idx="25">
                  <c:v>78.30667744433417</c:v>
                </c:pt>
                <c:pt idx="26">
                  <c:v>77.449019286407179</c:v>
                </c:pt>
                <c:pt idx="27">
                  <c:v>79.27159371671226</c:v>
                </c:pt>
                <c:pt idx="28">
                  <c:v>77.036911333946151</c:v>
                </c:pt>
                <c:pt idx="29">
                  <c:v>76.216103103536071</c:v>
                </c:pt>
                <c:pt idx="30">
                  <c:v>81.345636039838126</c:v>
                </c:pt>
                <c:pt idx="31">
                  <c:v>78.422827658869721</c:v>
                </c:pt>
                <c:pt idx="32">
                  <c:v>76.5997774199719</c:v>
                </c:pt>
                <c:pt idx="33">
                  <c:v>78.164397664858541</c:v>
                </c:pt>
                <c:pt idx="34">
                  <c:v>76.067618111558048</c:v>
                </c:pt>
                <c:pt idx="35">
                  <c:v>76.800840016251428</c:v>
                </c:pt>
                <c:pt idx="36">
                  <c:v>76.301465955937488</c:v>
                </c:pt>
                <c:pt idx="37">
                  <c:v>78.224228579029855</c:v>
                </c:pt>
                <c:pt idx="38">
                  <c:v>75.602655643266957</c:v>
                </c:pt>
                <c:pt idx="39">
                  <c:v>79.014510302123043</c:v>
                </c:pt>
                <c:pt idx="40">
                  <c:v>79.275196969160135</c:v>
                </c:pt>
                <c:pt idx="41">
                  <c:v>76.977547572329826</c:v>
                </c:pt>
                <c:pt idx="42">
                  <c:v>80.573075096478703</c:v>
                </c:pt>
                <c:pt idx="43">
                  <c:v>77.572378438807007</c:v>
                </c:pt>
                <c:pt idx="44">
                  <c:v>76.260126646499643</c:v>
                </c:pt>
                <c:pt idx="45">
                  <c:v>76.479765477308888</c:v>
                </c:pt>
                <c:pt idx="46">
                  <c:v>75.899748061847362</c:v>
                </c:pt>
                <c:pt idx="47">
                  <c:v>78.322629276989787</c:v>
                </c:pt>
                <c:pt idx="48">
                  <c:v>79.130770975385673</c:v>
                </c:pt>
                <c:pt idx="49">
                  <c:v>81.481192405152612</c:v>
                </c:pt>
                <c:pt idx="50">
                  <c:v>81.29201136279157</c:v>
                </c:pt>
                <c:pt idx="51">
                  <c:v>80.734776585821564</c:v>
                </c:pt>
                <c:pt idx="52">
                  <c:v>80.282695824136809</c:v>
                </c:pt>
                <c:pt idx="53">
                  <c:v>81.90455301712359</c:v>
                </c:pt>
                <c:pt idx="54">
                  <c:v>79.476386803231208</c:v>
                </c:pt>
                <c:pt idx="55">
                  <c:v>77.607108657677202</c:v>
                </c:pt>
                <c:pt idx="56">
                  <c:v>80.971530922935756</c:v>
                </c:pt>
                <c:pt idx="57">
                  <c:v>81.866259363796459</c:v>
                </c:pt>
                <c:pt idx="58">
                  <c:v>81.019158027383341</c:v>
                </c:pt>
                <c:pt idx="59">
                  <c:v>83.15943300506575</c:v>
                </c:pt>
                <c:pt idx="60">
                  <c:v>81.6768206745962</c:v>
                </c:pt>
                <c:pt idx="61">
                  <c:v>83.278131465126677</c:v>
                </c:pt>
                <c:pt idx="62">
                  <c:v>84.380016860651793</c:v>
                </c:pt>
                <c:pt idx="63">
                  <c:v>81.380013330349172</c:v>
                </c:pt>
                <c:pt idx="64">
                  <c:v>78.612875640169861</c:v>
                </c:pt>
                <c:pt idx="65">
                  <c:v>78.457764374320973</c:v>
                </c:pt>
                <c:pt idx="66">
                  <c:v>81.623016985582112</c:v>
                </c:pt>
                <c:pt idx="67">
                  <c:v>77.852238312480338</c:v>
                </c:pt>
                <c:pt idx="68">
                  <c:v>77.581012434678129</c:v>
                </c:pt>
                <c:pt idx="69">
                  <c:v>79.872538524599534</c:v>
                </c:pt>
                <c:pt idx="70">
                  <c:v>79.646819543558891</c:v>
                </c:pt>
                <c:pt idx="71">
                  <c:v>79.147958798796736</c:v>
                </c:pt>
                <c:pt idx="72">
                  <c:v>82.579047989145138</c:v>
                </c:pt>
                <c:pt idx="73">
                  <c:v>80.182234881948659</c:v>
                </c:pt>
                <c:pt idx="74">
                  <c:v>82.099600303622864</c:v>
                </c:pt>
                <c:pt idx="75">
                  <c:v>77.220822457558285</c:v>
                </c:pt>
                <c:pt idx="76">
                  <c:v>75.474654751181305</c:v>
                </c:pt>
                <c:pt idx="77">
                  <c:v>80.410840220652446</c:v>
                </c:pt>
                <c:pt idx="78">
                  <c:v>77.392452143555744</c:v>
                </c:pt>
                <c:pt idx="79">
                  <c:v>77.01692194125107</c:v>
                </c:pt>
                <c:pt idx="80">
                  <c:v>78.055203213157398</c:v>
                </c:pt>
                <c:pt idx="81">
                  <c:v>80.133876550003379</c:v>
                </c:pt>
                <c:pt idx="82">
                  <c:v>79.858763426916852</c:v>
                </c:pt>
                <c:pt idx="83">
                  <c:v>78.13325204597966</c:v>
                </c:pt>
                <c:pt idx="84">
                  <c:v>78.907733024783937</c:v>
                </c:pt>
                <c:pt idx="85">
                  <c:v>79.778116732782578</c:v>
                </c:pt>
                <c:pt idx="86">
                  <c:v>76.127223006168265</c:v>
                </c:pt>
                <c:pt idx="87">
                  <c:v>78.533950668749554</c:v>
                </c:pt>
                <c:pt idx="88">
                  <c:v>78.994227973071261</c:v>
                </c:pt>
                <c:pt idx="89">
                  <c:v>81.306713600455609</c:v>
                </c:pt>
                <c:pt idx="90">
                  <c:v>80.223053105084546</c:v>
                </c:pt>
                <c:pt idx="91">
                  <c:v>78.35201385928282</c:v>
                </c:pt>
                <c:pt idx="92">
                  <c:v>80.700216501286377</c:v>
                </c:pt>
                <c:pt idx="93">
                  <c:v>78.710509537231189</c:v>
                </c:pt>
                <c:pt idx="94">
                  <c:v>78.794981175166939</c:v>
                </c:pt>
                <c:pt idx="95">
                  <c:v>79.036559311057331</c:v>
                </c:pt>
                <c:pt idx="96">
                  <c:v>78.944891685831678</c:v>
                </c:pt>
                <c:pt idx="97">
                  <c:v>78.487303157563844</c:v>
                </c:pt>
                <c:pt idx="98">
                  <c:v>79.400281975333314</c:v>
                </c:pt>
                <c:pt idx="99">
                  <c:v>76.223214833757211</c:v>
                </c:pt>
                <c:pt idx="100">
                  <c:v>81.192234018365667</c:v>
                </c:pt>
                <c:pt idx="101">
                  <c:v>76.513228277851653</c:v>
                </c:pt>
                <c:pt idx="102">
                  <c:v>79.209584438192763</c:v>
                </c:pt>
                <c:pt idx="103">
                  <c:v>78.907111612121881</c:v>
                </c:pt>
                <c:pt idx="104">
                  <c:v>79.236092799347745</c:v>
                </c:pt>
                <c:pt idx="105">
                  <c:v>77.93298510424863</c:v>
                </c:pt>
                <c:pt idx="106">
                  <c:v>80.681103801374221</c:v>
                </c:pt>
                <c:pt idx="107">
                  <c:v>79.131884238344639</c:v>
                </c:pt>
                <c:pt idx="108">
                  <c:v>79.295600112456114</c:v>
                </c:pt>
                <c:pt idx="109">
                  <c:v>81.01951852367381</c:v>
                </c:pt>
                <c:pt idx="110">
                  <c:v>81.272440002759069</c:v>
                </c:pt>
                <c:pt idx="111">
                  <c:v>78.556225608728454</c:v>
                </c:pt>
                <c:pt idx="112">
                  <c:v>80.462302313523097</c:v>
                </c:pt>
                <c:pt idx="113">
                  <c:v>80.097522299310597</c:v>
                </c:pt>
                <c:pt idx="114">
                  <c:v>76.264584343618679</c:v>
                </c:pt>
                <c:pt idx="115">
                  <c:v>80.484380013445275</c:v>
                </c:pt>
                <c:pt idx="116">
                  <c:v>79.336542938701925</c:v>
                </c:pt>
                <c:pt idx="117">
                  <c:v>77.315252809523471</c:v>
                </c:pt>
                <c:pt idx="118">
                  <c:v>77.134020271730336</c:v>
                </c:pt>
                <c:pt idx="119">
                  <c:v>80.719568628470725</c:v>
                </c:pt>
                <c:pt idx="120">
                  <c:v>80.3854123564292</c:v>
                </c:pt>
                <c:pt idx="121">
                  <c:v>77.338359726276551</c:v>
                </c:pt>
                <c:pt idx="122">
                  <c:v>80.453615980148953</c:v>
                </c:pt>
                <c:pt idx="123">
                  <c:v>79.313299300559237</c:v>
                </c:pt>
                <c:pt idx="124">
                  <c:v>81.101788635018096</c:v>
                </c:pt>
                <c:pt idx="125">
                  <c:v>76.383342595868754</c:v>
                </c:pt>
                <c:pt idx="126">
                  <c:v>80.19146718886941</c:v>
                </c:pt>
                <c:pt idx="127">
                  <c:v>80.300852192324996</c:v>
                </c:pt>
                <c:pt idx="128">
                  <c:v>78.957829720424073</c:v>
                </c:pt>
                <c:pt idx="129">
                  <c:v>80.973547646278249</c:v>
                </c:pt>
                <c:pt idx="130">
                  <c:v>78.056494279066953</c:v>
                </c:pt>
                <c:pt idx="131">
                  <c:v>80.940741296693048</c:v>
                </c:pt>
                <c:pt idx="132">
                  <c:v>77.103596670484791</c:v>
                </c:pt>
                <c:pt idx="133">
                  <c:v>81.239698396323718</c:v>
                </c:pt>
                <c:pt idx="134">
                  <c:v>81.912457625915266</c:v>
                </c:pt>
                <c:pt idx="135">
                  <c:v>79.545017979875212</c:v>
                </c:pt>
                <c:pt idx="136">
                  <c:v>81.9668563640315</c:v>
                </c:pt>
                <c:pt idx="137">
                  <c:v>80.513282529111677</c:v>
                </c:pt>
                <c:pt idx="138">
                  <c:v>80.284065066797666</c:v>
                </c:pt>
                <c:pt idx="139">
                  <c:v>80.501031981386177</c:v>
                </c:pt>
                <c:pt idx="140">
                  <c:v>79.528071830499584</c:v>
                </c:pt>
                <c:pt idx="141">
                  <c:v>78.673564473892895</c:v>
                </c:pt>
                <c:pt idx="142">
                  <c:v>80.335824803024266</c:v>
                </c:pt>
                <c:pt idx="143">
                  <c:v>81.823036247756932</c:v>
                </c:pt>
                <c:pt idx="144">
                  <c:v>79.332706662424229</c:v>
                </c:pt>
                <c:pt idx="145">
                  <c:v>84.084828007221162</c:v>
                </c:pt>
                <c:pt idx="146">
                  <c:v>79.840845333413483</c:v>
                </c:pt>
                <c:pt idx="147">
                  <c:v>83.220175387400374</c:v>
                </c:pt>
                <c:pt idx="148">
                  <c:v>81.908426654665263</c:v>
                </c:pt>
                <c:pt idx="149">
                  <c:v>79.485122134372787</c:v>
                </c:pt>
                <c:pt idx="150">
                  <c:v>79.844454981822423</c:v>
                </c:pt>
                <c:pt idx="151">
                  <c:v>80.071897614404079</c:v>
                </c:pt>
                <c:pt idx="152">
                  <c:v>77.920324241039069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3F-4B34-BDA2-7D0D7A8CC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3 -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series'!$BM$3:$BM$123</c:f>
              <c:numCache>
                <c:formatCode>m/d/yyyy\ h:mm</c:formatCode>
                <c:ptCount val="121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  <c:pt idx="97">
                  <c:v>45050.260416666664</c:v>
                </c:pt>
                <c:pt idx="98">
                  <c:v>45050.270833333336</c:v>
                </c:pt>
                <c:pt idx="99">
                  <c:v>45050.28125</c:v>
                </c:pt>
                <c:pt idx="100">
                  <c:v>45050.291666666664</c:v>
                </c:pt>
                <c:pt idx="101">
                  <c:v>45050.302083333336</c:v>
                </c:pt>
                <c:pt idx="102">
                  <c:v>45050.3125</c:v>
                </c:pt>
                <c:pt idx="103">
                  <c:v>45050.322916666664</c:v>
                </c:pt>
                <c:pt idx="104">
                  <c:v>45050.333333333336</c:v>
                </c:pt>
                <c:pt idx="105">
                  <c:v>45050.34375</c:v>
                </c:pt>
                <c:pt idx="106">
                  <c:v>45050.354166666664</c:v>
                </c:pt>
                <c:pt idx="107">
                  <c:v>45050.364583333336</c:v>
                </c:pt>
                <c:pt idx="108">
                  <c:v>45050.375</c:v>
                </c:pt>
                <c:pt idx="109">
                  <c:v>45050.385416666664</c:v>
                </c:pt>
                <c:pt idx="110">
                  <c:v>45050.395833333336</c:v>
                </c:pt>
                <c:pt idx="111">
                  <c:v>45050.40625</c:v>
                </c:pt>
                <c:pt idx="112">
                  <c:v>45050.416666666664</c:v>
                </c:pt>
                <c:pt idx="113">
                  <c:v>45050.427083333336</c:v>
                </c:pt>
                <c:pt idx="114">
                  <c:v>45050.4375</c:v>
                </c:pt>
                <c:pt idx="115">
                  <c:v>45050.447916666664</c:v>
                </c:pt>
                <c:pt idx="116">
                  <c:v>45050.458333333336</c:v>
                </c:pt>
                <c:pt idx="117">
                  <c:v>45050.46875</c:v>
                </c:pt>
                <c:pt idx="118">
                  <c:v>45050.479166666664</c:v>
                </c:pt>
                <c:pt idx="119">
                  <c:v>45050.489583333336</c:v>
                </c:pt>
                <c:pt idx="120">
                  <c:v>45050.5</c:v>
                </c:pt>
              </c:numCache>
            </c:numRef>
          </c:xVal>
          <c:yVal>
            <c:numRef>
              <c:f>'time series'!$BO$3:$BO$123</c:f>
              <c:numCache>
                <c:formatCode>0.000</c:formatCode>
                <c:ptCount val="121"/>
                <c:pt idx="0">
                  <c:v>98.886564129999996</c:v>
                </c:pt>
                <c:pt idx="1">
                  <c:v>94.720978599999995</c:v>
                </c:pt>
                <c:pt idx="2">
                  <c:v>100.9486689</c:v>
                </c:pt>
                <c:pt idx="3">
                  <c:v>103.3988808</c:v>
                </c:pt>
                <c:pt idx="4">
                  <c:v>108.62303609999999</c:v>
                </c:pt>
                <c:pt idx="5">
                  <c:v>93.457733590000004</c:v>
                </c:pt>
                <c:pt idx="6">
                  <c:v>98.893656829999998</c:v>
                </c:pt>
                <c:pt idx="7">
                  <c:v>91.345373739999999</c:v>
                </c:pt>
                <c:pt idx="8">
                  <c:v>94.720978599999995</c:v>
                </c:pt>
                <c:pt idx="9">
                  <c:v>97.229596529999995</c:v>
                </c:pt>
                <c:pt idx="10">
                  <c:v>91.338086169999997</c:v>
                </c:pt>
                <c:pt idx="11">
                  <c:v>90.492164919999993</c:v>
                </c:pt>
                <c:pt idx="12">
                  <c:v>92.610732819999996</c:v>
                </c:pt>
                <c:pt idx="13">
                  <c:v>87.058386479999996</c:v>
                </c:pt>
                <c:pt idx="14">
                  <c:v>90.492164919999993</c:v>
                </c:pt>
                <c:pt idx="15">
                  <c:v>90.492164919999993</c:v>
                </c:pt>
                <c:pt idx="16">
                  <c:v>90.060609240000005</c:v>
                </c:pt>
                <c:pt idx="17">
                  <c:v>91.338086169999997</c:v>
                </c:pt>
                <c:pt idx="18">
                  <c:v>87.058386479999996</c:v>
                </c:pt>
                <c:pt idx="19">
                  <c:v>93.877037450000003</c:v>
                </c:pt>
                <c:pt idx="20">
                  <c:v>89.209976960000006</c:v>
                </c:pt>
                <c:pt idx="21">
                  <c:v>91.338086169999997</c:v>
                </c:pt>
                <c:pt idx="22">
                  <c:v>84.891986889999998</c:v>
                </c:pt>
                <c:pt idx="23">
                  <c:v>87.058386479999996</c:v>
                </c:pt>
                <c:pt idx="24">
                  <c:v>87.922589900000006</c:v>
                </c:pt>
                <c:pt idx="25">
                  <c:v>95.977802339999997</c:v>
                </c:pt>
                <c:pt idx="26">
                  <c:v>92.617989059999999</c:v>
                </c:pt>
                <c:pt idx="27">
                  <c:v>91.767774239999994</c:v>
                </c:pt>
                <c:pt idx="28">
                  <c:v>97.229596529999995</c:v>
                </c:pt>
                <c:pt idx="29">
                  <c:v>93.877037450000003</c:v>
                </c:pt>
                <c:pt idx="30">
                  <c:v>95.138397370000007</c:v>
                </c:pt>
                <c:pt idx="31">
                  <c:v>93.877037450000003</c:v>
                </c:pt>
                <c:pt idx="32">
                  <c:v>95.977802339999997</c:v>
                </c:pt>
                <c:pt idx="33">
                  <c:v>97.229596529999995</c:v>
                </c:pt>
                <c:pt idx="34">
                  <c:v>101.36348099999999</c:v>
                </c:pt>
                <c:pt idx="35">
                  <c:v>99.714355679999997</c:v>
                </c:pt>
                <c:pt idx="36">
                  <c:v>103.8090014</c:v>
                </c:pt>
                <c:pt idx="37">
                  <c:v>103.8090014</c:v>
                </c:pt>
                <c:pt idx="38">
                  <c:v>103.80204430000001</c:v>
                </c:pt>
                <c:pt idx="39">
                  <c:v>102.9873886</c:v>
                </c:pt>
                <c:pt idx="40">
                  <c:v>104.61473460000001</c:v>
                </c:pt>
                <c:pt idx="41">
                  <c:v>106.2245245</c:v>
                </c:pt>
                <c:pt idx="42">
                  <c:v>101.7699069</c:v>
                </c:pt>
                <c:pt idx="43">
                  <c:v>106.2245245</c:v>
                </c:pt>
                <c:pt idx="44">
                  <c:v>109.0251016</c:v>
                </c:pt>
                <c:pt idx="45">
                  <c:v>112.18199679999999</c:v>
                </c:pt>
                <c:pt idx="46">
                  <c:v>105.0166174</c:v>
                </c:pt>
                <c:pt idx="47">
                  <c:v>105.0166174</c:v>
                </c:pt>
                <c:pt idx="48">
                  <c:v>109.0251016</c:v>
                </c:pt>
                <c:pt idx="49">
                  <c:v>123.998997</c:v>
                </c:pt>
                <c:pt idx="50">
                  <c:v>126.9470365</c:v>
                </c:pt>
                <c:pt idx="51">
                  <c:v>130.92322350000001</c:v>
                </c:pt>
                <c:pt idx="52">
                  <c:v>129.12778700000001</c:v>
                </c:pt>
                <c:pt idx="53">
                  <c:v>133.7707528</c:v>
                </c:pt>
                <c:pt idx="54">
                  <c:v>131.64072830000001</c:v>
                </c:pt>
                <c:pt idx="55">
                  <c:v>126.9470365</c:v>
                </c:pt>
                <c:pt idx="56">
                  <c:v>126.9470365</c:v>
                </c:pt>
                <c:pt idx="57">
                  <c:v>119.87671349999999</c:v>
                </c:pt>
                <c:pt idx="58">
                  <c:v>132.70838019999999</c:v>
                </c:pt>
                <c:pt idx="59">
                  <c:v>133.7707528</c:v>
                </c:pt>
                <c:pt idx="60">
                  <c:v>135.52973059999999</c:v>
                </c:pt>
                <c:pt idx="61">
                  <c:v>129.12778700000001</c:v>
                </c:pt>
                <c:pt idx="62">
                  <c:v>119.87671349999999</c:v>
                </c:pt>
                <c:pt idx="63">
                  <c:v>130.567172</c:v>
                </c:pt>
                <c:pt idx="64">
                  <c:v>122.1341827</c:v>
                </c:pt>
                <c:pt idx="65">
                  <c:v>136.5531871</c:v>
                </c:pt>
                <c:pt idx="66">
                  <c:v>131.9954343</c:v>
                </c:pt>
                <c:pt idx="67">
                  <c:v>124.3675379</c:v>
                </c:pt>
                <c:pt idx="68">
                  <c:v>124.3675379</c:v>
                </c:pt>
                <c:pt idx="69">
                  <c:v>129.12158679999999</c:v>
                </c:pt>
                <c:pt idx="70">
                  <c:v>124.3675379</c:v>
                </c:pt>
                <c:pt idx="71">
                  <c:v>124.3675379</c:v>
                </c:pt>
                <c:pt idx="72">
                  <c:v>118.36070239999999</c:v>
                </c:pt>
                <c:pt idx="73">
                  <c:v>120.2525852</c:v>
                </c:pt>
                <c:pt idx="74">
                  <c:v>119.11711819999999</c:v>
                </c:pt>
                <c:pt idx="75">
                  <c:v>117.21518</c:v>
                </c:pt>
                <c:pt idx="76">
                  <c:v>114.1275401</c:v>
                </c:pt>
                <c:pt idx="77">
                  <c:v>126.9470365</c:v>
                </c:pt>
                <c:pt idx="78">
                  <c:v>109.0251016</c:v>
                </c:pt>
                <c:pt idx="79">
                  <c:v>121.00878899999999</c:v>
                </c:pt>
                <c:pt idx="80">
                  <c:v>121.00878899999999</c:v>
                </c:pt>
                <c:pt idx="81">
                  <c:v>115.2898797</c:v>
                </c:pt>
                <c:pt idx="82">
                  <c:v>116.4455014</c:v>
                </c:pt>
                <c:pt idx="83">
                  <c:v>121.00878899999999</c:v>
                </c:pt>
                <c:pt idx="84">
                  <c:v>107.0292163</c:v>
                </c:pt>
                <c:pt idx="85">
                  <c:v>126.9407683</c:v>
                </c:pt>
                <c:pt idx="86">
                  <c:v>110.21295859999999</c:v>
                </c:pt>
                <c:pt idx="87">
                  <c:v>112.1752807</c:v>
                </c:pt>
                <c:pt idx="88">
                  <c:v>112.1752807</c:v>
                </c:pt>
                <c:pt idx="89">
                  <c:v>110.9974619</c:v>
                </c:pt>
                <c:pt idx="90">
                  <c:v>119.87671349999999</c:v>
                </c:pt>
                <c:pt idx="91">
                  <c:v>114.8986831</c:v>
                </c:pt>
                <c:pt idx="92">
                  <c:v>110.9974619</c:v>
                </c:pt>
                <c:pt idx="93">
                  <c:v>109.01829240000001</c:v>
                </c:pt>
                <c:pt idx="94">
                  <c:v>107.8236938</c:v>
                </c:pt>
                <c:pt idx="95">
                  <c:v>113.3477233</c:v>
                </c:pt>
                <c:pt idx="96">
                  <c:v>116.4455014</c:v>
                </c:pt>
                <c:pt idx="97">
                  <c:v>111.7853645</c:v>
                </c:pt>
                <c:pt idx="98">
                  <c:v>109.0251016</c:v>
                </c:pt>
                <c:pt idx="99">
                  <c:v>103.3988808</c:v>
                </c:pt>
                <c:pt idx="100">
                  <c:v>107.0292163</c:v>
                </c:pt>
                <c:pt idx="101">
                  <c:v>110.60554279999999</c:v>
                </c:pt>
                <c:pt idx="102">
                  <c:v>104.61473460000001</c:v>
                </c:pt>
                <c:pt idx="103">
                  <c:v>107.8305381</c:v>
                </c:pt>
                <c:pt idx="104">
                  <c:v>99.304680700000006</c:v>
                </c:pt>
                <c:pt idx="105">
                  <c:v>104.61473460000001</c:v>
                </c:pt>
                <c:pt idx="106">
                  <c:v>104.61473460000001</c:v>
                </c:pt>
                <c:pt idx="107">
                  <c:v>102.5822131</c:v>
                </c:pt>
                <c:pt idx="108">
                  <c:v>110.9974619</c:v>
                </c:pt>
                <c:pt idx="109">
                  <c:v>105.0166174</c:v>
                </c:pt>
                <c:pt idx="110">
                  <c:v>98.474887140000007</c:v>
                </c:pt>
                <c:pt idx="111">
                  <c:v>102.5822131</c:v>
                </c:pt>
                <c:pt idx="112">
                  <c:v>98.062569339999996</c:v>
                </c:pt>
                <c:pt idx="113">
                  <c:v>98.474887140000007</c:v>
                </c:pt>
                <c:pt idx="114">
                  <c:v>98.474887140000007</c:v>
                </c:pt>
                <c:pt idx="115">
                  <c:v>93.038532979999999</c:v>
                </c:pt>
                <c:pt idx="116">
                  <c:v>91.767774239999994</c:v>
                </c:pt>
                <c:pt idx="117">
                  <c:v>96.393321510000007</c:v>
                </c:pt>
                <c:pt idx="118">
                  <c:v>105.0166174</c:v>
                </c:pt>
                <c:pt idx="119">
                  <c:v>108.2271172</c:v>
                </c:pt>
                <c:pt idx="120">
                  <c:v>97.229596529999995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AA-49E3-87E9-CE54213D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series'!$BM$3:$BM$123</c:f>
              <c:numCache>
                <c:formatCode>m/d/yyyy\ h:mm</c:formatCode>
                <c:ptCount val="121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  <c:pt idx="97">
                  <c:v>45050.260416666664</c:v>
                </c:pt>
                <c:pt idx="98">
                  <c:v>45050.270833333336</c:v>
                </c:pt>
                <c:pt idx="99">
                  <c:v>45050.28125</c:v>
                </c:pt>
                <c:pt idx="100">
                  <c:v>45050.291666666664</c:v>
                </c:pt>
                <c:pt idx="101">
                  <c:v>45050.302083333336</c:v>
                </c:pt>
                <c:pt idx="102">
                  <c:v>45050.3125</c:v>
                </c:pt>
                <c:pt idx="103">
                  <c:v>45050.322916666664</c:v>
                </c:pt>
                <c:pt idx="104">
                  <c:v>45050.333333333336</c:v>
                </c:pt>
                <c:pt idx="105">
                  <c:v>45050.34375</c:v>
                </c:pt>
                <c:pt idx="106">
                  <c:v>45050.354166666664</c:v>
                </c:pt>
                <c:pt idx="107">
                  <c:v>45050.364583333336</c:v>
                </c:pt>
                <c:pt idx="108">
                  <c:v>45050.375</c:v>
                </c:pt>
                <c:pt idx="109">
                  <c:v>45050.385416666664</c:v>
                </c:pt>
                <c:pt idx="110">
                  <c:v>45050.395833333336</c:v>
                </c:pt>
                <c:pt idx="111">
                  <c:v>45050.40625</c:v>
                </c:pt>
                <c:pt idx="112">
                  <c:v>45050.416666666664</c:v>
                </c:pt>
                <c:pt idx="113">
                  <c:v>45050.427083333336</c:v>
                </c:pt>
                <c:pt idx="114">
                  <c:v>45050.4375</c:v>
                </c:pt>
                <c:pt idx="115">
                  <c:v>45050.447916666664</c:v>
                </c:pt>
                <c:pt idx="116">
                  <c:v>45050.458333333336</c:v>
                </c:pt>
                <c:pt idx="117">
                  <c:v>45050.46875</c:v>
                </c:pt>
                <c:pt idx="118">
                  <c:v>45050.479166666664</c:v>
                </c:pt>
                <c:pt idx="119">
                  <c:v>45050.489583333336</c:v>
                </c:pt>
                <c:pt idx="120">
                  <c:v>45050.5</c:v>
                </c:pt>
              </c:numCache>
            </c:numRef>
          </c:xVal>
          <c:yVal>
            <c:numRef>
              <c:f>'time series'!$BS$5:$BS$123</c:f>
              <c:numCache>
                <c:formatCode>0.00</c:formatCode>
                <c:ptCount val="119"/>
                <c:pt idx="0">
                  <c:v>83.523005505687152</c:v>
                </c:pt>
                <c:pt idx="1">
                  <c:v>82.954527517052853</c:v>
                </c:pt>
                <c:pt idx="2">
                  <c:v>86.924342915009575</c:v>
                </c:pt>
                <c:pt idx="3">
                  <c:v>84.623799863901397</c:v>
                </c:pt>
                <c:pt idx="4">
                  <c:v>84.036829210087575</c:v>
                </c:pt>
                <c:pt idx="5">
                  <c:v>88.279772023546002</c:v>
                </c:pt>
                <c:pt idx="6">
                  <c:v>84.964427348275436</c:v>
                </c:pt>
                <c:pt idx="7">
                  <c:v>84.932677515374522</c:v>
                </c:pt>
                <c:pt idx="8">
                  <c:v>86.733453598336567</c:v>
                </c:pt>
                <c:pt idx="9">
                  <c:v>86.574117555919557</c:v>
                </c:pt>
                <c:pt idx="10">
                  <c:v>88.937734804526301</c:v>
                </c:pt>
                <c:pt idx="11">
                  <c:v>83.11655176203422</c:v>
                </c:pt>
                <c:pt idx="12">
                  <c:v>86.87387478800278</c:v>
                </c:pt>
                <c:pt idx="13">
                  <c:v>83.751907285775872</c:v>
                </c:pt>
                <c:pt idx="14">
                  <c:v>91.866079568496914</c:v>
                </c:pt>
                <c:pt idx="15">
                  <c:v>88.971741236145789</c:v>
                </c:pt>
                <c:pt idx="16">
                  <c:v>85.692227206089811</c:v>
                </c:pt>
                <c:pt idx="17">
                  <c:v>86.883313214061388</c:v>
                </c:pt>
                <c:pt idx="18">
                  <c:v>86.317909340186262</c:v>
                </c:pt>
                <c:pt idx="19">
                  <c:v>84.5992452289033</c:v>
                </c:pt>
                <c:pt idx="20">
                  <c:v>82.983317404170393</c:v>
                </c:pt>
                <c:pt idx="21">
                  <c:v>85.562727323064166</c:v>
                </c:pt>
                <c:pt idx="22">
                  <c:v>88.245923622620822</c:v>
                </c:pt>
                <c:pt idx="23">
                  <c:v>84.878020705486136</c:v>
                </c:pt>
                <c:pt idx="24">
                  <c:v>84.461416497852568</c:v>
                </c:pt>
                <c:pt idx="25">
                  <c:v>85.360661814628742</c:v>
                </c:pt>
                <c:pt idx="26">
                  <c:v>83.134167282996387</c:v>
                </c:pt>
                <c:pt idx="27">
                  <c:v>86.774959029769491</c:v>
                </c:pt>
                <c:pt idx="28">
                  <c:v>84.573887832164203</c:v>
                </c:pt>
                <c:pt idx="29">
                  <c:v>84.848765407419762</c:v>
                </c:pt>
                <c:pt idx="30">
                  <c:v>86.285521859634741</c:v>
                </c:pt>
                <c:pt idx="31">
                  <c:v>86.128698986913051</c:v>
                </c:pt>
                <c:pt idx="32">
                  <c:v>85.697232722978967</c:v>
                </c:pt>
                <c:pt idx="33">
                  <c:v>86.230439195638269</c:v>
                </c:pt>
                <c:pt idx="34">
                  <c:v>84.782077882760689</c:v>
                </c:pt>
                <c:pt idx="35">
                  <c:v>84.440930421910934</c:v>
                </c:pt>
                <c:pt idx="36">
                  <c:v>87.998057215811713</c:v>
                </c:pt>
                <c:pt idx="37">
                  <c:v>84.258224306674776</c:v>
                </c:pt>
                <c:pt idx="38">
                  <c:v>82.879583620842681</c:v>
                </c:pt>
                <c:pt idx="39">
                  <c:v>83.462807818498561</c:v>
                </c:pt>
                <c:pt idx="40">
                  <c:v>103.70112832820597</c:v>
                </c:pt>
                <c:pt idx="41">
                  <c:v>87.413343389784544</c:v>
                </c:pt>
                <c:pt idx="42">
                  <c:v>88.659819687119949</c:v>
                </c:pt>
                <c:pt idx="43">
                  <c:v>92.738042042116604</c:v>
                </c:pt>
                <c:pt idx="44">
                  <c:v>88.085287232976739</c:v>
                </c:pt>
                <c:pt idx="45">
                  <c:v>85.186496090273181</c:v>
                </c:pt>
                <c:pt idx="46">
                  <c:v>92.289265097919056</c:v>
                </c:pt>
                <c:pt idx="47">
                  <c:v>85.557095819920633</c:v>
                </c:pt>
                <c:pt idx="48">
                  <c:v>89.512327251925768</c:v>
                </c:pt>
                <c:pt idx="49">
                  <c:v>87.081786271634414</c:v>
                </c:pt>
                <c:pt idx="50">
                  <c:v>88.187648190619555</c:v>
                </c:pt>
                <c:pt idx="51">
                  <c:v>90.716046352012157</c:v>
                </c:pt>
                <c:pt idx="52">
                  <c:v>87.047536303459367</c:v>
                </c:pt>
                <c:pt idx="53">
                  <c:v>87.451273510574211</c:v>
                </c:pt>
                <c:pt idx="54">
                  <c:v>89.105049150463373</c:v>
                </c:pt>
                <c:pt idx="55">
                  <c:v>89.231906494615046</c:v>
                </c:pt>
                <c:pt idx="56">
                  <c:v>86.555065178774925</c:v>
                </c:pt>
                <c:pt idx="57">
                  <c:v>85.489516476400496</c:v>
                </c:pt>
                <c:pt idx="58">
                  <c:v>95.8079973303809</c:v>
                </c:pt>
                <c:pt idx="59">
                  <c:v>87.783796153347112</c:v>
                </c:pt>
                <c:pt idx="60">
                  <c:v>85.216566503490611</c:v>
                </c:pt>
                <c:pt idx="61">
                  <c:v>92.624998581066876</c:v>
                </c:pt>
                <c:pt idx="62">
                  <c:v>87.920299972711945</c:v>
                </c:pt>
                <c:pt idx="63">
                  <c:v>88.120223356293181</c:v>
                </c:pt>
                <c:pt idx="64">
                  <c:v>90.57936026552936</c:v>
                </c:pt>
                <c:pt idx="65">
                  <c:v>90.063124525809016</c:v>
                </c:pt>
                <c:pt idx="66">
                  <c:v>92.040017565469995</c:v>
                </c:pt>
                <c:pt idx="67">
                  <c:v>91.073940073060001</c:v>
                </c:pt>
                <c:pt idx="68">
                  <c:v>94.392825777035952</c:v>
                </c:pt>
                <c:pt idx="69">
                  <c:v>93.551180427614469</c:v>
                </c:pt>
                <c:pt idx="70">
                  <c:v>87.92030913959195</c:v>
                </c:pt>
                <c:pt idx="71">
                  <c:v>87.853163050649044</c:v>
                </c:pt>
                <c:pt idx="72">
                  <c:v>86.777725968269067</c:v>
                </c:pt>
                <c:pt idx="73">
                  <c:v>96.052853776553491</c:v>
                </c:pt>
                <c:pt idx="74">
                  <c:v>88.194344517051206</c:v>
                </c:pt>
                <c:pt idx="75">
                  <c:v>88.267561423481752</c:v>
                </c:pt>
                <c:pt idx="76">
                  <c:v>95.420102740724602</c:v>
                </c:pt>
                <c:pt idx="77">
                  <c:v>96.877885704632021</c:v>
                </c:pt>
                <c:pt idx="78">
                  <c:v>94.212988019585723</c:v>
                </c:pt>
                <c:pt idx="79">
                  <c:v>91.173411789432905</c:v>
                </c:pt>
                <c:pt idx="80">
                  <c:v>89.268768119002431</c:v>
                </c:pt>
                <c:pt idx="81">
                  <c:v>93.300735956107616</c:v>
                </c:pt>
                <c:pt idx="82">
                  <c:v>95.060410526419005</c:v>
                </c:pt>
                <c:pt idx="83">
                  <c:v>91.763460173469042</c:v>
                </c:pt>
                <c:pt idx="84">
                  <c:v>93.264473810135769</c:v>
                </c:pt>
                <c:pt idx="85">
                  <c:v>91.291577840830925</c:v>
                </c:pt>
                <c:pt idx="86">
                  <c:v>86.959201589168842</c:v>
                </c:pt>
                <c:pt idx="87">
                  <c:v>89.762699997201636</c:v>
                </c:pt>
                <c:pt idx="88">
                  <c:v>100.2984509805308</c:v>
                </c:pt>
                <c:pt idx="89">
                  <c:v>93.952978659316784</c:v>
                </c:pt>
                <c:pt idx="90">
                  <c:v>101.1268328041553</c:v>
                </c:pt>
                <c:pt idx="91">
                  <c:v>88.616836602522028</c:v>
                </c:pt>
                <c:pt idx="92">
                  <c:v>89.705357283736475</c:v>
                </c:pt>
                <c:pt idx="93">
                  <c:v>93.074359240155488</c:v>
                </c:pt>
                <c:pt idx="94">
                  <c:v>91.746897928617159</c:v>
                </c:pt>
                <c:pt idx="95">
                  <c:v>97.30775138187532</c:v>
                </c:pt>
                <c:pt idx="96">
                  <c:v>90.085040933887186</c:v>
                </c:pt>
                <c:pt idx="97">
                  <c:v>97.607096808186895</c:v>
                </c:pt>
                <c:pt idx="98">
                  <c:v>97.846410091869757</c:v>
                </c:pt>
                <c:pt idx="99">
                  <c:v>91.094451698623004</c:v>
                </c:pt>
                <c:pt idx="100">
                  <c:v>93.28518052938378</c:v>
                </c:pt>
                <c:pt idx="101">
                  <c:v>92.786252654080201</c:v>
                </c:pt>
                <c:pt idx="102">
                  <c:v>88.621318548832164</c:v>
                </c:pt>
                <c:pt idx="103">
                  <c:v>103.09708548977393</c:v>
                </c:pt>
                <c:pt idx="104">
                  <c:v>92.615651468621266</c:v>
                </c:pt>
                <c:pt idx="105">
                  <c:v>91.747886877796134</c:v>
                </c:pt>
                <c:pt idx="106">
                  <c:v>96.127745698223791</c:v>
                </c:pt>
                <c:pt idx="107">
                  <c:v>98.353244881638545</c:v>
                </c:pt>
                <c:pt idx="108">
                  <c:v>103.82288506491871</c:v>
                </c:pt>
                <c:pt idx="109">
                  <c:v>98.873955801959596</c:v>
                </c:pt>
                <c:pt idx="110">
                  <c:v>109.984122680624</c:v>
                </c:pt>
                <c:pt idx="111">
                  <c:v>102.02483127705305</c:v>
                </c:pt>
                <c:pt idx="112">
                  <c:v>95.183479650137087</c:v>
                </c:pt>
                <c:pt idx="113">
                  <c:v>105.90439703700785</c:v>
                </c:pt>
                <c:pt idx="114">
                  <c:v>100.72020683221007</c:v>
                </c:pt>
                <c:pt idx="115">
                  <c:v>99.501033529171536</c:v>
                </c:pt>
                <c:pt idx="116">
                  <c:v>95.033244496914804</c:v>
                </c:pt>
                <c:pt idx="117">
                  <c:v>94.158482374515629</c:v>
                </c:pt>
                <c:pt idx="118">
                  <c:v>104.23689686956476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AA-49E3-87E9-CE54213D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'time series'!$BU$3:$BU$120</c:f>
              <c:numCache>
                <c:formatCode>m/d/yyyy\ h:mm</c:formatCode>
                <c:ptCount val="118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  <c:pt idx="97">
                  <c:v>45051.520833333336</c:v>
                </c:pt>
                <c:pt idx="98">
                  <c:v>45051.53125</c:v>
                </c:pt>
                <c:pt idx="99">
                  <c:v>45051.541666666664</c:v>
                </c:pt>
                <c:pt idx="100">
                  <c:v>45051.552083333336</c:v>
                </c:pt>
                <c:pt idx="101">
                  <c:v>45051.5625</c:v>
                </c:pt>
                <c:pt idx="102">
                  <c:v>45051.572916666664</c:v>
                </c:pt>
                <c:pt idx="103">
                  <c:v>45051.583333333336</c:v>
                </c:pt>
                <c:pt idx="104">
                  <c:v>45051.59375</c:v>
                </c:pt>
                <c:pt idx="105">
                  <c:v>45051.604166666664</c:v>
                </c:pt>
                <c:pt idx="106">
                  <c:v>45051.614583333336</c:v>
                </c:pt>
                <c:pt idx="107">
                  <c:v>45051.625</c:v>
                </c:pt>
                <c:pt idx="108">
                  <c:v>45051.635416666664</c:v>
                </c:pt>
                <c:pt idx="109">
                  <c:v>45051.645833333336</c:v>
                </c:pt>
                <c:pt idx="110">
                  <c:v>45051.65625</c:v>
                </c:pt>
                <c:pt idx="111">
                  <c:v>45051.666666666664</c:v>
                </c:pt>
                <c:pt idx="112">
                  <c:v>45051.677083333336</c:v>
                </c:pt>
                <c:pt idx="113">
                  <c:v>45051.6875</c:v>
                </c:pt>
                <c:pt idx="114">
                  <c:v>45051.697916666664</c:v>
                </c:pt>
                <c:pt idx="115">
                  <c:v>45051.708333333336</c:v>
                </c:pt>
                <c:pt idx="116">
                  <c:v>45051.71875</c:v>
                </c:pt>
                <c:pt idx="117">
                  <c:v>45051.729166666664</c:v>
                </c:pt>
              </c:numCache>
            </c:numRef>
          </c:xVal>
          <c:yVal>
            <c:numRef>
              <c:f>'time series'!$BW$3:$BW$120</c:f>
              <c:numCache>
                <c:formatCode>0.000</c:formatCode>
                <c:ptCount val="118"/>
                <c:pt idx="0">
                  <c:v>100.5402337</c:v>
                </c:pt>
                <c:pt idx="1">
                  <c:v>96.393321510000007</c:v>
                </c:pt>
                <c:pt idx="2">
                  <c:v>96.400480259999995</c:v>
                </c:pt>
                <c:pt idx="3">
                  <c:v>100.9486689</c:v>
                </c:pt>
                <c:pt idx="4">
                  <c:v>97.649612750000003</c:v>
                </c:pt>
                <c:pt idx="5">
                  <c:v>96.400480259999995</c:v>
                </c:pt>
                <c:pt idx="6">
                  <c:v>97.229596529999995</c:v>
                </c:pt>
                <c:pt idx="7">
                  <c:v>105.42475589999999</c:v>
                </c:pt>
                <c:pt idx="8">
                  <c:v>99.714355679999997</c:v>
                </c:pt>
                <c:pt idx="9">
                  <c:v>97.642487979999999</c:v>
                </c:pt>
                <c:pt idx="10">
                  <c:v>102.9873886</c:v>
                </c:pt>
                <c:pt idx="11">
                  <c:v>103.80204430000001</c:v>
                </c:pt>
                <c:pt idx="12">
                  <c:v>102.9873886</c:v>
                </c:pt>
                <c:pt idx="13">
                  <c:v>104.2121959</c:v>
                </c:pt>
                <c:pt idx="14">
                  <c:v>106.2245245</c:v>
                </c:pt>
                <c:pt idx="15">
                  <c:v>109.4196846</c:v>
                </c:pt>
                <c:pt idx="16">
                  <c:v>102.17638460000001</c:v>
                </c:pt>
                <c:pt idx="17">
                  <c:v>105.0235411</c:v>
                </c:pt>
                <c:pt idx="18">
                  <c:v>109.0251016</c:v>
                </c:pt>
                <c:pt idx="19">
                  <c:v>110.21295859999999</c:v>
                </c:pt>
                <c:pt idx="20">
                  <c:v>118.36070239999999</c:v>
                </c:pt>
                <c:pt idx="21">
                  <c:v>114.1275401</c:v>
                </c:pt>
                <c:pt idx="22">
                  <c:v>108.2271172</c:v>
                </c:pt>
                <c:pt idx="23">
                  <c:v>122.51245830000001</c:v>
                </c:pt>
                <c:pt idx="24">
                  <c:v>123.6297958</c:v>
                </c:pt>
                <c:pt idx="25">
                  <c:v>130.92322350000001</c:v>
                </c:pt>
                <c:pt idx="26">
                  <c:v>126.21229889999999</c:v>
                </c:pt>
                <c:pt idx="27">
                  <c:v>129.12778700000001</c:v>
                </c:pt>
                <c:pt idx="28">
                  <c:v>115.673114</c:v>
                </c:pt>
                <c:pt idx="29">
                  <c:v>129.12778700000001</c:v>
                </c:pt>
                <c:pt idx="30">
                  <c:v>124.3675379</c:v>
                </c:pt>
                <c:pt idx="31">
                  <c:v>114.5134446</c:v>
                </c:pt>
                <c:pt idx="32">
                  <c:v>124.3675379</c:v>
                </c:pt>
                <c:pt idx="33">
                  <c:v>113.3477233</c:v>
                </c:pt>
                <c:pt idx="34">
                  <c:v>114.1275401</c:v>
                </c:pt>
                <c:pt idx="35">
                  <c:v>120.2525852</c:v>
                </c:pt>
                <c:pt idx="36">
                  <c:v>114.8986831</c:v>
                </c:pt>
                <c:pt idx="37">
                  <c:v>114.1275401</c:v>
                </c:pt>
                <c:pt idx="38">
                  <c:v>112.9598134</c:v>
                </c:pt>
                <c:pt idx="39">
                  <c:v>114.1275401</c:v>
                </c:pt>
                <c:pt idx="40">
                  <c:v>113.74097140000001</c:v>
                </c:pt>
                <c:pt idx="41">
                  <c:v>114.1275401</c:v>
                </c:pt>
                <c:pt idx="42">
                  <c:v>107.0292163</c:v>
                </c:pt>
                <c:pt idx="43">
                  <c:v>112.9598134</c:v>
                </c:pt>
                <c:pt idx="44">
                  <c:v>110.9974619</c:v>
                </c:pt>
                <c:pt idx="45">
                  <c:v>107.8305381</c:v>
                </c:pt>
                <c:pt idx="46">
                  <c:v>109.0251016</c:v>
                </c:pt>
                <c:pt idx="47">
                  <c:v>115.2898797</c:v>
                </c:pt>
                <c:pt idx="48">
                  <c:v>104.61473460000001</c:v>
                </c:pt>
                <c:pt idx="49">
                  <c:v>110.9974619</c:v>
                </c:pt>
                <c:pt idx="50">
                  <c:v>103.80204430000001</c:v>
                </c:pt>
                <c:pt idx="51">
                  <c:v>109.0251016</c:v>
                </c:pt>
                <c:pt idx="52">
                  <c:v>109.8129265</c:v>
                </c:pt>
                <c:pt idx="53">
                  <c:v>111.0042136</c:v>
                </c:pt>
                <c:pt idx="54">
                  <c:v>112.9598134</c:v>
                </c:pt>
                <c:pt idx="55">
                  <c:v>109.0251016</c:v>
                </c:pt>
                <c:pt idx="56">
                  <c:v>107.8305381</c:v>
                </c:pt>
                <c:pt idx="57">
                  <c:v>122.1341827</c:v>
                </c:pt>
                <c:pt idx="58">
                  <c:v>105.42475589999999</c:v>
                </c:pt>
                <c:pt idx="59">
                  <c:v>109.8197124</c:v>
                </c:pt>
                <c:pt idx="60">
                  <c:v>99.304680700000006</c:v>
                </c:pt>
                <c:pt idx="61">
                  <c:v>98.474887140000007</c:v>
                </c:pt>
                <c:pt idx="62">
                  <c:v>109.0251016</c:v>
                </c:pt>
                <c:pt idx="63">
                  <c:v>107.0292163</c:v>
                </c:pt>
                <c:pt idx="64">
                  <c:v>101.7699069</c:v>
                </c:pt>
                <c:pt idx="65">
                  <c:v>104.61473460000001</c:v>
                </c:pt>
                <c:pt idx="66">
                  <c:v>107.0292163</c:v>
                </c:pt>
                <c:pt idx="67">
                  <c:v>98.055454810000001</c:v>
                </c:pt>
                <c:pt idx="68">
                  <c:v>100.5402337</c:v>
                </c:pt>
                <c:pt idx="69">
                  <c:v>101.7699069</c:v>
                </c:pt>
                <c:pt idx="70">
                  <c:v>96.808208239999999</c:v>
                </c:pt>
                <c:pt idx="71">
                  <c:v>103.3988808</c:v>
                </c:pt>
                <c:pt idx="72">
                  <c:v>103.3988808</c:v>
                </c:pt>
                <c:pt idx="73">
                  <c:v>105.0235411</c:v>
                </c:pt>
                <c:pt idx="74">
                  <c:v>104.61473460000001</c:v>
                </c:pt>
                <c:pt idx="75">
                  <c:v>94.720978599999995</c:v>
                </c:pt>
                <c:pt idx="76">
                  <c:v>95.138397370000007</c:v>
                </c:pt>
                <c:pt idx="77">
                  <c:v>99.304680700000006</c:v>
                </c:pt>
                <c:pt idx="78">
                  <c:v>95.138397370000007</c:v>
                </c:pt>
                <c:pt idx="79">
                  <c:v>100.5402337</c:v>
                </c:pt>
                <c:pt idx="80">
                  <c:v>107.0292163</c:v>
                </c:pt>
                <c:pt idx="81">
                  <c:v>87.058386479999996</c:v>
                </c:pt>
                <c:pt idx="82">
                  <c:v>97.229596529999995</c:v>
                </c:pt>
                <c:pt idx="83">
                  <c:v>85.762083380000007</c:v>
                </c:pt>
                <c:pt idx="84">
                  <c:v>91.338086169999997</c:v>
                </c:pt>
                <c:pt idx="85">
                  <c:v>90.484855949999996</c:v>
                </c:pt>
                <c:pt idx="86">
                  <c:v>89.635700749999998</c:v>
                </c:pt>
                <c:pt idx="87">
                  <c:v>98.474887140000007</c:v>
                </c:pt>
                <c:pt idx="88">
                  <c:v>93.877037450000003</c:v>
                </c:pt>
                <c:pt idx="89">
                  <c:v>95.977802339999997</c:v>
                </c:pt>
                <c:pt idx="90">
                  <c:v>95.138397370000007</c:v>
                </c:pt>
                <c:pt idx="91">
                  <c:v>97.229596529999995</c:v>
                </c:pt>
                <c:pt idx="92">
                  <c:v>95.138397370000007</c:v>
                </c:pt>
                <c:pt idx="93">
                  <c:v>98.474887140000007</c:v>
                </c:pt>
                <c:pt idx="94">
                  <c:v>90.915794009999999</c:v>
                </c:pt>
                <c:pt idx="95">
                  <c:v>101.3564556</c:v>
                </c:pt>
                <c:pt idx="96">
                  <c:v>95.977802339999997</c:v>
                </c:pt>
                <c:pt idx="97">
                  <c:v>101.3564556</c:v>
                </c:pt>
                <c:pt idx="98">
                  <c:v>89.635700749999998</c:v>
                </c:pt>
                <c:pt idx="99">
                  <c:v>99.714355679999997</c:v>
                </c:pt>
                <c:pt idx="100">
                  <c:v>86.192545629999998</c:v>
                </c:pt>
                <c:pt idx="101">
                  <c:v>100.5402337</c:v>
                </c:pt>
                <c:pt idx="102">
                  <c:v>93.877037450000003</c:v>
                </c:pt>
                <c:pt idx="103">
                  <c:v>95.145588619999998</c:v>
                </c:pt>
                <c:pt idx="104">
                  <c:v>100.9486689</c:v>
                </c:pt>
                <c:pt idx="105">
                  <c:v>94.302932269999999</c:v>
                </c:pt>
                <c:pt idx="106">
                  <c:v>100.5402337</c:v>
                </c:pt>
                <c:pt idx="107">
                  <c:v>98.474887140000007</c:v>
                </c:pt>
                <c:pt idx="108">
                  <c:v>102.5822131</c:v>
                </c:pt>
                <c:pt idx="109">
                  <c:v>101.7628931</c:v>
                </c:pt>
                <c:pt idx="110">
                  <c:v>93.031286489999999</c:v>
                </c:pt>
                <c:pt idx="111">
                  <c:v>99.297599469999994</c:v>
                </c:pt>
                <c:pt idx="112">
                  <c:v>106.2245245</c:v>
                </c:pt>
                <c:pt idx="113">
                  <c:v>100.9486689</c:v>
                </c:pt>
                <c:pt idx="114">
                  <c:v>105.0166174</c:v>
                </c:pt>
                <c:pt idx="115">
                  <c:v>106.2245245</c:v>
                </c:pt>
                <c:pt idx="116">
                  <c:v>102.9873886</c:v>
                </c:pt>
                <c:pt idx="117">
                  <c:v>98.474887140000007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5A-4A15-8143-2109423A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'time series'!$BU$3:$BU$120</c:f>
              <c:numCache>
                <c:formatCode>m/d/yyyy\ h:mm</c:formatCode>
                <c:ptCount val="118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  <c:pt idx="97">
                  <c:v>45051.520833333336</c:v>
                </c:pt>
                <c:pt idx="98">
                  <c:v>45051.53125</c:v>
                </c:pt>
                <c:pt idx="99">
                  <c:v>45051.541666666664</c:v>
                </c:pt>
                <c:pt idx="100">
                  <c:v>45051.552083333336</c:v>
                </c:pt>
                <c:pt idx="101">
                  <c:v>45051.5625</c:v>
                </c:pt>
                <c:pt idx="102">
                  <c:v>45051.572916666664</c:v>
                </c:pt>
                <c:pt idx="103">
                  <c:v>45051.583333333336</c:v>
                </c:pt>
                <c:pt idx="104">
                  <c:v>45051.59375</c:v>
                </c:pt>
                <c:pt idx="105">
                  <c:v>45051.604166666664</c:v>
                </c:pt>
                <c:pt idx="106">
                  <c:v>45051.614583333336</c:v>
                </c:pt>
                <c:pt idx="107">
                  <c:v>45051.625</c:v>
                </c:pt>
                <c:pt idx="108">
                  <c:v>45051.635416666664</c:v>
                </c:pt>
                <c:pt idx="109">
                  <c:v>45051.645833333336</c:v>
                </c:pt>
                <c:pt idx="110">
                  <c:v>45051.65625</c:v>
                </c:pt>
                <c:pt idx="111">
                  <c:v>45051.666666666664</c:v>
                </c:pt>
                <c:pt idx="112">
                  <c:v>45051.677083333336</c:v>
                </c:pt>
                <c:pt idx="113">
                  <c:v>45051.6875</c:v>
                </c:pt>
                <c:pt idx="114">
                  <c:v>45051.697916666664</c:v>
                </c:pt>
                <c:pt idx="115">
                  <c:v>45051.708333333336</c:v>
                </c:pt>
                <c:pt idx="116">
                  <c:v>45051.71875</c:v>
                </c:pt>
                <c:pt idx="117">
                  <c:v>45051.729166666664</c:v>
                </c:pt>
              </c:numCache>
            </c:numRef>
          </c:xVal>
          <c:yVal>
            <c:numRef>
              <c:f>'time series'!$CA$3:$CA$120</c:f>
              <c:numCache>
                <c:formatCode>0.000</c:formatCode>
                <c:ptCount val="118"/>
                <c:pt idx="0">
                  <c:v>90.571966624080133</c:v>
                </c:pt>
                <c:pt idx="1">
                  <c:v>97.880659249697544</c:v>
                </c:pt>
                <c:pt idx="2">
                  <c:v>91.64036085817429</c:v>
                </c:pt>
                <c:pt idx="3">
                  <c:v>92.540276268151132</c:v>
                </c:pt>
                <c:pt idx="4">
                  <c:v>93.998195275073385</c:v>
                </c:pt>
                <c:pt idx="5">
                  <c:v>90.999790681567461</c:v>
                </c:pt>
                <c:pt idx="6">
                  <c:v>92.151979388979882</c:v>
                </c:pt>
                <c:pt idx="7">
                  <c:v>91.698727955316642</c:v>
                </c:pt>
                <c:pt idx="8">
                  <c:v>89.529896267971509</c:v>
                </c:pt>
                <c:pt idx="9">
                  <c:v>92.456248594811271</c:v>
                </c:pt>
                <c:pt idx="10">
                  <c:v>91.243422981009516</c:v>
                </c:pt>
                <c:pt idx="11">
                  <c:v>89.45091732537901</c:v>
                </c:pt>
                <c:pt idx="12">
                  <c:v>90.830744619970289</c:v>
                </c:pt>
                <c:pt idx="13">
                  <c:v>91.379231172516413</c:v>
                </c:pt>
                <c:pt idx="14">
                  <c:v>89.462011409702811</c:v>
                </c:pt>
                <c:pt idx="15">
                  <c:v>91.587445031301101</c:v>
                </c:pt>
                <c:pt idx="16">
                  <c:v>88.144440596080628</c:v>
                </c:pt>
                <c:pt idx="17">
                  <c:v>90.528655761461692</c:v>
                </c:pt>
                <c:pt idx="18">
                  <c:v>88.854272881494097</c:v>
                </c:pt>
                <c:pt idx="19">
                  <c:v>95.723654903072273</c:v>
                </c:pt>
                <c:pt idx="20">
                  <c:v>91.450742086367043</c:v>
                </c:pt>
                <c:pt idx="21">
                  <c:v>90.477692281217742</c:v>
                </c:pt>
                <c:pt idx="22">
                  <c:v>91.403990769948379</c:v>
                </c:pt>
                <c:pt idx="23">
                  <c:v>92.398335523246857</c:v>
                </c:pt>
                <c:pt idx="24">
                  <c:v>88.889091060108953</c:v>
                </c:pt>
                <c:pt idx="25">
                  <c:v>86.376301085233735</c:v>
                </c:pt>
                <c:pt idx="26">
                  <c:v>92.01739074775621</c:v>
                </c:pt>
                <c:pt idx="27">
                  <c:v>88.427049316954836</c:v>
                </c:pt>
                <c:pt idx="28">
                  <c:v>90.571410772429346</c:v>
                </c:pt>
                <c:pt idx="29">
                  <c:v>91.51804292328832</c:v>
                </c:pt>
                <c:pt idx="30">
                  <c:v>95.642265602762691</c:v>
                </c:pt>
                <c:pt idx="31">
                  <c:v>94.138540866410821</c:v>
                </c:pt>
                <c:pt idx="32">
                  <c:v>92.241396612746883</c:v>
                </c:pt>
                <c:pt idx="33">
                  <c:v>95.186196533147893</c:v>
                </c:pt>
                <c:pt idx="34">
                  <c:v>90.859626091240912</c:v>
                </c:pt>
                <c:pt idx="35">
                  <c:v>87.935647120621866</c:v>
                </c:pt>
                <c:pt idx="36">
                  <c:v>90.304347094054023</c:v>
                </c:pt>
                <c:pt idx="37">
                  <c:v>93.042798337528467</c:v>
                </c:pt>
                <c:pt idx="38">
                  <c:v>92.491543564485895</c:v>
                </c:pt>
                <c:pt idx="39">
                  <c:v>88.467290071766357</c:v>
                </c:pt>
                <c:pt idx="40">
                  <c:v>93.013325496445361</c:v>
                </c:pt>
                <c:pt idx="41">
                  <c:v>89.709659716083408</c:v>
                </c:pt>
                <c:pt idx="42">
                  <c:v>90.998330165609516</c:v>
                </c:pt>
                <c:pt idx="43">
                  <c:v>92.09308581435441</c:v>
                </c:pt>
                <c:pt idx="44">
                  <c:v>92.144554997418936</c:v>
                </c:pt>
                <c:pt idx="45">
                  <c:v>89.872361534852587</c:v>
                </c:pt>
                <c:pt idx="46">
                  <c:v>94.300166620277253</c:v>
                </c:pt>
                <c:pt idx="47">
                  <c:v>92.865724924964567</c:v>
                </c:pt>
                <c:pt idx="48">
                  <c:v>95.672442518428866</c:v>
                </c:pt>
                <c:pt idx="49">
                  <c:v>88.310222285266121</c:v>
                </c:pt>
                <c:pt idx="50">
                  <c:v>89.189142578424537</c:v>
                </c:pt>
                <c:pt idx="51">
                  <c:v>91.685244261298976</c:v>
                </c:pt>
                <c:pt idx="52">
                  <c:v>89.937152426769686</c:v>
                </c:pt>
                <c:pt idx="53">
                  <c:v>91.983962136406006</c:v>
                </c:pt>
                <c:pt idx="54">
                  <c:v>93.365712669876572</c:v>
                </c:pt>
                <c:pt idx="55">
                  <c:v>90.864512726148405</c:v>
                </c:pt>
                <c:pt idx="56">
                  <c:v>91.898519219011916</c:v>
                </c:pt>
                <c:pt idx="57">
                  <c:v>94.717466433600109</c:v>
                </c:pt>
                <c:pt idx="58">
                  <c:v>92.086876467994969</c:v>
                </c:pt>
                <c:pt idx="59">
                  <c:v>92.737438741561135</c:v>
                </c:pt>
                <c:pt idx="60">
                  <c:v>94.067532064514893</c:v>
                </c:pt>
                <c:pt idx="61">
                  <c:v>89.938927080289218</c:v>
                </c:pt>
                <c:pt idx="62">
                  <c:v>90.504280063681136</c:v>
                </c:pt>
                <c:pt idx="63">
                  <c:v>96.570600212764106</c:v>
                </c:pt>
                <c:pt idx="64">
                  <c:v>89.103080911235722</c:v>
                </c:pt>
                <c:pt idx="65">
                  <c:v>94.667319827379231</c:v>
                </c:pt>
                <c:pt idx="66">
                  <c:v>88.94283680685696</c:v>
                </c:pt>
                <c:pt idx="67">
                  <c:v>88.37475898204616</c:v>
                </c:pt>
                <c:pt idx="68">
                  <c:v>92.331441083147766</c:v>
                </c:pt>
                <c:pt idx="69">
                  <c:v>94.968793118970709</c:v>
                </c:pt>
                <c:pt idx="70">
                  <c:v>91.752943890695192</c:v>
                </c:pt>
                <c:pt idx="71">
                  <c:v>92.068869006679719</c:v>
                </c:pt>
                <c:pt idx="72">
                  <c:v>90.648258877612705</c:v>
                </c:pt>
                <c:pt idx="73">
                  <c:v>91.596693336624867</c:v>
                </c:pt>
                <c:pt idx="74">
                  <c:v>92.132333702217664</c:v>
                </c:pt>
                <c:pt idx="75">
                  <c:v>90.369213034180092</c:v>
                </c:pt>
                <c:pt idx="76">
                  <c:v>93.105799087843891</c:v>
                </c:pt>
                <c:pt idx="77">
                  <c:v>94.763493912601461</c:v>
                </c:pt>
                <c:pt idx="78">
                  <c:v>93.292521306352398</c:v>
                </c:pt>
                <c:pt idx="79">
                  <c:v>98.244491373540129</c:v>
                </c:pt>
                <c:pt idx="80">
                  <c:v>100.48581784079515</c:v>
                </c:pt>
                <c:pt idx="81">
                  <c:v>98.101698114581566</c:v>
                </c:pt>
                <c:pt idx="82">
                  <c:v>94.412949730629705</c:v>
                </c:pt>
                <c:pt idx="83">
                  <c:v>95.909685276681742</c:v>
                </c:pt>
                <c:pt idx="84">
                  <c:v>98.59563437148374</c:v>
                </c:pt>
                <c:pt idx="85">
                  <c:v>100.7429093206339</c:v>
                </c:pt>
                <c:pt idx="86">
                  <c:v>92.302480389177589</c:v>
                </c:pt>
                <c:pt idx="87">
                  <c:v>93.844036952069828</c:v>
                </c:pt>
                <c:pt idx="88">
                  <c:v>98.802043522025343</c:v>
                </c:pt>
                <c:pt idx="89">
                  <c:v>91.969525388156953</c:v>
                </c:pt>
                <c:pt idx="90">
                  <c:v>93.839354383232575</c:v>
                </c:pt>
                <c:pt idx="91">
                  <c:v>95.26381323322326</c:v>
                </c:pt>
                <c:pt idx="92">
                  <c:v>89.504682601837686</c:v>
                </c:pt>
                <c:pt idx="93">
                  <c:v>93.853408017893173</c:v>
                </c:pt>
                <c:pt idx="94">
                  <c:v>98.067651810767472</c:v>
                </c:pt>
                <c:pt idx="95">
                  <c:v>95.688597969416961</c:v>
                </c:pt>
                <c:pt idx="96">
                  <c:v>103.02241841356445</c:v>
                </c:pt>
                <c:pt idx="97">
                  <c:v>96.891969528525919</c:v>
                </c:pt>
                <c:pt idx="98">
                  <c:v>94.430206681554665</c:v>
                </c:pt>
                <c:pt idx="99">
                  <c:v>90.027221368255411</c:v>
                </c:pt>
                <c:pt idx="100">
                  <c:v>90.701889658746708</c:v>
                </c:pt>
                <c:pt idx="101">
                  <c:v>94.323098662623849</c:v>
                </c:pt>
                <c:pt idx="102">
                  <c:v>91.652409747644924</c:v>
                </c:pt>
                <c:pt idx="103">
                  <c:v>90.848346252519647</c:v>
                </c:pt>
                <c:pt idx="104">
                  <c:v>89.267297574637794</c:v>
                </c:pt>
                <c:pt idx="105">
                  <c:v>94.465272140632621</c:v>
                </c:pt>
                <c:pt idx="106">
                  <c:v>93.603034769550433</c:v>
                </c:pt>
                <c:pt idx="107">
                  <c:v>96.057525729159664</c:v>
                </c:pt>
                <c:pt idx="108">
                  <c:v>92.399687369307429</c:v>
                </c:pt>
                <c:pt idx="109">
                  <c:v>93.74413787365657</c:v>
                </c:pt>
                <c:pt idx="110">
                  <c:v>89.265320502678847</c:v>
                </c:pt>
                <c:pt idx="111">
                  <c:v>91.422403775360976</c:v>
                </c:pt>
                <c:pt idx="112">
                  <c:v>93.45601585593019</c:v>
                </c:pt>
                <c:pt idx="113">
                  <c:v>90.431144002205158</c:v>
                </c:pt>
                <c:pt idx="114">
                  <c:v>94.928171638108026</c:v>
                </c:pt>
                <c:pt idx="115">
                  <c:v>91.738164541057742</c:v>
                </c:pt>
                <c:pt idx="116">
                  <c:v>94.976341408145316</c:v>
                </c:pt>
                <c:pt idx="117">
                  <c:v>91.724383317280882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A-4A15-8143-2109423A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609601</xdr:colOff>
      <xdr:row>95</xdr:row>
      <xdr:rowOff>104775</xdr:rowOff>
    </xdr:from>
    <xdr:to>
      <xdr:col>6</xdr:col>
      <xdr:colOff>333376</xdr:colOff>
      <xdr:row>109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6AD8-C40F-46E9-A393-AB7FB675E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99</xdr:row>
      <xdr:rowOff>133350</xdr:rowOff>
    </xdr:from>
    <xdr:to>
      <xdr:col>14</xdr:col>
      <xdr:colOff>323850</xdr:colOff>
      <xdr:row>114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604F9-27EF-45F7-9D66-A99F60FA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1074964</xdr:colOff>
      <xdr:row>100</xdr:row>
      <xdr:rowOff>149679</xdr:rowOff>
    </xdr:from>
    <xdr:to>
      <xdr:col>22</xdr:col>
      <xdr:colOff>464003</xdr:colOff>
      <xdr:row>115</xdr:row>
      <xdr:rowOff>35379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00C00-C0B6-4E9A-9818-119E5CA9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261935</xdr:colOff>
      <xdr:row>101</xdr:row>
      <xdr:rowOff>27954</xdr:rowOff>
    </xdr:from>
    <xdr:to>
      <xdr:col>30</xdr:col>
      <xdr:colOff>281643</xdr:colOff>
      <xdr:row>115</xdr:row>
      <xdr:rowOff>104154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8B9EE-B402-42C0-8AC0-3DDB4E78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748393</xdr:colOff>
      <xdr:row>100</xdr:row>
      <xdr:rowOff>163286</xdr:rowOff>
    </xdr:from>
    <xdr:to>
      <xdr:col>38</xdr:col>
      <xdr:colOff>74137</xdr:colOff>
      <xdr:row>115</xdr:row>
      <xdr:rowOff>48986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8ABBAE-A576-44A4-98CF-3758E71A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557893</xdr:colOff>
      <xdr:row>100</xdr:row>
      <xdr:rowOff>108857</xdr:rowOff>
    </xdr:from>
    <xdr:to>
      <xdr:col>45</xdr:col>
      <xdr:colOff>944993</xdr:colOff>
      <xdr:row>114</xdr:row>
      <xdr:rowOff>185057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D75F-C5D1-43F5-9C7B-701EA2A4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217714</xdr:colOff>
      <xdr:row>88</xdr:row>
      <xdr:rowOff>108857</xdr:rowOff>
    </xdr:from>
    <xdr:to>
      <xdr:col>53</xdr:col>
      <xdr:colOff>890564</xdr:colOff>
      <xdr:row>102</xdr:row>
      <xdr:rowOff>185057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C90D53-CAD7-472F-8E19-3ECDBB5A5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55</xdr:col>
      <xdr:colOff>281608</xdr:colOff>
      <xdr:row>156</xdr:row>
      <xdr:rowOff>120863</xdr:rowOff>
    </xdr:from>
    <xdr:to>
      <xdr:col>64</xdr:col>
      <xdr:colOff>289891</xdr:colOff>
      <xdr:row>172</xdr:row>
      <xdr:rowOff>66260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4A3041-E1CB-4DCA-BDB0-1ED076B5E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332102</xdr:colOff>
      <xdr:row>124</xdr:row>
      <xdr:rowOff>116135</xdr:rowOff>
    </xdr:from>
    <xdr:to>
      <xdr:col>70</xdr:col>
      <xdr:colOff>791543</xdr:colOff>
      <xdr:row>139</xdr:row>
      <xdr:rowOff>1835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1BDEE8-330E-49E9-B720-A98405922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72</xdr:col>
      <xdr:colOff>358588</xdr:colOff>
      <xdr:row>124</xdr:row>
      <xdr:rowOff>179294</xdr:rowOff>
    </xdr:from>
    <xdr:to>
      <xdr:col>78</xdr:col>
      <xdr:colOff>840441</xdr:colOff>
      <xdr:row>139</xdr:row>
      <xdr:rowOff>64994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1F0FA62-F408-4F77-A6F8-613484A61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1"/>
  <sheetViews>
    <sheetView workbookViewId="0">
      <selection activeCell="A32" sqref="A32"/>
    </sheetView>
  </sheetViews>
  <sheetFormatPr defaultRowHeight="15" x14ac:dyDescent="0.25"/>
  <cols>
    <col min="1" max="1" width="17.42578125" customWidth="1"/>
    <col min="3" max="3" width="14.42578125" customWidth="1"/>
    <col min="5" max="5" width="15.140625" customWidth="1"/>
    <col min="7" max="7" width="13" customWidth="1"/>
    <col min="9" max="9" width="13.42578125" customWidth="1"/>
    <col min="11" max="11" width="12.85546875" customWidth="1"/>
    <col min="12" max="12" width="9.5703125" bestFit="1" customWidth="1"/>
    <col min="13" max="13" width="11.85546875" customWidth="1"/>
    <col min="14" max="14" width="11.5703125" bestFit="1" customWidth="1"/>
    <col min="15" max="15" width="12.5703125" customWidth="1"/>
    <col min="16" max="16" width="11.5703125" bestFit="1" customWidth="1"/>
    <col min="17" max="17" width="12.5703125" customWidth="1"/>
    <col min="18" max="18" width="11.5703125" bestFit="1" customWidth="1"/>
    <col min="19" max="19" width="14.42578125" customWidth="1"/>
    <col min="20" max="20" width="11.5703125" bestFit="1" customWidth="1"/>
    <col min="21" max="21" width="15.140625" customWidth="1"/>
  </cols>
  <sheetData>
    <row r="2" spans="1:21" x14ac:dyDescent="0.25">
      <c r="B2" s="108" t="s">
        <v>29</v>
      </c>
      <c r="C2" s="108"/>
      <c r="D2" s="109" t="s">
        <v>36</v>
      </c>
      <c r="E2" s="109"/>
      <c r="F2" s="110" t="s">
        <v>37</v>
      </c>
      <c r="G2" s="110"/>
      <c r="H2" s="111" t="s">
        <v>38</v>
      </c>
      <c r="I2" s="111"/>
      <c r="J2" s="112" t="s">
        <v>39</v>
      </c>
      <c r="K2" s="112"/>
      <c r="L2" s="113" t="s">
        <v>40</v>
      </c>
      <c r="M2" s="113"/>
      <c r="N2" s="114" t="s">
        <v>44</v>
      </c>
      <c r="O2" s="114"/>
      <c r="P2" s="115" t="s">
        <v>45</v>
      </c>
      <c r="Q2" s="115"/>
      <c r="R2" s="116" t="s">
        <v>46</v>
      </c>
      <c r="S2" s="116"/>
      <c r="T2" s="108" t="s">
        <v>47</v>
      </c>
      <c r="U2" s="108"/>
    </row>
    <row r="3" spans="1:21" x14ac:dyDescent="0.25">
      <c r="A3" s="2" t="s">
        <v>0</v>
      </c>
      <c r="B3" s="21">
        <v>2.7100659833378001E-2</v>
      </c>
      <c r="C3" s="20">
        <v>44776.625694444447</v>
      </c>
      <c r="D3" s="58">
        <v>1.03130225848837E-2</v>
      </c>
      <c r="E3" s="117">
        <v>44781.625694444447</v>
      </c>
      <c r="F3" s="57">
        <v>3.3894640450781402E-2</v>
      </c>
      <c r="G3" s="34">
        <v>45136.65625</v>
      </c>
      <c r="H3" s="41">
        <v>1.4897205278113701E-2</v>
      </c>
      <c r="I3" s="42">
        <v>0.77083333333333337</v>
      </c>
      <c r="J3" s="60">
        <v>5.6741231058604902E-2</v>
      </c>
      <c r="K3" s="61">
        <v>45166.510416666664</v>
      </c>
      <c r="L3" s="63">
        <v>0.12148791730821901</v>
      </c>
      <c r="M3" s="64">
        <v>45183.75</v>
      </c>
      <c r="N3" s="97">
        <v>5.38596691217735E-2</v>
      </c>
      <c r="O3" s="98">
        <v>45046.78125</v>
      </c>
      <c r="P3" s="100">
        <v>6.4025860322733205E-2</v>
      </c>
      <c r="Q3" s="101">
        <v>45048</v>
      </c>
      <c r="R3" s="103">
        <v>0.12891581735454399</v>
      </c>
      <c r="S3" s="104">
        <v>45050.416666666664</v>
      </c>
      <c r="T3" s="106">
        <v>0.292537961978307</v>
      </c>
      <c r="U3" s="20">
        <v>45051.739583333336</v>
      </c>
    </row>
    <row r="4" spans="1:21" x14ac:dyDescent="0.25">
      <c r="A4" s="2" t="s">
        <v>1</v>
      </c>
      <c r="B4" s="21">
        <v>1.73415591077304E-2</v>
      </c>
      <c r="C4" s="20">
        <v>44776.625694444447</v>
      </c>
      <c r="D4" s="58">
        <v>7.7748894996124401E-3</v>
      </c>
      <c r="E4" s="117">
        <v>44781.625694444447</v>
      </c>
      <c r="F4" s="57">
        <v>2.45471667611072E-2</v>
      </c>
      <c r="G4" s="34">
        <v>45136.65625</v>
      </c>
      <c r="H4" s="41">
        <v>8.0441004530797805E-3</v>
      </c>
      <c r="I4" s="42">
        <v>0.77083333333333337</v>
      </c>
      <c r="J4" s="60">
        <v>3.5270738108725101E-2</v>
      </c>
      <c r="K4" s="61">
        <v>45166.510416666664</v>
      </c>
      <c r="L4" s="63">
        <v>6.33040571897725E-2</v>
      </c>
      <c r="M4" s="64">
        <v>45183.75</v>
      </c>
      <c r="N4" s="97">
        <v>3.8845723186713102E-2</v>
      </c>
      <c r="O4" s="98">
        <v>45046.989583333336</v>
      </c>
      <c r="P4" s="100">
        <v>5.04171385185469E-2</v>
      </c>
      <c r="Q4" s="101">
        <v>45047.9375</v>
      </c>
      <c r="R4" s="103">
        <v>8.2414030105865899E-2</v>
      </c>
      <c r="S4" s="104">
        <v>45049.697916666664</v>
      </c>
      <c r="T4" s="106">
        <v>9.2214903469473294E-2</v>
      </c>
      <c r="U4" s="20">
        <v>45051.739583333336</v>
      </c>
    </row>
    <row r="5" spans="1:21" x14ac:dyDescent="0.25">
      <c r="A5" s="2" t="s">
        <v>2</v>
      </c>
      <c r="B5" s="21">
        <v>1.75334302078048E-2</v>
      </c>
      <c r="C5" s="20">
        <v>44776.625694444447</v>
      </c>
      <c r="D5" s="58">
        <v>7.6956360133416798E-3</v>
      </c>
      <c r="E5" s="117">
        <v>44781.625694444447</v>
      </c>
      <c r="F5" s="57">
        <v>2.45122321428459E-2</v>
      </c>
      <c r="G5" s="34">
        <v>45136.65625</v>
      </c>
      <c r="H5" s="41">
        <v>8.0763578503031796E-3</v>
      </c>
      <c r="I5" s="42">
        <v>0.77083333333333337</v>
      </c>
      <c r="J5" s="60">
        <v>3.4439974703429702E-2</v>
      </c>
      <c r="K5" s="61">
        <v>45166.510416666664</v>
      </c>
      <c r="L5" s="63">
        <v>5.8734947455230002E-2</v>
      </c>
      <c r="M5" s="64">
        <v>45183.75</v>
      </c>
      <c r="N5" s="97">
        <v>3.8631953422046103E-2</v>
      </c>
      <c r="O5" s="98">
        <v>45047.010416666664</v>
      </c>
      <c r="P5" s="100">
        <v>5.0081186486448499E-2</v>
      </c>
      <c r="Q5" s="101">
        <v>45047.958333333336</v>
      </c>
      <c r="R5" s="103">
        <v>8.1453207701218902E-2</v>
      </c>
      <c r="S5" s="104">
        <v>45049.802083333336</v>
      </c>
      <c r="T5" s="106">
        <v>8.4068406777156698E-2</v>
      </c>
      <c r="U5" s="20">
        <v>45051.520833333336</v>
      </c>
    </row>
    <row r="6" spans="1:21" x14ac:dyDescent="0.25">
      <c r="A6" s="2" t="s">
        <v>3</v>
      </c>
      <c r="B6" s="9">
        <v>0</v>
      </c>
      <c r="C6" s="20">
        <v>44776.000694444447</v>
      </c>
      <c r="D6" s="59">
        <v>0</v>
      </c>
      <c r="E6" s="117">
        <v>44781.000694444447</v>
      </c>
      <c r="F6" s="33">
        <v>0</v>
      </c>
      <c r="G6" s="34">
        <v>45136</v>
      </c>
      <c r="H6" s="43">
        <v>0</v>
      </c>
      <c r="I6" s="44">
        <v>0</v>
      </c>
      <c r="J6" s="62">
        <v>1</v>
      </c>
      <c r="K6" s="61">
        <v>45166.510416666664</v>
      </c>
      <c r="L6" s="65">
        <v>2</v>
      </c>
      <c r="M6" s="64">
        <v>45183.75</v>
      </c>
      <c r="N6" s="99">
        <v>0</v>
      </c>
      <c r="O6" s="98">
        <v>45046</v>
      </c>
      <c r="P6" s="102">
        <v>0</v>
      </c>
      <c r="Q6" s="101">
        <v>45047.208333333336</v>
      </c>
      <c r="R6" s="105">
        <v>9</v>
      </c>
      <c r="S6" s="104">
        <v>45049.6875</v>
      </c>
      <c r="T6" s="107">
        <v>31</v>
      </c>
      <c r="U6" s="20">
        <v>45051.739583333336</v>
      </c>
    </row>
    <row r="7" spans="1:21" x14ac:dyDescent="0.25">
      <c r="A7" s="2" t="s">
        <v>4</v>
      </c>
      <c r="B7" s="9">
        <v>11</v>
      </c>
      <c r="C7" s="20">
        <v>44776.625694444447</v>
      </c>
      <c r="D7" s="59">
        <v>0</v>
      </c>
      <c r="E7" s="117">
        <v>44781.000694444447</v>
      </c>
      <c r="F7" s="33">
        <v>2</v>
      </c>
      <c r="G7" s="34">
        <v>45136.666666666664</v>
      </c>
      <c r="H7" s="43">
        <v>0</v>
      </c>
      <c r="I7" s="44">
        <v>0</v>
      </c>
      <c r="J7" s="62">
        <v>28</v>
      </c>
      <c r="K7" s="61">
        <v>45166.510416666664</v>
      </c>
      <c r="L7" s="65">
        <v>126</v>
      </c>
      <c r="M7" s="64">
        <v>45183.75</v>
      </c>
      <c r="N7" s="99">
        <v>4</v>
      </c>
      <c r="O7" s="98">
        <v>45046.78125</v>
      </c>
      <c r="P7" s="102">
        <v>3</v>
      </c>
      <c r="Q7" s="101">
        <v>45047.958333333336</v>
      </c>
      <c r="R7" s="105">
        <v>89</v>
      </c>
      <c r="S7" s="104">
        <v>45049.6875</v>
      </c>
      <c r="T7" s="107">
        <v>212</v>
      </c>
      <c r="U7" s="20">
        <v>45051.739583333336</v>
      </c>
    </row>
    <row r="8" spans="1:21" x14ac:dyDescent="0.25">
      <c r="A8" s="2" t="s">
        <v>5</v>
      </c>
      <c r="B8" s="9">
        <v>199</v>
      </c>
      <c r="C8" s="20">
        <v>44776.625694444447</v>
      </c>
      <c r="D8" s="59">
        <v>3</v>
      </c>
      <c r="E8" s="117">
        <v>44781.698611111111</v>
      </c>
      <c r="F8" s="33">
        <v>117</v>
      </c>
      <c r="G8" s="34">
        <v>45136.65625</v>
      </c>
      <c r="H8" s="43">
        <v>36</v>
      </c>
      <c r="I8" s="44">
        <v>0.28125</v>
      </c>
      <c r="J8" s="62">
        <v>646</v>
      </c>
      <c r="K8" s="61">
        <v>45166.510416666664</v>
      </c>
      <c r="L8" s="65">
        <v>2055</v>
      </c>
      <c r="M8" s="64">
        <v>45183.75</v>
      </c>
      <c r="N8" s="99">
        <v>372</v>
      </c>
      <c r="O8" s="98">
        <v>45046.989583333336</v>
      </c>
      <c r="P8" s="102">
        <v>1279</v>
      </c>
      <c r="Q8" s="101">
        <v>45047.9375</v>
      </c>
      <c r="R8" s="105">
        <v>5469</v>
      </c>
      <c r="S8" s="104">
        <v>45049.697916666664</v>
      </c>
      <c r="T8" s="107">
        <v>6269</v>
      </c>
      <c r="U8" s="20">
        <v>45051.739583333336</v>
      </c>
    </row>
    <row r="9" spans="1:21" x14ac:dyDescent="0.25">
      <c r="A9" s="2" t="s">
        <v>6</v>
      </c>
      <c r="B9" s="9">
        <v>2627</v>
      </c>
      <c r="C9" s="20">
        <v>44776.625694444447</v>
      </c>
      <c r="D9" s="59">
        <v>336</v>
      </c>
      <c r="E9" s="117">
        <v>44781.625694444447</v>
      </c>
      <c r="F9" s="33">
        <v>4935</v>
      </c>
      <c r="G9" s="34">
        <v>45136.65625</v>
      </c>
      <c r="H9" s="43">
        <v>461</v>
      </c>
      <c r="I9" s="42">
        <v>0.77083333333333337</v>
      </c>
      <c r="J9" s="62">
        <v>7213</v>
      </c>
      <c r="K9" s="61">
        <v>45166.510416666664</v>
      </c>
      <c r="L9" s="65">
        <v>9680</v>
      </c>
      <c r="M9" s="64">
        <v>45183.75</v>
      </c>
      <c r="N9" s="99">
        <v>13877</v>
      </c>
      <c r="O9" s="98">
        <v>45046.9375</v>
      </c>
      <c r="P9" s="102">
        <v>14146</v>
      </c>
      <c r="Q9" s="101">
        <v>45047.90625</v>
      </c>
      <c r="R9" s="105">
        <v>14285</v>
      </c>
      <c r="S9" s="104">
        <v>45049.65625</v>
      </c>
      <c r="T9" s="107">
        <v>13485</v>
      </c>
      <c r="U9" s="20">
        <v>45051.552083333336</v>
      </c>
    </row>
    <row r="10" spans="1:21" x14ac:dyDescent="0.25">
      <c r="A10" s="2" t="s">
        <v>7</v>
      </c>
      <c r="B10" s="9">
        <v>11852</v>
      </c>
      <c r="C10" s="20">
        <v>44776.636111111111</v>
      </c>
      <c r="D10" s="59">
        <v>11744</v>
      </c>
      <c r="E10" s="117">
        <v>44781.625694444447</v>
      </c>
      <c r="F10" s="33">
        <v>10289</v>
      </c>
      <c r="G10" s="34">
        <v>45136.625</v>
      </c>
      <c r="H10" s="43">
        <v>6670</v>
      </c>
      <c r="I10" s="42">
        <v>0.77083333333333337</v>
      </c>
      <c r="J10" s="62">
        <v>10382</v>
      </c>
      <c r="K10" s="61">
        <v>45166.520833333336</v>
      </c>
      <c r="L10" s="65">
        <v>9147</v>
      </c>
      <c r="M10" s="64">
        <v>45183.614583333336</v>
      </c>
      <c r="N10" s="99">
        <v>8663</v>
      </c>
      <c r="O10" s="98">
        <v>45046.635416666664</v>
      </c>
      <c r="P10" s="102">
        <v>8779</v>
      </c>
      <c r="Q10" s="101">
        <v>45047.458333333336</v>
      </c>
      <c r="R10" s="105">
        <v>11303</v>
      </c>
      <c r="S10" s="104">
        <v>45049.479166666664</v>
      </c>
      <c r="T10" s="107">
        <v>4862</v>
      </c>
      <c r="U10" s="20">
        <v>45050.947916666664</v>
      </c>
    </row>
    <row r="11" spans="1:21" x14ac:dyDescent="0.25">
      <c r="A11" s="2" t="s">
        <v>8</v>
      </c>
      <c r="B11" s="9">
        <v>15119</v>
      </c>
      <c r="C11" s="20">
        <v>44776.802777777775</v>
      </c>
      <c r="D11" s="59">
        <v>15383</v>
      </c>
      <c r="E11" s="117">
        <v>44781.584027777775</v>
      </c>
      <c r="F11" s="33">
        <v>10588</v>
      </c>
      <c r="G11" s="34">
        <v>45136.229166666664</v>
      </c>
      <c r="H11" s="43">
        <v>10150</v>
      </c>
      <c r="I11" s="42">
        <v>0.77083333333333337</v>
      </c>
      <c r="J11" s="62">
        <v>8381</v>
      </c>
      <c r="K11" s="61">
        <v>45166.5</v>
      </c>
      <c r="L11" s="65">
        <v>9270</v>
      </c>
      <c r="M11" s="64">
        <v>45183.229166666664</v>
      </c>
      <c r="N11" s="99">
        <v>2368</v>
      </c>
      <c r="O11" s="98">
        <v>45046.333333333336</v>
      </c>
      <c r="P11" s="102">
        <v>2518</v>
      </c>
      <c r="Q11" s="101">
        <v>45047.489583333336</v>
      </c>
      <c r="R11" s="105">
        <v>3150</v>
      </c>
      <c r="S11" s="104">
        <v>45049.416666666664</v>
      </c>
      <c r="T11" s="107">
        <v>1228</v>
      </c>
      <c r="U11" s="20">
        <v>45050.947916666664</v>
      </c>
    </row>
    <row r="12" spans="1:21" x14ac:dyDescent="0.25">
      <c r="A12" s="2" t="s">
        <v>9</v>
      </c>
      <c r="B12" s="9">
        <v>0</v>
      </c>
      <c r="C12" s="20">
        <v>44776.000694444447</v>
      </c>
      <c r="D12" s="59">
        <v>0</v>
      </c>
      <c r="E12" s="117">
        <v>44781.000694444447</v>
      </c>
      <c r="F12" s="33">
        <v>0</v>
      </c>
      <c r="G12" s="34">
        <v>45136</v>
      </c>
      <c r="H12" s="43">
        <v>0</v>
      </c>
      <c r="I12" s="44">
        <v>0</v>
      </c>
      <c r="J12" s="60">
        <v>4.4300089970899799E-2</v>
      </c>
      <c r="K12" s="61">
        <v>45166.510416666664</v>
      </c>
      <c r="L12" s="63">
        <v>7.8997664635741496E-2</v>
      </c>
      <c r="M12" s="64">
        <v>45183.739583333336</v>
      </c>
      <c r="N12" s="97">
        <v>0</v>
      </c>
      <c r="O12" s="98">
        <v>45046</v>
      </c>
      <c r="P12" s="100">
        <v>0</v>
      </c>
      <c r="Q12" s="101">
        <v>45047.208333333336</v>
      </c>
      <c r="R12" s="103">
        <v>9.0958011128018296E-2</v>
      </c>
      <c r="S12" s="104">
        <v>45049.791666666664</v>
      </c>
      <c r="T12" s="106">
        <v>0.292537961978307</v>
      </c>
      <c r="U12" s="20">
        <v>45051.739583333336</v>
      </c>
    </row>
    <row r="13" spans="1:21" x14ac:dyDescent="0.25">
      <c r="A13" s="2" t="s">
        <v>10</v>
      </c>
      <c r="B13" s="9">
        <v>0</v>
      </c>
      <c r="C13" s="20">
        <v>44776.000694444447</v>
      </c>
      <c r="D13" s="59">
        <v>0</v>
      </c>
      <c r="E13" s="117">
        <v>44781.000694444447</v>
      </c>
      <c r="F13" s="33">
        <v>0</v>
      </c>
      <c r="G13" s="34">
        <v>45136</v>
      </c>
      <c r="H13" s="43">
        <v>0</v>
      </c>
      <c r="I13" s="44">
        <v>0</v>
      </c>
      <c r="J13" s="60">
        <v>4.4300089970899799E-2</v>
      </c>
      <c r="K13" s="61">
        <v>45166.510416666664</v>
      </c>
      <c r="L13" s="63">
        <v>7.8997664635741496E-2</v>
      </c>
      <c r="M13" s="64">
        <v>45183.739583333336</v>
      </c>
      <c r="N13" s="97">
        <v>0</v>
      </c>
      <c r="O13" s="98">
        <v>45046</v>
      </c>
      <c r="P13" s="100">
        <v>0</v>
      </c>
      <c r="Q13" s="101">
        <v>45047.208333333336</v>
      </c>
      <c r="R13" s="103">
        <v>9.0958011128018296E-2</v>
      </c>
      <c r="S13" s="104">
        <v>45049.791666666664</v>
      </c>
      <c r="T13" s="106">
        <v>0.16867590942760999</v>
      </c>
      <c r="U13" s="20">
        <v>45051.739583333336</v>
      </c>
    </row>
    <row r="14" spans="1:21" x14ac:dyDescent="0.25">
      <c r="A14" s="2" t="s">
        <v>11</v>
      </c>
      <c r="B14" s="9">
        <v>0</v>
      </c>
      <c r="C14" s="20">
        <v>44776.000694444447</v>
      </c>
      <c r="D14" s="59">
        <v>0</v>
      </c>
      <c r="E14" s="117">
        <v>44781.000694444447</v>
      </c>
      <c r="F14" s="33">
        <v>0</v>
      </c>
      <c r="G14" s="34">
        <v>45136</v>
      </c>
      <c r="H14" s="43">
        <v>0</v>
      </c>
      <c r="I14" s="44">
        <v>0</v>
      </c>
      <c r="J14" s="60">
        <v>4.4300089970899799E-2</v>
      </c>
      <c r="K14" s="61">
        <v>45166.510416666664</v>
      </c>
      <c r="L14" s="63">
        <v>7.8997664635741496E-2</v>
      </c>
      <c r="M14" s="64">
        <v>45183.739583333336</v>
      </c>
      <c r="N14" s="97">
        <v>0</v>
      </c>
      <c r="O14" s="98">
        <v>45046</v>
      </c>
      <c r="P14" s="100">
        <v>0</v>
      </c>
      <c r="Q14" s="101">
        <v>45047.208333333336</v>
      </c>
      <c r="R14" s="103">
        <v>9.0958011128018296E-2</v>
      </c>
      <c r="S14" s="104">
        <v>45049.791666666664</v>
      </c>
      <c r="T14" s="106">
        <v>0.14774167024357299</v>
      </c>
      <c r="U14" s="20">
        <v>45051.739583333336</v>
      </c>
    </row>
    <row r="15" spans="1:21" x14ac:dyDescent="0.25">
      <c r="A15" s="2" t="s">
        <v>12</v>
      </c>
      <c r="B15" s="21">
        <v>0.108402639333512</v>
      </c>
      <c r="C15" s="20">
        <v>44776.625694444447</v>
      </c>
      <c r="D15" s="59">
        <v>0</v>
      </c>
      <c r="E15" s="117">
        <v>44781.000694444447</v>
      </c>
      <c r="F15" s="57">
        <v>0.114178758147192</v>
      </c>
      <c r="G15" s="34">
        <v>45136.666666666664</v>
      </c>
      <c r="H15" s="43">
        <v>0</v>
      </c>
      <c r="I15" s="44">
        <v>0</v>
      </c>
      <c r="J15" s="60">
        <v>0.22561108157867499</v>
      </c>
      <c r="K15" s="61">
        <v>45166.510416666664</v>
      </c>
      <c r="L15" s="63">
        <v>0.48595166923287902</v>
      </c>
      <c r="M15" s="64">
        <v>45183.75</v>
      </c>
      <c r="N15" s="97">
        <v>0.215438676487094</v>
      </c>
      <c r="O15" s="98">
        <v>45046.78125</v>
      </c>
      <c r="P15" s="100">
        <v>0.25229707652631</v>
      </c>
      <c r="Q15" s="101">
        <v>45047.9375</v>
      </c>
      <c r="R15" s="103">
        <v>0.51566326941817897</v>
      </c>
      <c r="S15" s="104">
        <v>45050.416666666664</v>
      </c>
      <c r="T15" s="106">
        <v>1.17015184791323</v>
      </c>
      <c r="U15" s="20">
        <v>45051.739583333336</v>
      </c>
    </row>
    <row r="16" spans="1:21" x14ac:dyDescent="0.25">
      <c r="A16" s="2" t="s">
        <v>13</v>
      </c>
      <c r="B16" s="21">
        <v>8.5195492688122099E-2</v>
      </c>
      <c r="C16" s="20">
        <v>44776.625694444447</v>
      </c>
      <c r="D16" s="59">
        <v>0</v>
      </c>
      <c r="E16" s="117">
        <v>44781.000694444447</v>
      </c>
      <c r="F16" s="57">
        <v>0.10729609555229699</v>
      </c>
      <c r="G16" s="34">
        <v>45136.666666666664</v>
      </c>
      <c r="H16" s="43">
        <v>0</v>
      </c>
      <c r="I16" s="44">
        <v>0</v>
      </c>
      <c r="J16" s="60">
        <v>0.15225238482678499</v>
      </c>
      <c r="K16" s="61">
        <v>45166.510416666664</v>
      </c>
      <c r="L16" s="63">
        <v>0.26878015500851199</v>
      </c>
      <c r="M16" s="64">
        <v>45183.75</v>
      </c>
      <c r="N16" s="97">
        <v>0.215438676487094</v>
      </c>
      <c r="O16" s="98">
        <v>45046.78125</v>
      </c>
      <c r="P16" s="100">
        <v>0.24653813245345399</v>
      </c>
      <c r="Q16" s="101">
        <v>45047.9375</v>
      </c>
      <c r="R16" s="103">
        <v>0.34700199477121402</v>
      </c>
      <c r="S16" s="104">
        <v>45049.697916666664</v>
      </c>
      <c r="T16" s="106">
        <v>0.41141605444788698</v>
      </c>
      <c r="U16" s="20">
        <v>45051.739583333336</v>
      </c>
    </row>
    <row r="17" spans="1:21" x14ac:dyDescent="0.25">
      <c r="A17" s="2" t="s">
        <v>14</v>
      </c>
      <c r="B17" s="21">
        <v>8.1549751061042799E-2</v>
      </c>
      <c r="C17" s="20">
        <v>44776.625694444447</v>
      </c>
      <c r="D17" s="59">
        <v>0</v>
      </c>
      <c r="E17" s="117">
        <v>44781.000694444447</v>
      </c>
      <c r="F17" s="57">
        <v>0.10729609555229699</v>
      </c>
      <c r="G17" s="34">
        <v>45136.666666666664</v>
      </c>
      <c r="H17" s="43">
        <v>0</v>
      </c>
      <c r="I17" s="44">
        <v>0</v>
      </c>
      <c r="J17" s="60">
        <v>0.14915841719692599</v>
      </c>
      <c r="K17" s="61">
        <v>45166.510416666664</v>
      </c>
      <c r="L17" s="63">
        <v>0.25332701569766197</v>
      </c>
      <c r="M17" s="64">
        <v>45183.75</v>
      </c>
      <c r="N17" s="97">
        <v>0.215438676487094</v>
      </c>
      <c r="O17" s="98">
        <v>45046.78125</v>
      </c>
      <c r="P17" s="100">
        <v>0.24653813245345399</v>
      </c>
      <c r="Q17" s="101">
        <v>45047.9375</v>
      </c>
      <c r="R17" s="103">
        <v>0.34479698448377699</v>
      </c>
      <c r="S17" s="104">
        <v>45049.802083333336</v>
      </c>
      <c r="T17" s="106">
        <v>0.34973677227357902</v>
      </c>
      <c r="U17" s="20">
        <v>45051.520833333336</v>
      </c>
    </row>
    <row r="18" spans="1:21" x14ac:dyDescent="0.25">
      <c r="A18" s="2" t="s">
        <v>15</v>
      </c>
      <c r="B18" s="21">
        <v>0.43361055733404802</v>
      </c>
      <c r="C18" s="20">
        <v>44776.625694444447</v>
      </c>
      <c r="D18" s="58">
        <v>0.15462933529162801</v>
      </c>
      <c r="E18" s="117">
        <v>44781.615277777775</v>
      </c>
      <c r="F18" s="57">
        <v>0.54231424721250299</v>
      </c>
      <c r="G18" s="34">
        <v>45136.65625</v>
      </c>
      <c r="H18" s="41">
        <v>0.23835528444981899</v>
      </c>
      <c r="I18" s="42">
        <v>0.77083333333333337</v>
      </c>
      <c r="J18" s="60">
        <v>0.90785969693767898</v>
      </c>
      <c r="K18" s="61">
        <v>45166.510416666664</v>
      </c>
      <c r="L18" s="63">
        <v>1.9438066769315101</v>
      </c>
      <c r="M18" s="64">
        <v>45183.75</v>
      </c>
      <c r="N18" s="97">
        <v>0.861754705948377</v>
      </c>
      <c r="O18" s="98">
        <v>45046.78125</v>
      </c>
      <c r="P18" s="100">
        <v>1.02441376516373</v>
      </c>
      <c r="Q18" s="101">
        <v>45048</v>
      </c>
      <c r="R18" s="103">
        <v>2.0626530776727101</v>
      </c>
      <c r="S18" s="104">
        <v>45050.416666666664</v>
      </c>
      <c r="T18" s="106">
        <v>4.6806073916529201</v>
      </c>
      <c r="U18" s="20">
        <v>45051.739583333336</v>
      </c>
    </row>
    <row r="19" spans="1:21" x14ac:dyDescent="0.25">
      <c r="A19" s="2" t="s">
        <v>16</v>
      </c>
      <c r="B19" s="21">
        <v>0.283546008743847</v>
      </c>
      <c r="C19" s="20">
        <v>44776.625694444447</v>
      </c>
      <c r="D19" s="58">
        <v>0.15462933529162801</v>
      </c>
      <c r="E19" s="117">
        <v>44781.615277777775</v>
      </c>
      <c r="F19" s="57">
        <v>0.40212515642043301</v>
      </c>
      <c r="G19" s="34">
        <v>45136.65625</v>
      </c>
      <c r="H19" s="41">
        <v>0.17646182124931101</v>
      </c>
      <c r="I19" s="42">
        <v>0.77083333333333337</v>
      </c>
      <c r="J19" s="60">
        <v>0.56433180973960195</v>
      </c>
      <c r="K19" s="61">
        <v>45166.510416666664</v>
      </c>
      <c r="L19" s="63">
        <v>1.01286491503636</v>
      </c>
      <c r="M19" s="64">
        <v>45183.75</v>
      </c>
      <c r="N19" s="97">
        <v>0.62742814817229897</v>
      </c>
      <c r="O19" s="98">
        <v>45046.802083333336</v>
      </c>
      <c r="P19" s="100">
        <v>0.80667421629674996</v>
      </c>
      <c r="Q19" s="101">
        <v>45047.9375</v>
      </c>
      <c r="R19" s="103">
        <v>1.3186244816938499</v>
      </c>
      <c r="S19" s="104">
        <v>45049.697916666664</v>
      </c>
      <c r="T19" s="106">
        <v>1.47543845551157</v>
      </c>
      <c r="U19" s="20">
        <v>45051.739583333336</v>
      </c>
    </row>
    <row r="20" spans="1:21" x14ac:dyDescent="0.25">
      <c r="A20" s="2" t="s">
        <v>17</v>
      </c>
      <c r="B20" s="21">
        <v>0.28905210154241401</v>
      </c>
      <c r="C20" s="20">
        <v>44776.625694444447</v>
      </c>
      <c r="D20" s="58">
        <v>0.15462933529162801</v>
      </c>
      <c r="E20" s="117">
        <v>44781.615277777775</v>
      </c>
      <c r="F20" s="57">
        <v>0.39659577629574799</v>
      </c>
      <c r="G20" s="34">
        <v>45136.65625</v>
      </c>
      <c r="H20" s="41">
        <v>0.17646182124931101</v>
      </c>
      <c r="I20" s="42">
        <v>0.77083333333333337</v>
      </c>
      <c r="J20" s="60">
        <v>0.551039595254876</v>
      </c>
      <c r="K20" s="61">
        <v>45166.510416666664</v>
      </c>
      <c r="L20" s="63">
        <v>0.93975915928368003</v>
      </c>
      <c r="M20" s="64">
        <v>45183.75</v>
      </c>
      <c r="N20" s="97">
        <v>0.63123391525783501</v>
      </c>
      <c r="O20" s="98">
        <v>45046.802083333336</v>
      </c>
      <c r="P20" s="100">
        <v>0.80129898378317599</v>
      </c>
      <c r="Q20" s="101">
        <v>45047.958333333336</v>
      </c>
      <c r="R20" s="103">
        <v>1.3032513232195</v>
      </c>
      <c r="S20" s="104">
        <v>45049.802083333336</v>
      </c>
      <c r="T20" s="106">
        <v>1.3450945084345001</v>
      </c>
      <c r="U20" s="20">
        <v>45051.520833333336</v>
      </c>
    </row>
    <row r="21" spans="1:21" x14ac:dyDescent="0.25">
      <c r="A21" s="2" t="s">
        <v>18</v>
      </c>
      <c r="B21" s="21">
        <v>1.7344422293361901</v>
      </c>
      <c r="C21" s="20">
        <v>44776.625694444447</v>
      </c>
      <c r="D21" s="58">
        <v>0.66003344543256104</v>
      </c>
      <c r="E21" s="117">
        <v>44781.625694444447</v>
      </c>
      <c r="F21" s="57">
        <v>2.1692569888500102</v>
      </c>
      <c r="G21" s="34">
        <v>45136.65625</v>
      </c>
      <c r="H21" s="41">
        <v>0.95342113779927895</v>
      </c>
      <c r="I21" s="42">
        <v>0.77083333333333337</v>
      </c>
      <c r="J21" s="60">
        <v>3.6314387877507102</v>
      </c>
      <c r="K21" s="61">
        <v>45166.510416666664</v>
      </c>
      <c r="L21" s="63">
        <v>7.7752267077260697</v>
      </c>
      <c r="M21" s="64">
        <v>45183.75</v>
      </c>
      <c r="N21" s="97">
        <v>3.4470188237935</v>
      </c>
      <c r="O21" s="98">
        <v>45046.78125</v>
      </c>
      <c r="P21" s="100">
        <v>4.0976550606549198</v>
      </c>
      <c r="Q21" s="101">
        <v>45048</v>
      </c>
      <c r="R21" s="103">
        <v>8.2506123106908706</v>
      </c>
      <c r="S21" s="104">
        <v>45050.416666666664</v>
      </c>
      <c r="T21" s="106">
        <v>18.722429566611702</v>
      </c>
      <c r="U21" s="20">
        <v>45051.739583333336</v>
      </c>
    </row>
    <row r="22" spans="1:21" x14ac:dyDescent="0.25">
      <c r="A22" s="2" t="s">
        <v>19</v>
      </c>
      <c r="B22" s="21">
        <v>1.1098597828947401</v>
      </c>
      <c r="C22" s="20">
        <v>44776.625694444447</v>
      </c>
      <c r="D22" s="58">
        <v>0.50349909973876406</v>
      </c>
      <c r="E22" s="117">
        <v>44781.625694444447</v>
      </c>
      <c r="F22" s="57">
        <v>1.5710186727108599</v>
      </c>
      <c r="G22" s="34">
        <v>45136.65625</v>
      </c>
      <c r="H22" s="41">
        <v>0.51482242899710595</v>
      </c>
      <c r="I22" s="42">
        <v>0.77083333333333337</v>
      </c>
      <c r="J22" s="60">
        <v>2.25732723895841</v>
      </c>
      <c r="K22" s="61">
        <v>45166.510416666664</v>
      </c>
      <c r="L22" s="63">
        <v>4.05145966014544</v>
      </c>
      <c r="M22" s="64">
        <v>45183.75</v>
      </c>
      <c r="N22" s="97">
        <v>2.4861262839496399</v>
      </c>
      <c r="O22" s="98">
        <v>45046.989583333336</v>
      </c>
      <c r="P22" s="100">
        <v>3.2266968651869998</v>
      </c>
      <c r="Q22" s="101">
        <v>45047.9375</v>
      </c>
      <c r="R22" s="103">
        <v>5.2744979267754202</v>
      </c>
      <c r="S22" s="104">
        <v>45049.697916666664</v>
      </c>
      <c r="T22" s="106">
        <v>5.90175382204629</v>
      </c>
      <c r="U22" s="20">
        <v>45051.739583333336</v>
      </c>
    </row>
    <row r="23" spans="1:21" x14ac:dyDescent="0.25">
      <c r="A23" s="2" t="s">
        <v>20</v>
      </c>
      <c r="B23" s="21">
        <v>1.1221395332995101</v>
      </c>
      <c r="C23" s="20">
        <v>44776.625694444447</v>
      </c>
      <c r="D23" s="58">
        <v>0.49734210593101602</v>
      </c>
      <c r="E23" s="117">
        <v>44781.625694444447</v>
      </c>
      <c r="F23" s="57">
        <v>1.5687828571421401</v>
      </c>
      <c r="G23" s="34">
        <v>45136.65625</v>
      </c>
      <c r="H23" s="41">
        <v>0.51688690241940405</v>
      </c>
      <c r="I23" s="42">
        <v>0.77083333333333337</v>
      </c>
      <c r="J23" s="60">
        <v>2.2041583810195</v>
      </c>
      <c r="K23" s="61">
        <v>45166.510416666664</v>
      </c>
      <c r="L23" s="63">
        <v>3.7590366371347201</v>
      </c>
      <c r="M23" s="64">
        <v>45183.75</v>
      </c>
      <c r="N23" s="97">
        <v>2.4724450190109502</v>
      </c>
      <c r="O23" s="98">
        <v>45047.010416666664</v>
      </c>
      <c r="P23" s="100">
        <v>3.2051959351327</v>
      </c>
      <c r="Q23" s="101">
        <v>45047.958333333336</v>
      </c>
      <c r="R23" s="103">
        <v>5.2130052928780097</v>
      </c>
      <c r="S23" s="104">
        <v>45049.802083333336</v>
      </c>
      <c r="T23" s="106">
        <v>5.3803780337380296</v>
      </c>
      <c r="U23" s="20">
        <v>45051.520833333336</v>
      </c>
    </row>
    <row r="24" spans="1:21" x14ac:dyDescent="0.25">
      <c r="A24" s="2" t="s">
        <v>21</v>
      </c>
      <c r="B24" s="21">
        <v>6.9377689173447701</v>
      </c>
      <c r="C24" s="20">
        <v>44776.625694444447</v>
      </c>
      <c r="D24" s="58">
        <v>2.6401337817302402</v>
      </c>
      <c r="E24" s="117">
        <v>44781.625694444447</v>
      </c>
      <c r="F24" s="57">
        <v>8.6770279554000496</v>
      </c>
      <c r="G24" s="34">
        <v>45136.65625</v>
      </c>
      <c r="H24" s="41">
        <v>3.81368455119711</v>
      </c>
      <c r="I24" s="42">
        <v>0.77083333333333337</v>
      </c>
      <c r="J24" s="60">
        <v>14.5257551510028</v>
      </c>
      <c r="K24" s="61">
        <v>45166.510416666664</v>
      </c>
      <c r="L24" s="63">
        <v>31.100906830904201</v>
      </c>
      <c r="M24" s="64">
        <v>45183.75</v>
      </c>
      <c r="N24" s="97">
        <v>13.788075295174</v>
      </c>
      <c r="O24" s="98">
        <v>45046.78125</v>
      </c>
      <c r="P24" s="100">
        <v>16.390620242619701</v>
      </c>
      <c r="Q24" s="101">
        <v>45048</v>
      </c>
      <c r="R24" s="103">
        <v>33.002449242763397</v>
      </c>
      <c r="S24" s="104">
        <v>45050.416666666664</v>
      </c>
      <c r="T24" s="106">
        <v>74.889718266446806</v>
      </c>
      <c r="U24" s="20">
        <v>45051.739583333336</v>
      </c>
    </row>
    <row r="25" spans="1:21" x14ac:dyDescent="0.25">
      <c r="A25" s="2" t="s">
        <v>22</v>
      </c>
      <c r="B25" s="21">
        <v>4.4394391315789896</v>
      </c>
      <c r="C25" s="20">
        <v>44776.625694444447</v>
      </c>
      <c r="D25" s="58">
        <v>1.99037171190078</v>
      </c>
      <c r="E25" s="117">
        <v>44781.625694444447</v>
      </c>
      <c r="F25" s="57">
        <v>6.2840746908434504</v>
      </c>
      <c r="G25" s="34">
        <v>45136.65625</v>
      </c>
      <c r="H25" s="41">
        <v>2.0592897159884198</v>
      </c>
      <c r="I25" s="42">
        <v>0.77083333333333337</v>
      </c>
      <c r="J25" s="60">
        <v>9.0293089558336401</v>
      </c>
      <c r="K25" s="61">
        <v>45166.510416666664</v>
      </c>
      <c r="L25" s="63">
        <v>16.2058386405817</v>
      </c>
      <c r="M25" s="64">
        <v>45183.75</v>
      </c>
      <c r="N25" s="97">
        <v>9.9445051357985701</v>
      </c>
      <c r="O25" s="98">
        <v>45046.989583333336</v>
      </c>
      <c r="P25" s="100">
        <v>12.906787460747999</v>
      </c>
      <c r="Q25" s="101">
        <v>45047.9375</v>
      </c>
      <c r="R25" s="103">
        <v>21.097991707101599</v>
      </c>
      <c r="S25" s="104">
        <v>45049.697916666664</v>
      </c>
      <c r="T25" s="106">
        <v>23.607015288185099</v>
      </c>
      <c r="U25" s="20">
        <v>45051.739583333336</v>
      </c>
    </row>
    <row r="26" spans="1:21" x14ac:dyDescent="0.25">
      <c r="A26" s="2" t="s">
        <v>23</v>
      </c>
      <c r="B26" s="21">
        <v>4.4885581331980502</v>
      </c>
      <c r="C26" s="20">
        <v>44776.625694444447</v>
      </c>
      <c r="D26" s="58">
        <v>1.97008281941547</v>
      </c>
      <c r="E26" s="117">
        <v>44781.625694444447</v>
      </c>
      <c r="F26" s="57">
        <v>6.2751314285685602</v>
      </c>
      <c r="G26" s="34">
        <v>45136.65625</v>
      </c>
      <c r="H26" s="41">
        <v>2.06754760967761</v>
      </c>
      <c r="I26" s="42">
        <v>0.77083333333333337</v>
      </c>
      <c r="J26" s="60">
        <v>8.8166335240780196</v>
      </c>
      <c r="K26" s="61">
        <v>45166.510416666664</v>
      </c>
      <c r="L26" s="63">
        <v>15.036146548538801</v>
      </c>
      <c r="M26" s="64">
        <v>45183.75</v>
      </c>
      <c r="N26" s="97">
        <v>9.8897800760438095</v>
      </c>
      <c r="O26" s="98">
        <v>45047.010416666664</v>
      </c>
      <c r="P26" s="100">
        <v>12.8207837405308</v>
      </c>
      <c r="Q26" s="101">
        <v>45047.958333333336</v>
      </c>
      <c r="R26" s="103">
        <v>20.852021171512</v>
      </c>
      <c r="S26" s="104">
        <v>45049.802083333336</v>
      </c>
      <c r="T26" s="106">
        <v>21.521512134952101</v>
      </c>
      <c r="U26" s="20">
        <v>45051.520833333336</v>
      </c>
    </row>
    <row r="27" spans="1:21" x14ac:dyDescent="0.25">
      <c r="A27" s="2" t="s">
        <v>24</v>
      </c>
      <c r="B27" s="21">
        <v>27.751075669378999</v>
      </c>
      <c r="C27" s="20">
        <v>44776.625694444447</v>
      </c>
      <c r="D27" s="58">
        <v>10.5605351269209</v>
      </c>
      <c r="E27" s="117">
        <v>44781.625694444447</v>
      </c>
      <c r="F27" s="57">
        <v>34.708111821600198</v>
      </c>
      <c r="G27" s="34">
        <v>45136.65625</v>
      </c>
      <c r="H27" s="41">
        <v>15.254738204788399</v>
      </c>
      <c r="I27" s="42">
        <v>0.77083333333333337</v>
      </c>
      <c r="J27" s="60">
        <v>58.103020604011398</v>
      </c>
      <c r="K27" s="61">
        <v>45166.510416666664</v>
      </c>
      <c r="L27" s="63">
        <v>124.403627323617</v>
      </c>
      <c r="M27" s="64">
        <v>45183.75</v>
      </c>
      <c r="N27" s="97">
        <v>55.152301180696099</v>
      </c>
      <c r="O27" s="98">
        <v>45046.78125</v>
      </c>
      <c r="P27" s="100">
        <v>65.562480970478802</v>
      </c>
      <c r="Q27" s="101">
        <v>45048</v>
      </c>
      <c r="R27" s="103">
        <v>132.00979697105299</v>
      </c>
      <c r="S27" s="104">
        <v>45050.416666666664</v>
      </c>
      <c r="T27" s="106">
        <v>299.558873065787</v>
      </c>
      <c r="U27" s="20">
        <v>45051.739583333336</v>
      </c>
    </row>
    <row r="28" spans="1:21" x14ac:dyDescent="0.25">
      <c r="A28" s="2" t="s">
        <v>25</v>
      </c>
      <c r="B28" s="21">
        <v>17.757756526315902</v>
      </c>
      <c r="C28" s="20">
        <v>44776.625694444447</v>
      </c>
      <c r="D28" s="58">
        <v>7.9614868476031404</v>
      </c>
      <c r="E28" s="117">
        <v>44781.625694444447</v>
      </c>
      <c r="F28" s="57">
        <v>25.136298763373802</v>
      </c>
      <c r="G28" s="34">
        <v>45136.65625</v>
      </c>
      <c r="H28" s="41">
        <v>8.2371588639537006</v>
      </c>
      <c r="I28" s="42">
        <v>0.77083333333333337</v>
      </c>
      <c r="J28" s="60">
        <v>36.117235823334497</v>
      </c>
      <c r="K28" s="61">
        <v>45166.510416666664</v>
      </c>
      <c r="L28" s="63">
        <v>64.823354562326998</v>
      </c>
      <c r="M28" s="64">
        <v>45183.75</v>
      </c>
      <c r="N28" s="97">
        <v>39.778020543194202</v>
      </c>
      <c r="O28" s="98">
        <v>45046.989583333336</v>
      </c>
      <c r="P28" s="100">
        <v>51.627149842991997</v>
      </c>
      <c r="Q28" s="101">
        <v>45047.9375</v>
      </c>
      <c r="R28" s="103">
        <v>84.391966828406694</v>
      </c>
      <c r="S28" s="104">
        <v>45049.697916666664</v>
      </c>
      <c r="T28" s="106">
        <v>94.428061152740696</v>
      </c>
      <c r="U28" s="20">
        <v>45051.739583333336</v>
      </c>
    </row>
    <row r="29" spans="1:21" x14ac:dyDescent="0.25">
      <c r="A29" s="2" t="s">
        <v>26</v>
      </c>
      <c r="B29" s="21">
        <v>17.954232532792201</v>
      </c>
      <c r="C29" s="20">
        <v>44776.625694444447</v>
      </c>
      <c r="D29" s="58">
        <v>7.8803312776618801</v>
      </c>
      <c r="E29" s="117">
        <v>44781.625694444447</v>
      </c>
      <c r="F29" s="57">
        <v>25.100525714274202</v>
      </c>
      <c r="G29" s="34">
        <v>45136.65625</v>
      </c>
      <c r="H29" s="41">
        <v>8.2701904387104594</v>
      </c>
      <c r="I29" s="42">
        <v>0.77083333333333337</v>
      </c>
      <c r="J29" s="60">
        <v>35.2665340963121</v>
      </c>
      <c r="K29" s="61">
        <v>45166.510416666664</v>
      </c>
      <c r="L29" s="63">
        <v>60.144586194155501</v>
      </c>
      <c r="M29" s="64">
        <v>45183.75</v>
      </c>
      <c r="N29" s="97">
        <v>39.559120304175202</v>
      </c>
      <c r="O29" s="98">
        <v>45047.010416666664</v>
      </c>
      <c r="P29" s="100">
        <v>51.283134962123199</v>
      </c>
      <c r="Q29" s="101">
        <v>45047.958333333336</v>
      </c>
      <c r="R29" s="103">
        <v>83.408084686048198</v>
      </c>
      <c r="S29" s="104">
        <v>45049.802083333336</v>
      </c>
      <c r="T29" s="106">
        <v>86.086048539808402</v>
      </c>
      <c r="U29" s="20">
        <v>45051.520833333336</v>
      </c>
    </row>
    <row r="30" spans="1:21" x14ac:dyDescent="0.25">
      <c r="A30" s="2" t="s">
        <v>30</v>
      </c>
      <c r="B30" s="21">
        <v>22.620213794999898</v>
      </c>
      <c r="C30" s="22">
        <v>0.63611111111111107</v>
      </c>
      <c r="D30" s="58">
        <v>32.007500319999998</v>
      </c>
      <c r="E30" s="117">
        <v>44781.625694444447</v>
      </c>
      <c r="F30" s="57">
        <v>20.131538750000001</v>
      </c>
      <c r="G30" s="34">
        <v>45136.65625</v>
      </c>
      <c r="H30" s="41">
        <v>2.7664001109999998</v>
      </c>
      <c r="I30" s="42">
        <v>0.8125</v>
      </c>
      <c r="J30" s="60">
        <v>2.5487565000000001</v>
      </c>
      <c r="K30" s="61">
        <v>45166.5625</v>
      </c>
      <c r="L30" s="63">
        <v>6.6940258559999997</v>
      </c>
      <c r="M30" s="64">
        <v>45183.75</v>
      </c>
      <c r="N30" s="97">
        <v>87.058386479999996</v>
      </c>
      <c r="O30" s="98">
        <v>45046.875</v>
      </c>
      <c r="P30" s="100">
        <v>93.038532979999999</v>
      </c>
      <c r="Q30" s="101">
        <v>45048.052083333336</v>
      </c>
      <c r="R30" s="103">
        <v>136.5531871</v>
      </c>
      <c r="S30" s="104">
        <v>45049.927083333336</v>
      </c>
      <c r="T30" s="106">
        <v>130.92322350000001</v>
      </c>
      <c r="U30" s="20">
        <v>45050.770833333336</v>
      </c>
    </row>
    <row r="31" spans="1:21" x14ac:dyDescent="0.25">
      <c r="A31" s="2" t="s">
        <v>31</v>
      </c>
      <c r="B31" s="21">
        <v>22.364671984258202</v>
      </c>
      <c r="C31" s="22">
        <v>0.63611111111111107</v>
      </c>
      <c r="D31" s="58">
        <v>23.970478424313601</v>
      </c>
      <c r="E31" s="117">
        <v>44781.625694444447</v>
      </c>
      <c r="F31" s="57">
        <v>11.742687795237201</v>
      </c>
      <c r="G31" s="34">
        <v>45136.65625</v>
      </c>
      <c r="H31" s="41">
        <v>6.6345603949445398</v>
      </c>
      <c r="I31" s="42">
        <v>0.85416666666666696</v>
      </c>
      <c r="J31" s="60">
        <v>6.4236681151493897</v>
      </c>
      <c r="K31" s="61">
        <v>45166.5625</v>
      </c>
      <c r="L31" s="63">
        <v>8.9088582431588499</v>
      </c>
      <c r="M31" s="64">
        <v>45183.75</v>
      </c>
      <c r="N31" s="97">
        <v>15.5113343788042</v>
      </c>
      <c r="O31" s="98">
        <v>45046.875</v>
      </c>
      <c r="P31" s="100">
        <v>15.68231746382</v>
      </c>
      <c r="Q31" s="101">
        <v>45048.052083333336</v>
      </c>
      <c r="R31" s="103">
        <v>16.669847305181399</v>
      </c>
      <c r="S31" s="104">
        <v>45049.927083333336</v>
      </c>
      <c r="T31" s="106">
        <v>16.561486514041</v>
      </c>
      <c r="U31" s="20">
        <v>45050.770833333336</v>
      </c>
    </row>
  </sheetData>
  <mergeCells count="10">
    <mergeCell ref="B2:C2"/>
    <mergeCell ref="D2:E2"/>
    <mergeCell ref="F2:G2"/>
    <mergeCell ref="H2:I2"/>
    <mergeCell ref="J2:K2"/>
    <mergeCell ref="N2:O2"/>
    <mergeCell ref="P2:Q2"/>
    <mergeCell ref="R2:S2"/>
    <mergeCell ref="T2:U2"/>
    <mergeCell ref="L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6FF8-4929-445B-87C0-954C7636D31D}">
  <dimension ref="A1:CA155"/>
  <sheetViews>
    <sheetView tabSelected="1" topLeftCell="A79" zoomScale="85" zoomScaleNormal="85" workbookViewId="0">
      <selection activeCell="H117" sqref="H117"/>
    </sheetView>
  </sheetViews>
  <sheetFormatPr defaultRowHeight="15" x14ac:dyDescent="0.25"/>
  <cols>
    <col min="1" max="1" width="16.85546875" style="2" customWidth="1"/>
    <col min="2" max="2" width="11.85546875" customWidth="1"/>
    <col min="3" max="3" width="12.28515625" customWidth="1"/>
    <col min="4" max="4" width="14.42578125" customWidth="1"/>
    <col min="5" max="5" width="12.85546875" style="2" customWidth="1"/>
    <col min="6" max="6" width="22.7109375" customWidth="1"/>
    <col min="7" max="7" width="12.7109375" customWidth="1"/>
    <col min="9" max="9" width="19.5703125" style="2" customWidth="1"/>
    <col min="10" max="10" width="11.28515625" style="2" customWidth="1"/>
    <col min="11" max="11" width="11" customWidth="1"/>
    <col min="12" max="12" width="14.42578125" customWidth="1"/>
    <col min="13" max="13" width="15.85546875" customWidth="1"/>
    <col min="14" max="14" width="22.7109375" customWidth="1"/>
    <col min="15" max="15" width="14" customWidth="1"/>
    <col min="17" max="17" width="22.42578125" customWidth="1"/>
    <col min="18" max="18" width="14.85546875" customWidth="1"/>
    <col min="19" max="19" width="12.140625" customWidth="1"/>
    <col min="20" max="20" width="15" customWidth="1"/>
    <col min="21" max="21" width="13.5703125" customWidth="1"/>
    <col min="22" max="22" width="18.42578125" customWidth="1"/>
    <col min="23" max="23" width="16.28515625" customWidth="1"/>
    <col min="25" max="25" width="17.5703125" customWidth="1"/>
    <col min="26" max="26" width="11.42578125" customWidth="1"/>
    <col min="27" max="27" width="11.5703125" customWidth="1"/>
    <col min="28" max="28" width="16.140625" customWidth="1"/>
    <col min="29" max="29" width="15.7109375" customWidth="1"/>
    <col min="30" max="30" width="17.28515625" customWidth="1"/>
    <col min="31" max="31" width="11.42578125" customWidth="1"/>
    <col min="33" max="33" width="19.28515625" customWidth="1"/>
    <col min="34" max="34" width="15" customWidth="1"/>
    <col min="35" max="35" width="14.28515625" customWidth="1"/>
    <col min="36" max="36" width="15.42578125" customWidth="1"/>
    <col min="37" max="37" width="19" customWidth="1"/>
    <col min="38" max="38" width="16.28515625" customWidth="1"/>
    <col min="39" max="39" width="17.7109375" customWidth="1"/>
    <col min="41" max="41" width="22" customWidth="1"/>
    <col min="42" max="42" width="17.85546875" customWidth="1"/>
    <col min="43" max="43" width="12.5703125" customWidth="1"/>
    <col min="44" max="44" width="14.85546875" customWidth="1"/>
    <col min="45" max="45" width="16.140625" customWidth="1"/>
    <col min="46" max="46" width="15.5703125" customWidth="1"/>
    <col min="47" max="47" width="14.42578125" customWidth="1"/>
    <col min="49" max="49" width="17.28515625" customWidth="1"/>
    <col min="50" max="50" width="15" customWidth="1"/>
    <col min="51" max="51" width="12.140625" customWidth="1"/>
    <col min="52" max="52" width="15.7109375" customWidth="1"/>
    <col min="53" max="53" width="19" customWidth="1"/>
    <col min="54" max="54" width="15.7109375" customWidth="1"/>
    <col min="55" max="55" width="14.42578125" customWidth="1"/>
    <col min="57" max="57" width="24.42578125" customWidth="1"/>
    <col min="58" max="58" width="15.85546875" customWidth="1"/>
    <col min="59" max="59" width="15.28515625" customWidth="1"/>
    <col min="60" max="60" width="18.140625" customWidth="1"/>
    <col min="61" max="61" width="13.5703125" customWidth="1"/>
    <col min="62" max="62" width="18.140625" customWidth="1"/>
    <col min="63" max="63" width="15.42578125" customWidth="1"/>
    <col min="65" max="65" width="17.28515625" customWidth="1"/>
    <col min="66" max="66" width="15.7109375" customWidth="1"/>
    <col min="67" max="67" width="17.28515625" customWidth="1"/>
    <col min="68" max="68" width="17.7109375" customWidth="1"/>
    <col min="69" max="69" width="23.42578125" customWidth="1"/>
    <col min="70" max="70" width="20.7109375" customWidth="1"/>
    <col min="71" max="71" width="14.85546875" customWidth="1"/>
    <col min="73" max="73" width="23.42578125" customWidth="1"/>
    <col min="74" max="74" width="14.28515625" customWidth="1"/>
    <col min="75" max="75" width="17.140625" customWidth="1"/>
    <col min="76" max="76" width="16.28515625" customWidth="1"/>
    <col min="77" max="77" width="22" customWidth="1"/>
    <col min="78" max="78" width="18.5703125" customWidth="1"/>
    <col min="79" max="79" width="16.7109375" customWidth="1"/>
  </cols>
  <sheetData>
    <row r="1" spans="1:79" x14ac:dyDescent="0.25">
      <c r="A1" s="15" t="s">
        <v>29</v>
      </c>
      <c r="B1" s="16">
        <f>MAX(B3:B94)</f>
        <v>2.7100659833378001E-2</v>
      </c>
      <c r="C1" s="7">
        <f>MAX(C3:C94)</f>
        <v>22.620213794999898</v>
      </c>
      <c r="F1" s="6">
        <f>MAX(F3:F94)</f>
        <v>4.8252724833329532</v>
      </c>
      <c r="G1" s="18">
        <f>MAX(G3:G94)</f>
        <v>80.273877098790663</v>
      </c>
      <c r="I1" s="28" t="s">
        <v>36</v>
      </c>
      <c r="J1" s="5">
        <f>MAX(J3:J99)</f>
        <v>1.03130225848837E-2</v>
      </c>
      <c r="K1" s="7">
        <f>MAX(K3:K99)</f>
        <v>32.007500319999998</v>
      </c>
      <c r="N1" s="5">
        <f>MAX(N3:N99)</f>
        <v>2.0186022872812361</v>
      </c>
      <c r="O1" s="18">
        <f>MAX(O3:O99)</f>
        <v>52.388619007464662</v>
      </c>
      <c r="Q1" s="2" t="s">
        <v>37</v>
      </c>
      <c r="R1" s="32">
        <f>MAX(R3:R100)</f>
        <v>3.3894640450781402E-2</v>
      </c>
      <c r="V1" s="7">
        <f>MAX(V3:V100)</f>
        <v>4.2532124658988861</v>
      </c>
      <c r="W1" s="18">
        <f>MAX(W3:W100)</f>
        <v>75.463396074733694</v>
      </c>
      <c r="Y1" s="4" t="s">
        <v>38</v>
      </c>
      <c r="Z1" s="32">
        <f>MAX(Z3:Z100)</f>
        <v>1.4897205278113701E-2</v>
      </c>
      <c r="AD1" s="7">
        <f>MAX(AD3:AD100)</f>
        <v>1.3834537968274923</v>
      </c>
      <c r="AE1" s="18">
        <f>MAX(AE3:AE99)</f>
        <v>43.539555051420827</v>
      </c>
      <c r="AG1" s="52" t="s">
        <v>39</v>
      </c>
      <c r="AH1" s="2">
        <f>MAX(AH3:AH99)</f>
        <v>5.6741231058604902E-2</v>
      </c>
      <c r="AL1" s="6">
        <f>MAX(AL3:AL99)</f>
        <v>6.9054078198322166</v>
      </c>
      <c r="AM1" s="32">
        <f>MAX(AM3:AM99)</f>
        <v>95.676352165121884</v>
      </c>
      <c r="AO1" s="67" t="s">
        <v>40</v>
      </c>
      <c r="AP1">
        <f>MAX(AP3:AP99)</f>
        <v>0.12148791730821901</v>
      </c>
      <c r="AT1" s="5">
        <f>MAX(AT3:AT99)</f>
        <v>11.842068106913624</v>
      </c>
      <c r="AU1" s="18">
        <f>MAX(AU3:AU99)</f>
        <v>124.59799853071195</v>
      </c>
      <c r="AW1" s="81" t="s">
        <v>44</v>
      </c>
      <c r="AX1" s="5">
        <f>MAX(AX3:AX87)</f>
        <v>5.3859668999999999E-2</v>
      </c>
      <c r="BC1" s="6">
        <f>MAX(BC3:BC87)</f>
        <v>88.490803262610711</v>
      </c>
      <c r="BE1" s="89" t="s">
        <v>45</v>
      </c>
      <c r="BF1" s="79">
        <f>MAX(BF3:BF155)</f>
        <v>6.7690018744910693E-2</v>
      </c>
      <c r="BK1" s="6">
        <f>MAX(BK3:BK155)</f>
        <v>84.380016860651793</v>
      </c>
      <c r="BM1" s="92" t="s">
        <v>46</v>
      </c>
      <c r="BN1" s="5">
        <f>MAX(BN3:BN155)</f>
        <v>0.12891581735454399</v>
      </c>
      <c r="BS1" s="7">
        <f>MAX(BS3:BS123)</f>
        <v>109.984122680624</v>
      </c>
      <c r="BU1" s="9" t="s">
        <v>47</v>
      </c>
      <c r="BV1" s="80">
        <f>MAX(BV3:BV121)</f>
        <v>0.13438043402341099</v>
      </c>
      <c r="CA1" s="6">
        <f>MAX(CA3:CA120)</f>
        <v>103.02241841356445</v>
      </c>
    </row>
    <row r="2" spans="1:79" x14ac:dyDescent="0.25">
      <c r="A2" s="14" t="s">
        <v>27</v>
      </c>
      <c r="B2" s="17" t="s">
        <v>28</v>
      </c>
      <c r="C2" s="14" t="s">
        <v>34</v>
      </c>
      <c r="D2" s="14" t="s">
        <v>32</v>
      </c>
      <c r="E2" s="14" t="s">
        <v>42</v>
      </c>
      <c r="F2" s="14" t="s">
        <v>41</v>
      </c>
      <c r="G2" s="19" t="s">
        <v>35</v>
      </c>
      <c r="I2" s="23" t="s">
        <v>27</v>
      </c>
      <c r="J2" s="24" t="s">
        <v>28</v>
      </c>
      <c r="K2" s="23" t="s">
        <v>34</v>
      </c>
      <c r="L2" s="23" t="s">
        <v>32</v>
      </c>
      <c r="M2" s="23" t="s">
        <v>33</v>
      </c>
      <c r="N2" s="23" t="s">
        <v>43</v>
      </c>
      <c r="O2" s="24" t="s">
        <v>35</v>
      </c>
      <c r="Q2" s="30" t="s">
        <v>27</v>
      </c>
      <c r="R2" s="31" t="s">
        <v>28</v>
      </c>
      <c r="S2" s="30" t="s">
        <v>34</v>
      </c>
      <c r="T2" s="30" t="s">
        <v>32</v>
      </c>
      <c r="U2" s="30" t="s">
        <v>33</v>
      </c>
      <c r="V2" s="30" t="s">
        <v>43</v>
      </c>
      <c r="W2" s="31" t="s">
        <v>35</v>
      </c>
      <c r="Y2" s="39" t="s">
        <v>27</v>
      </c>
      <c r="Z2" s="40" t="s">
        <v>28</v>
      </c>
      <c r="AA2" s="39" t="s">
        <v>34</v>
      </c>
      <c r="AB2" s="39" t="s">
        <v>32</v>
      </c>
      <c r="AC2" s="39" t="s">
        <v>33</v>
      </c>
      <c r="AD2" s="39" t="s">
        <v>43</v>
      </c>
      <c r="AE2" s="40" t="s">
        <v>35</v>
      </c>
      <c r="AG2" s="48" t="s">
        <v>27</v>
      </c>
      <c r="AH2" s="49" t="s">
        <v>28</v>
      </c>
      <c r="AI2" s="48" t="s">
        <v>34</v>
      </c>
      <c r="AJ2" s="48" t="s">
        <v>32</v>
      </c>
      <c r="AK2" s="48" t="s">
        <v>33</v>
      </c>
      <c r="AL2" s="48" t="s">
        <v>43</v>
      </c>
      <c r="AM2" s="49" t="s">
        <v>35</v>
      </c>
      <c r="AO2" s="55" t="s">
        <v>27</v>
      </c>
      <c r="AP2" s="56" t="s">
        <v>28</v>
      </c>
      <c r="AQ2" s="55" t="s">
        <v>34</v>
      </c>
      <c r="AR2" s="55" t="s">
        <v>32</v>
      </c>
      <c r="AS2" s="55" t="s">
        <v>33</v>
      </c>
      <c r="AT2" s="55" t="s">
        <v>43</v>
      </c>
      <c r="AU2" s="56" t="s">
        <v>35</v>
      </c>
      <c r="AW2" s="74" t="s">
        <v>27</v>
      </c>
      <c r="AX2" s="77" t="s">
        <v>28</v>
      </c>
      <c r="AY2" s="74" t="s">
        <v>34</v>
      </c>
      <c r="AZ2" s="74" t="s">
        <v>32</v>
      </c>
      <c r="BA2" s="74" t="s">
        <v>33</v>
      </c>
      <c r="BB2" s="74" t="s">
        <v>43</v>
      </c>
      <c r="BC2" s="77" t="s">
        <v>35</v>
      </c>
      <c r="BE2" s="75" t="s">
        <v>27</v>
      </c>
      <c r="BF2" s="85" t="s">
        <v>28</v>
      </c>
      <c r="BG2" s="75" t="s">
        <v>34</v>
      </c>
      <c r="BH2" s="75" t="s">
        <v>32</v>
      </c>
      <c r="BI2" s="75" t="s">
        <v>33</v>
      </c>
      <c r="BJ2" s="75" t="s">
        <v>43</v>
      </c>
      <c r="BK2" s="85" t="s">
        <v>35</v>
      </c>
      <c r="BM2" s="76" t="s">
        <v>27</v>
      </c>
      <c r="BN2" s="86" t="s">
        <v>28</v>
      </c>
      <c r="BO2" s="76" t="s">
        <v>34</v>
      </c>
      <c r="BP2" s="76" t="s">
        <v>32</v>
      </c>
      <c r="BQ2" s="76" t="s">
        <v>33</v>
      </c>
      <c r="BR2" s="76" t="s">
        <v>43</v>
      </c>
      <c r="BS2" s="86" t="s">
        <v>35</v>
      </c>
      <c r="BU2" s="14" t="s">
        <v>27</v>
      </c>
      <c r="BV2" s="19" t="s">
        <v>28</v>
      </c>
      <c r="BW2" s="14" t="s">
        <v>34</v>
      </c>
      <c r="BX2" s="14" t="s">
        <v>32</v>
      </c>
      <c r="BY2" s="14" t="s">
        <v>33</v>
      </c>
      <c r="BZ2" s="14" t="s">
        <v>43</v>
      </c>
      <c r="CA2" s="19" t="s">
        <v>35</v>
      </c>
    </row>
    <row r="3" spans="1:79" x14ac:dyDescent="0.25">
      <c r="A3" s="10">
        <v>44776.000694444447</v>
      </c>
      <c r="B3" s="11">
        <v>1.4955602719514201E-3</v>
      </c>
      <c r="C3" s="12">
        <v>0.76957219099999996</v>
      </c>
      <c r="D3" s="9">
        <v>157</v>
      </c>
      <c r="E3" s="13">
        <f>D3/60</f>
        <v>2.6166666666666667</v>
      </c>
      <c r="F3" s="12">
        <f>E3*B3</f>
        <v>3.9133827116062158E-3</v>
      </c>
      <c r="G3" s="13">
        <f>IF(37.141*F3^0.4897&gt;32, 37.141*F3^0.4897, 0)</f>
        <v>0</v>
      </c>
      <c r="I3" s="25">
        <v>44781.000694444447</v>
      </c>
      <c r="J3" s="26">
        <v>3.8910191295340401E-3</v>
      </c>
      <c r="K3" s="27">
        <v>1.4441644075</v>
      </c>
      <c r="L3" s="28">
        <v>1227</v>
      </c>
      <c r="M3" s="29">
        <f>L3/60</f>
        <v>20.45</v>
      </c>
      <c r="N3" s="26">
        <f t="shared" ref="N3:N34" si="0">M3*J3</f>
        <v>7.9571341198971121E-2</v>
      </c>
      <c r="O3" s="29">
        <f>IF(37.141*N3^0.4897&gt;22.6, 37.141*N3^0.4897, 0)</f>
        <v>0</v>
      </c>
      <c r="Q3" s="35">
        <v>45136</v>
      </c>
      <c r="R3" s="71">
        <v>5.2961871226464398E-3</v>
      </c>
      <c r="S3" s="70">
        <v>0.85462156099999997</v>
      </c>
      <c r="T3" s="36">
        <v>2986</v>
      </c>
      <c r="U3" s="37">
        <f>T3/60</f>
        <v>49.766666666666666</v>
      </c>
      <c r="V3" s="37">
        <f t="shared" ref="V3:V34" si="1">R3*U3</f>
        <v>0.26357357913703783</v>
      </c>
      <c r="W3" s="38">
        <f>IF(37.141*V3^0.4897&gt;22.6, 37.141*V3^0.4897, 0)</f>
        <v>0</v>
      </c>
      <c r="Y3" s="45">
        <v>45151</v>
      </c>
      <c r="Z3" s="4">
        <v>4.0646084233256904E-3</v>
      </c>
      <c r="AA3" s="3">
        <v>0.42386643899999998</v>
      </c>
      <c r="AB3" s="4">
        <v>648</v>
      </c>
      <c r="AC3" s="46">
        <f>AB3/60</f>
        <v>10.8</v>
      </c>
      <c r="AD3" s="47">
        <f t="shared" ref="AD3:AD34" si="2">AC3*Z3</f>
        <v>4.3897770971917459E-2</v>
      </c>
      <c r="AE3" s="50">
        <f>IF(37.141*AD3^0.4897&gt;22.6, 37.141*AD3^0.4897, 0)</f>
        <v>0</v>
      </c>
      <c r="AG3" s="51">
        <v>45166</v>
      </c>
      <c r="AH3" s="72">
        <v>6.2353489379986899E-3</v>
      </c>
      <c r="AI3" s="73">
        <v>0.31440712500000001</v>
      </c>
      <c r="AJ3" s="52">
        <v>1909</v>
      </c>
      <c r="AK3" s="53">
        <f>AJ3/60</f>
        <v>31.816666666666666</v>
      </c>
      <c r="AL3" s="72">
        <f t="shared" ref="AL3:AL34" si="3">AK3*AH3</f>
        <v>0.19838801871065831</v>
      </c>
      <c r="AM3" s="54">
        <f>IF(37.141*AL3^0.4897&gt;22.6, 37.141*AL3^0.4897, 0)</f>
        <v>0</v>
      </c>
      <c r="AO3" s="66">
        <v>45183</v>
      </c>
      <c r="AP3" s="67">
        <v>4.27396022763828E-3</v>
      </c>
      <c r="AQ3" s="68">
        <v>0.44939223900000003</v>
      </c>
      <c r="AR3" s="68">
        <v>1143</v>
      </c>
      <c r="AS3" s="68">
        <f>AR3/60</f>
        <v>19.05</v>
      </c>
      <c r="AT3" s="68">
        <f t="shared" ref="AT3:AT34" si="4">AS3*AP3</f>
        <v>8.1418942336509231E-2</v>
      </c>
      <c r="AU3" s="69">
        <f>IF(37.141*AT3^0.4897&gt;22.6, 37.141*AT3^0.4897, 0)</f>
        <v>0</v>
      </c>
      <c r="AW3" s="82">
        <v>45046.333333333336</v>
      </c>
      <c r="AX3" s="121">
        <v>3.5411462999999997E-2</v>
      </c>
      <c r="AY3" s="83">
        <v>66.647934039999996</v>
      </c>
      <c r="AZ3" s="121">
        <v>8404</v>
      </c>
      <c r="BA3" s="83">
        <f t="shared" ref="BA3:BA35" si="5">AZ3/60</f>
        <v>140.06666666666666</v>
      </c>
      <c r="BB3" s="84">
        <f t="shared" ref="BB3:BB35" si="6">BA3*AX3</f>
        <v>4.9599655841999999</v>
      </c>
      <c r="BC3" s="83">
        <f t="shared" ref="BC3:BC35" si="7">IF(37.141*BB3^0.4897&gt;22.6, 37.141*BB3^0.4897, 0)</f>
        <v>81.363475963061646</v>
      </c>
      <c r="BE3" s="87">
        <v>45047.208333333336</v>
      </c>
      <c r="BF3" s="118">
        <v>4.1196521753590898E-2</v>
      </c>
      <c r="BG3" s="88">
        <v>81.405228940000001</v>
      </c>
      <c r="BH3" s="89">
        <v>6517</v>
      </c>
      <c r="BI3" s="90">
        <f>BH3/60</f>
        <v>108.61666666666666</v>
      </c>
      <c r="BJ3" s="91">
        <f>BI3*BF3</f>
        <v>4.4746288711358648</v>
      </c>
      <c r="BK3" s="91">
        <f>IF(37.141*BJ3^0.4897&gt;22.6, 37.141*BJ3^0.4897, 0)</f>
        <v>77.362288004399332</v>
      </c>
      <c r="BM3" s="93">
        <v>45049.25</v>
      </c>
      <c r="BN3">
        <v>2.9960694842799201E-2</v>
      </c>
      <c r="BO3" s="95">
        <v>98.886564129999996</v>
      </c>
      <c r="BP3" s="4">
        <v>10583</v>
      </c>
      <c r="BQ3" s="95">
        <f>BP3/60</f>
        <v>176.38333333333333</v>
      </c>
      <c r="BR3" s="94">
        <f>BQ3*BN3</f>
        <v>5.2845672253557323</v>
      </c>
      <c r="BS3" s="96">
        <f>IF(37.141*BR3^0.4897&gt;22.6, 37.141*BR3^0.4897, 0)</f>
        <v>83.928857084319972</v>
      </c>
      <c r="BU3" s="10">
        <v>45050.510416666664</v>
      </c>
      <c r="BV3" s="119">
        <v>9.0417263281074398E-2</v>
      </c>
      <c r="BW3" s="21">
        <v>100.5402337</v>
      </c>
      <c r="BX3" s="120">
        <v>4097</v>
      </c>
      <c r="BY3" s="21">
        <f>BX3/60</f>
        <v>68.283333333333331</v>
      </c>
      <c r="BZ3" s="21">
        <f>BY3*BV3</f>
        <v>6.1739921277093632</v>
      </c>
      <c r="CA3" s="21">
        <f>IF(37.141*BZ3^0.4897&gt;22.6, 37.141*BZ3^0.4897, 0)</f>
        <v>90.571966624080133</v>
      </c>
    </row>
    <row r="4" spans="1:79" x14ac:dyDescent="0.25">
      <c r="A4" s="10">
        <v>44776.011111111111</v>
      </c>
      <c r="B4" s="11">
        <v>1.8309745607605499E-3</v>
      </c>
      <c r="C4" s="12">
        <v>0.771817164</v>
      </c>
      <c r="D4" s="9">
        <v>166</v>
      </c>
      <c r="E4" s="13">
        <f t="shared" ref="E4:E67" si="8">D4/60</f>
        <v>2.7666666666666666</v>
      </c>
      <c r="F4" s="12">
        <f t="shared" ref="F3:F34" si="9">E4*B4</f>
        <v>5.0656962847708551E-3</v>
      </c>
      <c r="G4" s="13">
        <f>37.141*F4^0.4897</f>
        <v>2.791356996271706</v>
      </c>
      <c r="I4" s="25">
        <v>44781.011111111111</v>
      </c>
      <c r="J4" s="26">
        <v>4.1140294020959103E-3</v>
      </c>
      <c r="K4" s="27">
        <v>1.5123822984999999</v>
      </c>
      <c r="L4" s="28">
        <v>1319</v>
      </c>
      <c r="M4" s="29">
        <f t="shared" ref="M4:M67" si="10">L4/60</f>
        <v>21.983333333333334</v>
      </c>
      <c r="N4" s="26">
        <f t="shared" si="0"/>
        <v>9.044007968940844E-2</v>
      </c>
      <c r="O4" s="29">
        <f t="shared" ref="O4:O67" si="11">IF(37.141*N4^0.4897&gt;22.6, 37.141*N4^0.4897, 0)</f>
        <v>0</v>
      </c>
      <c r="Q4" s="35">
        <v>45136.010416666664</v>
      </c>
      <c r="R4" s="71">
        <v>6.5578895527806597E-3</v>
      </c>
      <c r="S4" s="70">
        <v>0.99067576999999996</v>
      </c>
      <c r="T4" s="36">
        <v>4022</v>
      </c>
      <c r="U4" s="37">
        <f t="shared" ref="U4:U67" si="12">T4/60</f>
        <v>67.033333333333331</v>
      </c>
      <c r="V4" s="37">
        <f t="shared" si="1"/>
        <v>0.43959719635473021</v>
      </c>
      <c r="W4" s="38">
        <f t="shared" ref="W4:W67" si="13">IF(37.141*V4^0.4897&gt;22.6, 37.141*V4^0.4897, 0)</f>
        <v>24.834623711052632</v>
      </c>
      <c r="Y4" s="45">
        <v>45151.010416666664</v>
      </c>
      <c r="Z4" s="4">
        <v>5.7380357523475096E-3</v>
      </c>
      <c r="AA4" s="3">
        <v>0.81307424100000003</v>
      </c>
      <c r="AB4" s="4">
        <v>1934</v>
      </c>
      <c r="AC4" s="46">
        <f t="shared" ref="AC4:AC67" si="14">AB4/60</f>
        <v>32.233333333333334</v>
      </c>
      <c r="AD4" s="47">
        <f t="shared" si="2"/>
        <v>0.18495601908400139</v>
      </c>
      <c r="AE4" s="50">
        <f t="shared" ref="AE4:AE67" si="15">IF(37.141*AD4^0.4897&gt;22.6, 37.141*AD4^0.4897, 0)</f>
        <v>0</v>
      </c>
      <c r="AG4" s="51">
        <v>45166.010416666664</v>
      </c>
      <c r="AH4" s="72">
        <v>1.2652725073571E-2</v>
      </c>
      <c r="AI4" s="73">
        <v>0.50323377899999999</v>
      </c>
      <c r="AJ4" s="52">
        <v>5418</v>
      </c>
      <c r="AK4" s="53">
        <f t="shared" ref="AK4:AK67" si="16">AJ4/60</f>
        <v>90.3</v>
      </c>
      <c r="AL4" s="72">
        <f t="shared" si="3"/>
        <v>1.1425410741434612</v>
      </c>
      <c r="AM4" s="54">
        <f>IF(37.141*AL4^0.4897&gt;22.6, 37.141*AL4^0.4897, 0)</f>
        <v>39.645456583396225</v>
      </c>
      <c r="AO4" s="66">
        <v>45183.010416666664</v>
      </c>
      <c r="AP4" s="67">
        <v>7.1462194869225202E-3</v>
      </c>
      <c r="AQ4" s="68">
        <v>0.44939223900000003</v>
      </c>
      <c r="AR4" s="68">
        <v>1456</v>
      </c>
      <c r="AS4" s="68">
        <f t="shared" ref="AS4:AS67" si="17">AR4/60</f>
        <v>24.266666666666666</v>
      </c>
      <c r="AT4" s="68">
        <f t="shared" si="4"/>
        <v>0.17341492621598648</v>
      </c>
      <c r="AU4" s="69">
        <f t="shared" ref="AU4:AU67" si="18">IF(37.141*AT4^0.4897&gt;22.6, 37.141*AT4^0.4897, 0)</f>
        <v>0</v>
      </c>
      <c r="AW4" s="82">
        <v>45046.34375</v>
      </c>
      <c r="AX4" s="121">
        <v>3.6160985E-2</v>
      </c>
      <c r="AY4" s="83">
        <v>70.271667750000006</v>
      </c>
      <c r="AZ4" s="121">
        <v>8366</v>
      </c>
      <c r="BA4" s="83">
        <f t="shared" si="5"/>
        <v>139.43333333333334</v>
      </c>
      <c r="BB4" s="84">
        <f t="shared" si="6"/>
        <v>5.0420466751666666</v>
      </c>
      <c r="BC4" s="83">
        <f t="shared" si="7"/>
        <v>82.020077037983313</v>
      </c>
      <c r="BE4" s="87">
        <v>45047.21875</v>
      </c>
      <c r="BF4" s="118">
        <v>3.6583768725802698E-2</v>
      </c>
      <c r="BG4" s="88">
        <v>78.755362430000005</v>
      </c>
      <c r="BH4" s="89">
        <v>7427</v>
      </c>
      <c r="BI4" s="90">
        <f t="shared" ref="BI4:BI67" si="19">BH4/60</f>
        <v>123.78333333333333</v>
      </c>
      <c r="BJ4" s="91">
        <f t="shared" ref="BJ4:BJ67" si="20">BI4*BF4</f>
        <v>4.5284608387756107</v>
      </c>
      <c r="BK4" s="91">
        <f t="shared" ref="BK4:BK67" si="21">IF(37.141*BJ4^0.4897&gt;22.6, 37.141*BJ4^0.4897, 0)</f>
        <v>77.81666415726292</v>
      </c>
      <c r="BM4" s="93">
        <v>45049.260416666664</v>
      </c>
      <c r="BN4">
        <v>3.5885456546612703E-2</v>
      </c>
      <c r="BO4" s="95">
        <v>94.720978599999995</v>
      </c>
      <c r="BP4" s="4">
        <v>10343</v>
      </c>
      <c r="BQ4" s="95">
        <f t="shared" ref="BQ4:BQ67" si="22">BP4/60</f>
        <v>172.38333333333333</v>
      </c>
      <c r="BR4" s="94">
        <f t="shared" ref="BR4:BR67" si="23">BQ4*BN4</f>
        <v>6.1860546176935864</v>
      </c>
      <c r="BS4" s="96">
        <f t="shared" ref="BS4:BS67" si="24">IF(37.141*BR4^0.4897&gt;22.6, 37.141*BR4^0.4897, 0)</f>
        <v>90.658578702129986</v>
      </c>
      <c r="BU4" s="10">
        <v>45050.520833333336</v>
      </c>
      <c r="BV4" s="119">
        <v>0.107946160049172</v>
      </c>
      <c r="BW4" s="21">
        <v>96.393321510000007</v>
      </c>
      <c r="BX4" s="120">
        <v>4021</v>
      </c>
      <c r="BY4" s="21">
        <f t="shared" ref="BY4:BY67" si="25">BX4/60</f>
        <v>67.016666666666666</v>
      </c>
      <c r="BZ4" s="21">
        <f t="shared" ref="BZ4:BZ67" si="26">BY4*BV4</f>
        <v>7.2341918259620099</v>
      </c>
      <c r="CA4" s="21">
        <f t="shared" ref="CA4:CA67" si="27">IF(37.141*BZ4^0.4897&gt;22.6, 37.141*BZ4^0.4897, 0)</f>
        <v>97.880659249697544</v>
      </c>
    </row>
    <row r="5" spans="1:79" x14ac:dyDescent="0.25">
      <c r="A5" s="10">
        <v>44776.021527777775</v>
      </c>
      <c r="B5" s="11">
        <v>1.9109347783652299E-3</v>
      </c>
      <c r="C5" s="12">
        <v>0.78552173950000004</v>
      </c>
      <c r="D5" s="9">
        <v>156</v>
      </c>
      <c r="E5" s="13">
        <f t="shared" si="8"/>
        <v>2.6</v>
      </c>
      <c r="F5" s="12">
        <f t="shared" si="9"/>
        <v>4.9684304237495982E-3</v>
      </c>
      <c r="G5" s="13">
        <f t="shared" ref="G5:G68" si="28">37.141*F5^0.4897</f>
        <v>2.7649809345134853</v>
      </c>
      <c r="I5" s="25">
        <v>44781.021527777775</v>
      </c>
      <c r="J5" s="26">
        <v>4.8180465017357297E-3</v>
      </c>
      <c r="K5" s="27">
        <v>1.3533179835</v>
      </c>
      <c r="L5" s="28">
        <v>1142</v>
      </c>
      <c r="M5" s="29">
        <f t="shared" si="10"/>
        <v>19.033333333333335</v>
      </c>
      <c r="N5" s="26">
        <f t="shared" si="0"/>
        <v>9.1703485083036732E-2</v>
      </c>
      <c r="O5" s="29">
        <f t="shared" si="11"/>
        <v>0</v>
      </c>
      <c r="Q5" s="35">
        <v>45136.020833333336</v>
      </c>
      <c r="R5" s="71">
        <v>8.2701496035337604E-3</v>
      </c>
      <c r="S5" s="70">
        <v>1.1441742989999999</v>
      </c>
      <c r="T5" s="36">
        <v>4666</v>
      </c>
      <c r="U5" s="37">
        <f t="shared" si="12"/>
        <v>77.766666666666666</v>
      </c>
      <c r="V5" s="37">
        <f t="shared" si="1"/>
        <v>0.64314196750147545</v>
      </c>
      <c r="W5" s="38">
        <f t="shared" si="13"/>
        <v>29.921368797033395</v>
      </c>
      <c r="Y5" s="45">
        <v>45151.020833333336</v>
      </c>
      <c r="Z5" s="4">
        <v>5.5164617106820803E-3</v>
      </c>
      <c r="AA5" s="3">
        <v>0.50323377899999999</v>
      </c>
      <c r="AB5" s="4">
        <v>830</v>
      </c>
      <c r="AC5" s="46">
        <f t="shared" si="14"/>
        <v>13.833333333333334</v>
      </c>
      <c r="AD5" s="47">
        <f t="shared" si="2"/>
        <v>7.6311053664435441E-2</v>
      </c>
      <c r="AE5" s="50">
        <f t="shared" si="15"/>
        <v>0</v>
      </c>
      <c r="AG5" s="51">
        <v>45166.020833333336</v>
      </c>
      <c r="AH5" s="72">
        <v>9.1951867851858098E-3</v>
      </c>
      <c r="AI5" s="73">
        <v>0.376777213</v>
      </c>
      <c r="AJ5" s="52">
        <v>3866</v>
      </c>
      <c r="AK5" s="53">
        <f t="shared" si="16"/>
        <v>64.433333333333337</v>
      </c>
      <c r="AL5" s="72">
        <f t="shared" si="3"/>
        <v>0.59247653519213905</v>
      </c>
      <c r="AM5" s="54">
        <f t="shared" ref="AM5:AM67" si="29">IF(37.141*AL5^0.4897&gt;22.6, 37.141*AL5^0.4897, 0)</f>
        <v>28.742904854222196</v>
      </c>
      <c r="AO5" s="66">
        <v>45183.020833333336</v>
      </c>
      <c r="AP5" s="67">
        <v>4.5827994986773497E-3</v>
      </c>
      <c r="AQ5" s="68">
        <v>0.44894941300000002</v>
      </c>
      <c r="AR5" s="68">
        <v>1318</v>
      </c>
      <c r="AS5" s="68">
        <f t="shared" si="17"/>
        <v>21.966666666666665</v>
      </c>
      <c r="AT5" s="68">
        <f t="shared" si="4"/>
        <v>0.10066882898761244</v>
      </c>
      <c r="AU5" s="69">
        <f t="shared" si="18"/>
        <v>0</v>
      </c>
      <c r="AW5" s="82">
        <v>45046.354166666664</v>
      </c>
      <c r="AX5" s="121">
        <v>3.3322849000000002E-2</v>
      </c>
      <c r="AY5" s="83">
        <v>68.466857000000005</v>
      </c>
      <c r="AZ5" s="121">
        <v>8273</v>
      </c>
      <c r="BA5" s="83">
        <f t="shared" si="5"/>
        <v>137.88333333333333</v>
      </c>
      <c r="BB5" s="84">
        <f t="shared" si="6"/>
        <v>4.5946654962833335</v>
      </c>
      <c r="BC5" s="83">
        <f t="shared" si="7"/>
        <v>78.371710774317449</v>
      </c>
      <c r="BE5" s="87">
        <v>45047.229166666664</v>
      </c>
      <c r="BF5" s="118">
        <v>3.1500656650923303E-2</v>
      </c>
      <c r="BG5" s="88">
        <v>80.079324720000002</v>
      </c>
      <c r="BH5" s="89">
        <v>8170</v>
      </c>
      <c r="BI5" s="90">
        <f t="shared" si="19"/>
        <v>136.16666666666666</v>
      </c>
      <c r="BJ5" s="91">
        <f t="shared" si="20"/>
        <v>4.2893394139673893</v>
      </c>
      <c r="BK5" s="91">
        <f t="shared" si="21"/>
        <v>75.776610972721528</v>
      </c>
      <c r="BM5" s="93">
        <v>45049.270833333336</v>
      </c>
      <c r="BN5">
        <v>3.1084247223509401E-2</v>
      </c>
      <c r="BO5" s="95">
        <v>100.9486689</v>
      </c>
      <c r="BP5" s="4">
        <v>10100</v>
      </c>
      <c r="BQ5" s="95">
        <f t="shared" si="22"/>
        <v>168.33333333333334</v>
      </c>
      <c r="BR5" s="94">
        <f t="shared" si="23"/>
        <v>5.2325149492907492</v>
      </c>
      <c r="BS5" s="96">
        <f t="shared" si="24"/>
        <v>83.523005505687152</v>
      </c>
      <c r="BU5" s="10">
        <v>45050.53125</v>
      </c>
      <c r="BV5" s="119">
        <v>9.0791497850966602E-2</v>
      </c>
      <c r="BW5" s="21">
        <v>96.400480259999995</v>
      </c>
      <c r="BX5" s="120">
        <v>4179</v>
      </c>
      <c r="BY5" s="21">
        <f t="shared" si="25"/>
        <v>69.650000000000006</v>
      </c>
      <c r="BZ5" s="21">
        <f t="shared" si="26"/>
        <v>6.3236278253198241</v>
      </c>
      <c r="CA5" s="21">
        <f t="shared" si="27"/>
        <v>91.64036085817429</v>
      </c>
    </row>
    <row r="6" spans="1:79" x14ac:dyDescent="0.25">
      <c r="A6" s="10">
        <v>44776.031944444447</v>
      </c>
      <c r="B6" s="11">
        <v>1.68743229133343E-3</v>
      </c>
      <c r="C6" s="12">
        <v>0.77333739349999997</v>
      </c>
      <c r="D6" s="9">
        <v>140</v>
      </c>
      <c r="E6" s="13">
        <f t="shared" si="8"/>
        <v>2.3333333333333335</v>
      </c>
      <c r="F6" s="12">
        <f t="shared" si="9"/>
        <v>3.9373420131113366E-3</v>
      </c>
      <c r="G6" s="13">
        <f t="shared" si="28"/>
        <v>2.4673148397084299</v>
      </c>
      <c r="I6" s="25">
        <v>44781.031944444447</v>
      </c>
      <c r="J6" s="26">
        <v>3.3458903436103201E-3</v>
      </c>
      <c r="K6" s="27">
        <v>1.3056302835</v>
      </c>
      <c r="L6" s="28">
        <v>1133</v>
      </c>
      <c r="M6" s="29">
        <f t="shared" si="10"/>
        <v>18.883333333333333</v>
      </c>
      <c r="N6" s="26">
        <f t="shared" si="0"/>
        <v>6.3181562655174883E-2</v>
      </c>
      <c r="O6" s="29">
        <f t="shared" si="11"/>
        <v>0</v>
      </c>
      <c r="Q6" s="35">
        <v>45136.03125</v>
      </c>
      <c r="R6" s="71">
        <v>5.0806678921883897E-3</v>
      </c>
      <c r="S6" s="70">
        <v>0.73432993800000002</v>
      </c>
      <c r="T6" s="36">
        <v>2568</v>
      </c>
      <c r="U6" s="37">
        <f t="shared" si="12"/>
        <v>42.8</v>
      </c>
      <c r="V6" s="37">
        <f t="shared" si="1"/>
        <v>0.21745258578566307</v>
      </c>
      <c r="W6" s="38">
        <f t="shared" si="13"/>
        <v>0</v>
      </c>
      <c r="Y6" s="45">
        <v>45151.03125</v>
      </c>
      <c r="Z6" s="4">
        <v>8.1778152933130593E-3</v>
      </c>
      <c r="AA6" s="3">
        <v>0.69769667099999999</v>
      </c>
      <c r="AB6" s="4">
        <v>1804</v>
      </c>
      <c r="AC6" s="46">
        <f t="shared" si="14"/>
        <v>30.066666666666666</v>
      </c>
      <c r="AD6" s="47">
        <f t="shared" si="2"/>
        <v>0.24587964648561264</v>
      </c>
      <c r="AE6" s="50">
        <f t="shared" si="15"/>
        <v>0</v>
      </c>
      <c r="AG6" s="51">
        <v>45166.03125</v>
      </c>
      <c r="AH6" s="72">
        <v>1.5173261866540701E-2</v>
      </c>
      <c r="AI6" s="73">
        <v>0.42386643899999998</v>
      </c>
      <c r="AJ6" s="52">
        <v>4454</v>
      </c>
      <c r="AK6" s="53">
        <f t="shared" si="16"/>
        <v>74.233333333333334</v>
      </c>
      <c r="AL6" s="72">
        <f t="shared" si="3"/>
        <v>1.1263618058928713</v>
      </c>
      <c r="AM6" s="54">
        <f t="shared" si="29"/>
        <v>39.369533421059508</v>
      </c>
      <c r="AO6" s="66">
        <v>45183.03125</v>
      </c>
      <c r="AP6" s="67">
        <v>7.4133539473626503E-3</v>
      </c>
      <c r="AQ6" s="68">
        <v>0.59425534599999996</v>
      </c>
      <c r="AR6" s="68">
        <v>2084</v>
      </c>
      <c r="AS6" s="68">
        <f t="shared" si="17"/>
        <v>34.733333333333334</v>
      </c>
      <c r="AT6" s="68">
        <f t="shared" si="4"/>
        <v>0.25749049377172939</v>
      </c>
      <c r="AU6" s="69">
        <f t="shared" si="18"/>
        <v>0</v>
      </c>
      <c r="AW6" s="82">
        <v>45046.364583333336</v>
      </c>
      <c r="AX6" s="121">
        <v>3.3540121999999999E-2</v>
      </c>
      <c r="AY6" s="83">
        <v>69.36581735</v>
      </c>
      <c r="AZ6" s="121">
        <v>7907</v>
      </c>
      <c r="BA6" s="83">
        <f t="shared" si="5"/>
        <v>131.78333333333333</v>
      </c>
      <c r="BB6" s="84">
        <f t="shared" si="6"/>
        <v>4.4200290775666664</v>
      </c>
      <c r="BC6" s="83">
        <f t="shared" si="7"/>
        <v>76.898572358647399</v>
      </c>
      <c r="BE6" s="87">
        <v>45047.239583333336</v>
      </c>
      <c r="BF6" s="118">
        <v>3.2423821818007299E-2</v>
      </c>
      <c r="BG6" s="88">
        <v>81.397704649999994</v>
      </c>
      <c r="BH6" s="89">
        <v>8109</v>
      </c>
      <c r="BI6" s="90">
        <f t="shared" si="19"/>
        <v>135.15</v>
      </c>
      <c r="BJ6" s="91">
        <f t="shared" si="20"/>
        <v>4.3820795187036863</v>
      </c>
      <c r="BK6" s="91">
        <f t="shared" si="21"/>
        <v>76.574542920371201</v>
      </c>
      <c r="BM6" s="93">
        <v>45049.28125</v>
      </c>
      <c r="BN6">
        <v>3.0161015858154699E-2</v>
      </c>
      <c r="BO6" s="95">
        <v>103.3988808</v>
      </c>
      <c r="BP6" s="4">
        <v>10265</v>
      </c>
      <c r="BQ6" s="95">
        <f t="shared" si="22"/>
        <v>171.08333333333334</v>
      </c>
      <c r="BR6" s="94">
        <f t="shared" si="23"/>
        <v>5.1600471297326331</v>
      </c>
      <c r="BS6" s="96">
        <f t="shared" si="24"/>
        <v>82.954527517052853</v>
      </c>
      <c r="BU6" s="10">
        <v>45050.541666666664</v>
      </c>
      <c r="BV6" s="119">
        <v>9.3448856240914993E-2</v>
      </c>
      <c r="BW6" s="21">
        <v>100.9486689</v>
      </c>
      <c r="BX6" s="120">
        <v>4142</v>
      </c>
      <c r="BY6" s="21">
        <f t="shared" si="25"/>
        <v>69.033333333333331</v>
      </c>
      <c r="BZ6" s="21">
        <f t="shared" si="26"/>
        <v>6.4510860424978311</v>
      </c>
      <c r="CA6" s="21">
        <f t="shared" si="27"/>
        <v>92.540276268151132</v>
      </c>
    </row>
    <row r="7" spans="1:79" x14ac:dyDescent="0.25">
      <c r="A7" s="10">
        <v>44776.042361111111</v>
      </c>
      <c r="B7" s="11">
        <v>1.72438646685688E-3</v>
      </c>
      <c r="C7" s="12">
        <v>0.69855224699999996</v>
      </c>
      <c r="D7" s="9">
        <v>158</v>
      </c>
      <c r="E7" s="13">
        <f t="shared" si="8"/>
        <v>2.6333333333333333</v>
      </c>
      <c r="F7" s="12">
        <f t="shared" si="9"/>
        <v>4.5408843627231174E-3</v>
      </c>
      <c r="G7" s="13">
        <f t="shared" si="28"/>
        <v>2.6457893704180964</v>
      </c>
      <c r="I7" s="25">
        <v>44781.042361111111</v>
      </c>
      <c r="J7" s="26">
        <v>4.0338568213079302E-3</v>
      </c>
      <c r="K7" s="27">
        <v>1.3930697775000001</v>
      </c>
      <c r="L7" s="28">
        <v>1250</v>
      </c>
      <c r="M7" s="29">
        <f t="shared" si="10"/>
        <v>20.833333333333332</v>
      </c>
      <c r="N7" s="26">
        <f t="shared" si="0"/>
        <v>8.4038683777248546E-2</v>
      </c>
      <c r="O7" s="29">
        <f t="shared" si="11"/>
        <v>0</v>
      </c>
      <c r="Q7" s="35">
        <v>45136.041666666664</v>
      </c>
      <c r="R7" s="71">
        <v>8.18501275629426E-3</v>
      </c>
      <c r="S7" s="70">
        <v>1.317101139</v>
      </c>
      <c r="T7" s="36">
        <v>5208</v>
      </c>
      <c r="U7" s="37">
        <f t="shared" si="12"/>
        <v>86.8</v>
      </c>
      <c r="V7" s="37">
        <f t="shared" si="1"/>
        <v>0.71045910724634176</v>
      </c>
      <c r="W7" s="38">
        <f t="shared" si="13"/>
        <v>31.416100892084852</v>
      </c>
      <c r="Y7" s="45">
        <v>45151.041666666664</v>
      </c>
      <c r="Z7" s="4">
        <v>7.37397531382136E-3</v>
      </c>
      <c r="AA7" s="3">
        <v>0.69769667099999999</v>
      </c>
      <c r="AB7" s="4">
        <v>1779</v>
      </c>
      <c r="AC7" s="46">
        <f t="shared" si="14"/>
        <v>29.65</v>
      </c>
      <c r="AD7" s="47">
        <f t="shared" si="2"/>
        <v>0.2186383680548033</v>
      </c>
      <c r="AE7" s="50">
        <f t="shared" si="15"/>
        <v>0</v>
      </c>
      <c r="AG7" s="51">
        <v>45166.041666666664</v>
      </c>
      <c r="AH7" s="72">
        <v>1.2167439556441201E-2</v>
      </c>
      <c r="AI7" s="73">
        <v>0.42386643899999998</v>
      </c>
      <c r="AJ7" s="52">
        <v>4533</v>
      </c>
      <c r="AK7" s="53">
        <f t="shared" si="16"/>
        <v>75.55</v>
      </c>
      <c r="AL7" s="72">
        <f t="shared" si="3"/>
        <v>0.91925005848913266</v>
      </c>
      <c r="AM7" s="54">
        <f t="shared" si="29"/>
        <v>35.640768428102852</v>
      </c>
      <c r="AO7" s="66">
        <v>45183.041666666664</v>
      </c>
      <c r="AP7" s="67">
        <v>5.4663213325717901E-3</v>
      </c>
      <c r="AQ7" s="68">
        <v>0.399936554</v>
      </c>
      <c r="AR7" s="68">
        <v>1096</v>
      </c>
      <c r="AS7" s="68">
        <f t="shared" si="17"/>
        <v>18.266666666666666</v>
      </c>
      <c r="AT7" s="68">
        <f t="shared" si="4"/>
        <v>9.985146967497803E-2</v>
      </c>
      <c r="AU7" s="69">
        <f t="shared" si="18"/>
        <v>0</v>
      </c>
      <c r="AW7" s="82">
        <v>45046.375</v>
      </c>
      <c r="AX7" s="121">
        <v>3.4657274000000002E-2</v>
      </c>
      <c r="AY7" s="83">
        <v>69.36581735</v>
      </c>
      <c r="AZ7" s="121">
        <v>8100</v>
      </c>
      <c r="BA7" s="83">
        <f t="shared" si="5"/>
        <v>135</v>
      </c>
      <c r="BB7" s="84">
        <f t="shared" si="6"/>
        <v>4.6787319900000002</v>
      </c>
      <c r="BC7" s="83">
        <f t="shared" si="7"/>
        <v>79.07065870598538</v>
      </c>
      <c r="BE7" s="87">
        <v>45047.25</v>
      </c>
      <c r="BF7" s="118">
        <v>3.1521529038454801E-2</v>
      </c>
      <c r="BG7" s="88">
        <v>80.961047410000006</v>
      </c>
      <c r="BH7" s="89">
        <v>7804</v>
      </c>
      <c r="BI7" s="90">
        <f t="shared" si="19"/>
        <v>130.06666666666666</v>
      </c>
      <c r="BJ7" s="91">
        <f t="shared" si="20"/>
        <v>4.0999002102683546</v>
      </c>
      <c r="BK7" s="91">
        <f t="shared" si="21"/>
        <v>74.118849769232312</v>
      </c>
      <c r="BM7" s="93">
        <v>45049.291666666664</v>
      </c>
      <c r="BN7">
        <v>3.2941322561112499E-2</v>
      </c>
      <c r="BO7" s="95">
        <v>108.62303609999999</v>
      </c>
      <c r="BP7" s="4">
        <v>10340</v>
      </c>
      <c r="BQ7" s="95">
        <f t="shared" si="22"/>
        <v>172.33333333333334</v>
      </c>
      <c r="BR7" s="94">
        <f t="shared" si="23"/>
        <v>5.6768879213650543</v>
      </c>
      <c r="BS7" s="96">
        <f t="shared" si="24"/>
        <v>86.924342915009575</v>
      </c>
      <c r="BU7" s="10">
        <v>45050.552083333336</v>
      </c>
      <c r="BV7" s="119">
        <v>9.6062476792138099E-2</v>
      </c>
      <c r="BW7" s="21">
        <v>97.649612750000003</v>
      </c>
      <c r="BX7" s="120">
        <v>4160</v>
      </c>
      <c r="BY7" s="21">
        <f t="shared" si="25"/>
        <v>69.333333333333329</v>
      </c>
      <c r="BZ7" s="21">
        <f t="shared" si="26"/>
        <v>6.6603317242549078</v>
      </c>
      <c r="CA7" s="21">
        <f t="shared" si="27"/>
        <v>93.998195275073385</v>
      </c>
    </row>
    <row r="8" spans="1:79" x14ac:dyDescent="0.25">
      <c r="A8" s="10">
        <v>44776.052777777775</v>
      </c>
      <c r="B8" s="11">
        <v>1.4704661606273399E-3</v>
      </c>
      <c r="C8" s="12">
        <v>0.71226070049999901</v>
      </c>
      <c r="D8" s="9">
        <v>143</v>
      </c>
      <c r="E8" s="13">
        <f t="shared" si="8"/>
        <v>2.3833333333333333</v>
      </c>
      <c r="F8" s="12">
        <f t="shared" si="9"/>
        <v>3.5046110161618266E-3</v>
      </c>
      <c r="G8" s="13">
        <f t="shared" si="28"/>
        <v>2.3305783803926121</v>
      </c>
      <c r="I8" s="25">
        <v>44781.052777777775</v>
      </c>
      <c r="J8" s="26">
        <v>3.37164121232515E-3</v>
      </c>
      <c r="K8" s="27">
        <v>1.357638297</v>
      </c>
      <c r="L8" s="28">
        <v>1223</v>
      </c>
      <c r="M8" s="29">
        <f t="shared" si="10"/>
        <v>20.383333333333333</v>
      </c>
      <c r="N8" s="26">
        <f t="shared" si="0"/>
        <v>6.8725286711227643E-2</v>
      </c>
      <c r="O8" s="29">
        <f t="shared" si="11"/>
        <v>0</v>
      </c>
      <c r="Q8" s="35">
        <v>45136.052083333336</v>
      </c>
      <c r="R8" s="71">
        <v>9.4849839824454E-3</v>
      </c>
      <c r="S8" s="70">
        <v>1.1441742989999999</v>
      </c>
      <c r="T8" s="36">
        <v>4584</v>
      </c>
      <c r="U8" s="37">
        <f t="shared" si="12"/>
        <v>76.400000000000006</v>
      </c>
      <c r="V8" s="37">
        <f t="shared" si="1"/>
        <v>0.72465277625882862</v>
      </c>
      <c r="W8" s="38">
        <f t="shared" si="13"/>
        <v>31.72190310962235</v>
      </c>
      <c r="Y8" s="45">
        <v>45151.052083333336</v>
      </c>
      <c r="Z8" s="4">
        <v>5.1172948044195098E-3</v>
      </c>
      <c r="AA8" s="3">
        <v>0.66168135500000003</v>
      </c>
      <c r="AB8" s="4">
        <v>1412</v>
      </c>
      <c r="AC8" s="46">
        <f t="shared" si="14"/>
        <v>23.533333333333335</v>
      </c>
      <c r="AD8" s="47">
        <f t="shared" si="2"/>
        <v>0.12042700439733914</v>
      </c>
      <c r="AE8" s="50">
        <f t="shared" si="15"/>
        <v>0</v>
      </c>
      <c r="AG8" s="51">
        <v>45166.052083333336</v>
      </c>
      <c r="AH8" s="72">
        <v>1.31922622969669E-2</v>
      </c>
      <c r="AI8" s="73">
        <v>0.44894941300000002</v>
      </c>
      <c r="AJ8" s="52">
        <v>4857</v>
      </c>
      <c r="AK8" s="53">
        <f t="shared" si="16"/>
        <v>80.95</v>
      </c>
      <c r="AL8" s="72">
        <f t="shared" si="3"/>
        <v>1.0679136329394707</v>
      </c>
      <c r="AM8" s="54">
        <f t="shared" si="29"/>
        <v>38.355507714735971</v>
      </c>
      <c r="AO8" s="66">
        <v>45183.052083333336</v>
      </c>
      <c r="AP8" s="67">
        <v>7.2387601189118E-3</v>
      </c>
      <c r="AQ8" s="68">
        <v>0.50323377899999999</v>
      </c>
      <c r="AR8" s="68">
        <v>1870</v>
      </c>
      <c r="AS8" s="68">
        <f t="shared" si="17"/>
        <v>31.166666666666668</v>
      </c>
      <c r="AT8" s="68">
        <f t="shared" si="4"/>
        <v>0.22560802370608443</v>
      </c>
      <c r="AU8" s="69">
        <f t="shared" si="18"/>
        <v>0</v>
      </c>
      <c r="AW8" s="82">
        <v>45046.385416666664</v>
      </c>
      <c r="AX8" s="121">
        <v>4.1305267999999999E-2</v>
      </c>
      <c r="AY8" s="83">
        <v>67.106545600000004</v>
      </c>
      <c r="AZ8" s="121">
        <v>8147</v>
      </c>
      <c r="BA8" s="83">
        <f t="shared" si="5"/>
        <v>135.78333333333333</v>
      </c>
      <c r="BB8" s="84">
        <f t="shared" si="6"/>
        <v>5.6085669732666661</v>
      </c>
      <c r="BC8" s="83">
        <f t="shared" si="7"/>
        <v>86.410471155116355</v>
      </c>
      <c r="BE8" s="87">
        <v>45047.260416666664</v>
      </c>
      <c r="BF8" s="118">
        <v>3.3800052556195302E-2</v>
      </c>
      <c r="BG8" s="88">
        <v>82.276892649999994</v>
      </c>
      <c r="BH8" s="89">
        <v>7813</v>
      </c>
      <c r="BI8" s="90">
        <f t="shared" si="19"/>
        <v>130.21666666666667</v>
      </c>
      <c r="BJ8" s="91">
        <f t="shared" si="20"/>
        <v>4.4013301770258986</v>
      </c>
      <c r="BK8" s="91">
        <f t="shared" si="21"/>
        <v>76.739091393463653</v>
      </c>
      <c r="BM8" s="93">
        <v>45049.302083333336</v>
      </c>
      <c r="BN8">
        <v>3.1407270262268798E-2</v>
      </c>
      <c r="BO8" s="95">
        <v>93.457733590000004</v>
      </c>
      <c r="BP8" s="4">
        <v>10267</v>
      </c>
      <c r="BQ8" s="95">
        <f t="shared" si="22"/>
        <v>171.11666666666667</v>
      </c>
      <c r="BR8" s="94">
        <f t="shared" si="23"/>
        <v>5.3743073963785628</v>
      </c>
      <c r="BS8" s="96">
        <f t="shared" si="24"/>
        <v>84.623799863901397</v>
      </c>
      <c r="BU8" s="10">
        <v>45050.5625</v>
      </c>
      <c r="BV8" s="119">
        <v>8.65790585873258E-2</v>
      </c>
      <c r="BW8" s="21">
        <v>96.400480259999995</v>
      </c>
      <c r="BX8" s="120">
        <v>4320</v>
      </c>
      <c r="BY8" s="21">
        <f t="shared" si="25"/>
        <v>72</v>
      </c>
      <c r="BZ8" s="21">
        <f t="shared" si="26"/>
        <v>6.2336922182874579</v>
      </c>
      <c r="CA8" s="21">
        <f t="shared" si="27"/>
        <v>90.999790681567461</v>
      </c>
    </row>
    <row r="9" spans="1:79" x14ac:dyDescent="0.25">
      <c r="A9" s="10">
        <v>44776.063194444447</v>
      </c>
      <c r="B9" s="11">
        <v>1.6665107529161901E-3</v>
      </c>
      <c r="C9" s="12">
        <v>0.773592222</v>
      </c>
      <c r="D9" s="9">
        <v>148</v>
      </c>
      <c r="E9" s="13">
        <f t="shared" si="8"/>
        <v>2.4666666666666668</v>
      </c>
      <c r="F9" s="12">
        <f t="shared" si="9"/>
        <v>4.1107265238599358E-3</v>
      </c>
      <c r="G9" s="13">
        <f t="shared" si="28"/>
        <v>2.519936075085202</v>
      </c>
      <c r="I9" s="25">
        <v>44781.063194444447</v>
      </c>
      <c r="J9" s="26">
        <v>4.3578673023543599E-3</v>
      </c>
      <c r="K9" s="27">
        <v>1.362681324</v>
      </c>
      <c r="L9" s="28">
        <v>1302</v>
      </c>
      <c r="M9" s="29">
        <f t="shared" si="10"/>
        <v>21.7</v>
      </c>
      <c r="N9" s="26">
        <f t="shared" si="0"/>
        <v>9.4565720461089603E-2</v>
      </c>
      <c r="O9" s="29">
        <f t="shared" si="11"/>
        <v>0</v>
      </c>
      <c r="Q9" s="35">
        <v>45136.0625</v>
      </c>
      <c r="R9" s="71">
        <v>8.8037191334718896E-3</v>
      </c>
      <c r="S9" s="70">
        <v>1.257509953</v>
      </c>
      <c r="T9" s="36">
        <v>5123</v>
      </c>
      <c r="U9" s="37">
        <f t="shared" si="12"/>
        <v>85.38333333333334</v>
      </c>
      <c r="V9" s="37">
        <f t="shared" si="1"/>
        <v>0.75169088534627493</v>
      </c>
      <c r="W9" s="38">
        <f t="shared" si="13"/>
        <v>32.296096210611431</v>
      </c>
      <c r="Y9" s="45">
        <v>45151.0625</v>
      </c>
      <c r="Z9" s="4">
        <v>5.4349889838434303E-3</v>
      </c>
      <c r="AA9" s="3">
        <v>0.66168135500000003</v>
      </c>
      <c r="AB9" s="4">
        <v>1463</v>
      </c>
      <c r="AC9" s="46">
        <f t="shared" si="14"/>
        <v>24.383333333333333</v>
      </c>
      <c r="AD9" s="47">
        <f t="shared" si="2"/>
        <v>0.13252314805604898</v>
      </c>
      <c r="AE9" s="50">
        <f t="shared" si="15"/>
        <v>0</v>
      </c>
      <c r="AG9" s="51">
        <v>45166.0625</v>
      </c>
      <c r="AH9" s="72">
        <v>9.3324856544559701E-3</v>
      </c>
      <c r="AI9" s="73">
        <v>0.376777213</v>
      </c>
      <c r="AJ9" s="52">
        <v>3974</v>
      </c>
      <c r="AK9" s="53">
        <f t="shared" si="16"/>
        <v>66.233333333333334</v>
      </c>
      <c r="AL9" s="72">
        <f t="shared" si="3"/>
        <v>0.6181216331801338</v>
      </c>
      <c r="AM9" s="54">
        <f t="shared" si="29"/>
        <v>29.345566839890022</v>
      </c>
      <c r="AO9" s="66">
        <v>45183.0625</v>
      </c>
      <c r="AP9" s="67">
        <v>7.0337175579352797E-3</v>
      </c>
      <c r="AQ9" s="68">
        <v>0.53251963199999997</v>
      </c>
      <c r="AR9" s="68">
        <v>1826</v>
      </c>
      <c r="AS9" s="68">
        <f t="shared" si="17"/>
        <v>30.433333333333334</v>
      </c>
      <c r="AT9" s="68">
        <f t="shared" si="4"/>
        <v>0.21405947101316367</v>
      </c>
      <c r="AU9" s="69">
        <f t="shared" si="18"/>
        <v>0</v>
      </c>
      <c r="AW9" s="82">
        <v>45046.395833333336</v>
      </c>
      <c r="AX9" s="121">
        <v>3.4257292000000002E-2</v>
      </c>
      <c r="AY9" s="83">
        <v>68.466857000000005</v>
      </c>
      <c r="AZ9" s="121">
        <v>8087</v>
      </c>
      <c r="BA9" s="83">
        <f t="shared" si="5"/>
        <v>134.78333333333333</v>
      </c>
      <c r="BB9" s="84">
        <f t="shared" si="6"/>
        <v>4.6173120067333331</v>
      </c>
      <c r="BC9" s="83">
        <f t="shared" si="7"/>
        <v>78.560636745669044</v>
      </c>
      <c r="BE9" s="87">
        <v>45047.270833333336</v>
      </c>
      <c r="BF9" s="118">
        <v>3.34618052358433E-2</v>
      </c>
      <c r="BG9" s="88">
        <v>82.718647970000006</v>
      </c>
      <c r="BH9" s="89">
        <v>7687</v>
      </c>
      <c r="BI9" s="90">
        <f t="shared" si="19"/>
        <v>128.11666666666667</v>
      </c>
      <c r="BJ9" s="91">
        <f t="shared" si="20"/>
        <v>4.2870149474654582</v>
      </c>
      <c r="BK9" s="91">
        <f t="shared" si="21"/>
        <v>75.756498835522578</v>
      </c>
      <c r="BM9" s="93">
        <v>45049.3125</v>
      </c>
      <c r="BN9">
        <v>3.02222231060927E-2</v>
      </c>
      <c r="BO9" s="95">
        <v>98.893656829999998</v>
      </c>
      <c r="BP9" s="4">
        <v>10519</v>
      </c>
      <c r="BQ9" s="95">
        <f t="shared" si="22"/>
        <v>175.31666666666666</v>
      </c>
      <c r="BR9" s="94">
        <f t="shared" si="23"/>
        <v>5.2984594142164854</v>
      </c>
      <c r="BS9" s="96">
        <f t="shared" si="24"/>
        <v>84.036829210087575</v>
      </c>
      <c r="BU9" s="10">
        <v>45050.572916666664</v>
      </c>
      <c r="BV9" s="119">
        <v>8.9017828530349397E-2</v>
      </c>
      <c r="BW9" s="21">
        <v>97.229596529999995</v>
      </c>
      <c r="BX9" s="120">
        <v>4311</v>
      </c>
      <c r="BY9" s="21">
        <f t="shared" si="25"/>
        <v>71.849999999999994</v>
      </c>
      <c r="BZ9" s="21">
        <f t="shared" si="26"/>
        <v>6.3959309799056037</v>
      </c>
      <c r="CA9" s="21">
        <f t="shared" si="27"/>
        <v>92.151979388979882</v>
      </c>
    </row>
    <row r="10" spans="1:79" x14ac:dyDescent="0.25">
      <c r="A10" s="10">
        <v>44776.073611111111</v>
      </c>
      <c r="B10" s="11">
        <v>1.83290314890138E-3</v>
      </c>
      <c r="C10" s="12">
        <v>0.76798645399999999</v>
      </c>
      <c r="D10" s="9">
        <v>159</v>
      </c>
      <c r="E10" s="13">
        <f t="shared" si="8"/>
        <v>2.65</v>
      </c>
      <c r="F10" s="12">
        <f t="shared" si="9"/>
        <v>4.8571933445886572E-3</v>
      </c>
      <c r="G10" s="13">
        <f t="shared" si="28"/>
        <v>2.7344911288796694</v>
      </c>
      <c r="I10" s="25">
        <v>44781.073611111111</v>
      </c>
      <c r="J10" s="26">
        <v>4.8753227192836202E-3</v>
      </c>
      <c r="K10" s="27">
        <v>1.428025611</v>
      </c>
      <c r="L10" s="28">
        <v>1360</v>
      </c>
      <c r="M10" s="29">
        <f t="shared" si="10"/>
        <v>22.666666666666668</v>
      </c>
      <c r="N10" s="26">
        <f t="shared" si="0"/>
        <v>0.11050731497042873</v>
      </c>
      <c r="O10" s="29">
        <f t="shared" si="11"/>
        <v>0</v>
      </c>
      <c r="Q10" s="35">
        <v>45136.072916666664</v>
      </c>
      <c r="R10" s="71">
        <v>6.6931413721323099E-3</v>
      </c>
      <c r="S10" s="70">
        <v>0.85462156099999997</v>
      </c>
      <c r="T10" s="36">
        <v>3239</v>
      </c>
      <c r="U10" s="37">
        <f t="shared" si="12"/>
        <v>53.983333333333334</v>
      </c>
      <c r="V10" s="37">
        <f t="shared" si="1"/>
        <v>0.36131808173894253</v>
      </c>
      <c r="W10" s="38">
        <f t="shared" si="13"/>
        <v>0</v>
      </c>
      <c r="Y10" s="45">
        <v>45151.072916666664</v>
      </c>
      <c r="Z10" s="4">
        <v>5.0742199706757703E-3</v>
      </c>
      <c r="AA10" s="3">
        <v>0.59425534599999996</v>
      </c>
      <c r="AB10" s="4">
        <v>1203</v>
      </c>
      <c r="AC10" s="46">
        <f t="shared" si="14"/>
        <v>20.05</v>
      </c>
      <c r="AD10" s="47">
        <f t="shared" si="2"/>
        <v>0.10173811041204919</v>
      </c>
      <c r="AE10" s="50">
        <f t="shared" si="15"/>
        <v>0</v>
      </c>
      <c r="AG10" s="51">
        <v>45166.072916666664</v>
      </c>
      <c r="AH10" s="72">
        <v>1.13237827412186E-2</v>
      </c>
      <c r="AI10" s="73">
        <v>0.44894941300000002</v>
      </c>
      <c r="AJ10" s="52">
        <v>5103</v>
      </c>
      <c r="AK10" s="53">
        <f t="shared" si="16"/>
        <v>85.05</v>
      </c>
      <c r="AL10" s="72">
        <f t="shared" si="3"/>
        <v>0.96308772214064187</v>
      </c>
      <c r="AM10" s="54">
        <f t="shared" si="29"/>
        <v>36.463198159789307</v>
      </c>
      <c r="AO10" s="66">
        <v>45183.072916666664</v>
      </c>
      <c r="AP10" s="67">
        <v>5.6874719280770904E-3</v>
      </c>
      <c r="AQ10" s="68">
        <v>0.50323377899999999</v>
      </c>
      <c r="AR10" s="68">
        <v>1705</v>
      </c>
      <c r="AS10" s="68">
        <f t="shared" si="17"/>
        <v>28.416666666666668</v>
      </c>
      <c r="AT10" s="68">
        <f t="shared" si="4"/>
        <v>0.16161899395619067</v>
      </c>
      <c r="AU10" s="69">
        <f t="shared" si="18"/>
        <v>0</v>
      </c>
      <c r="AW10" s="82">
        <v>45046.40625</v>
      </c>
      <c r="AX10" s="121">
        <v>3.8110062E-2</v>
      </c>
      <c r="AY10" s="83">
        <v>68.466857000000005</v>
      </c>
      <c r="AZ10" s="121">
        <v>8003</v>
      </c>
      <c r="BA10" s="83">
        <f t="shared" si="5"/>
        <v>133.38333333333333</v>
      </c>
      <c r="BB10" s="84">
        <f t="shared" si="6"/>
        <v>5.0832471030999997</v>
      </c>
      <c r="BC10" s="83">
        <f t="shared" si="7"/>
        <v>82.347600517405539</v>
      </c>
      <c r="BE10" s="87">
        <v>45047.28125</v>
      </c>
      <c r="BF10" s="118">
        <v>3.4986892084342601E-2</v>
      </c>
      <c r="BG10" s="88">
        <v>84.460540300000005</v>
      </c>
      <c r="BH10" s="89">
        <v>7820</v>
      </c>
      <c r="BI10" s="90">
        <f t="shared" si="19"/>
        <v>130.33333333333334</v>
      </c>
      <c r="BJ10" s="91">
        <f t="shared" si="20"/>
        <v>4.5599582683259863</v>
      </c>
      <c r="BK10" s="91">
        <f t="shared" si="21"/>
        <v>78.08124505381646</v>
      </c>
      <c r="BM10" s="93">
        <v>45049.322916666664</v>
      </c>
      <c r="BN10">
        <v>3.2448527286859603E-2</v>
      </c>
      <c r="BO10" s="95">
        <v>91.345373739999999</v>
      </c>
      <c r="BP10" s="4">
        <v>10834</v>
      </c>
      <c r="BQ10" s="95">
        <f t="shared" si="22"/>
        <v>180.56666666666666</v>
      </c>
      <c r="BR10" s="94">
        <f t="shared" si="23"/>
        <v>5.8591224104306159</v>
      </c>
      <c r="BS10" s="96">
        <f t="shared" si="24"/>
        <v>88.279772023546002</v>
      </c>
      <c r="BU10" s="10">
        <v>45050.583333333336</v>
      </c>
      <c r="BV10" s="119">
        <v>9.4037453556883394E-2</v>
      </c>
      <c r="BW10" s="21">
        <v>105.42475589999999</v>
      </c>
      <c r="BX10" s="120">
        <v>4040</v>
      </c>
      <c r="BY10" s="21">
        <f t="shared" si="25"/>
        <v>67.333333333333329</v>
      </c>
      <c r="BZ10" s="21">
        <f t="shared" si="26"/>
        <v>6.331855206163481</v>
      </c>
      <c r="CA10" s="21">
        <f t="shared" si="27"/>
        <v>91.698727955316642</v>
      </c>
    </row>
    <row r="11" spans="1:79" x14ac:dyDescent="0.25">
      <c r="A11" s="10">
        <v>44776.084027777775</v>
      </c>
      <c r="B11" s="11">
        <v>1.6837174444085899E-3</v>
      </c>
      <c r="C11" s="12">
        <v>0.7563906655</v>
      </c>
      <c r="D11" s="9">
        <v>156</v>
      </c>
      <c r="E11" s="13">
        <f t="shared" si="8"/>
        <v>2.6</v>
      </c>
      <c r="F11" s="12">
        <f t="shared" si="9"/>
        <v>4.3776653554623342E-3</v>
      </c>
      <c r="G11" s="13">
        <f t="shared" si="28"/>
        <v>2.5987833405071061</v>
      </c>
      <c r="I11" s="25">
        <v>44781.084027777775</v>
      </c>
      <c r="J11" s="26">
        <v>4.1854080675101501E-3</v>
      </c>
      <c r="K11" s="27">
        <v>1.4664620669999999</v>
      </c>
      <c r="L11" s="28">
        <v>1517</v>
      </c>
      <c r="M11" s="29">
        <f t="shared" si="10"/>
        <v>25.283333333333335</v>
      </c>
      <c r="N11" s="26">
        <f t="shared" si="0"/>
        <v>0.10582106730688164</v>
      </c>
      <c r="O11" s="29">
        <f t="shared" si="11"/>
        <v>0</v>
      </c>
      <c r="Q11" s="35">
        <v>45136.083333333336</v>
      </c>
      <c r="R11" s="71">
        <v>7.2577035099906304E-3</v>
      </c>
      <c r="S11" s="70">
        <v>1.257509953</v>
      </c>
      <c r="T11" s="36">
        <v>4899</v>
      </c>
      <c r="U11" s="37">
        <f t="shared" si="12"/>
        <v>81.650000000000006</v>
      </c>
      <c r="V11" s="37">
        <f t="shared" si="1"/>
        <v>0.59259149159073499</v>
      </c>
      <c r="W11" s="38">
        <f t="shared" si="13"/>
        <v>28.745635725673324</v>
      </c>
      <c r="Y11" s="45">
        <v>45151.083333333336</v>
      </c>
      <c r="Z11" s="4">
        <v>5.2715473421977403E-3</v>
      </c>
      <c r="AA11" s="3">
        <v>0.66168135500000003</v>
      </c>
      <c r="AB11" s="4">
        <v>1543</v>
      </c>
      <c r="AC11" s="46">
        <f t="shared" si="14"/>
        <v>25.716666666666665</v>
      </c>
      <c r="AD11" s="47">
        <f t="shared" si="2"/>
        <v>0.13556662581685189</v>
      </c>
      <c r="AE11" s="50">
        <f t="shared" si="15"/>
        <v>0</v>
      </c>
      <c r="AG11" s="51">
        <v>45166.083333333336</v>
      </c>
      <c r="AH11" s="72">
        <v>1.1123627719475299E-2</v>
      </c>
      <c r="AI11" s="73">
        <v>0.44894941300000002</v>
      </c>
      <c r="AJ11" s="52">
        <v>4906</v>
      </c>
      <c r="AK11" s="53">
        <f t="shared" si="16"/>
        <v>81.766666666666666</v>
      </c>
      <c r="AL11" s="72">
        <f t="shared" si="3"/>
        <v>0.90954195986243025</v>
      </c>
      <c r="AM11" s="54">
        <f t="shared" si="29"/>
        <v>35.455946879836603</v>
      </c>
      <c r="AO11" s="66">
        <v>45183.083333333336</v>
      </c>
      <c r="AP11" s="67">
        <v>7.53180491795766E-3</v>
      </c>
      <c r="AQ11" s="68">
        <v>0.50323377899999999</v>
      </c>
      <c r="AR11" s="68">
        <v>1802</v>
      </c>
      <c r="AS11" s="68">
        <f t="shared" si="17"/>
        <v>30.033333333333335</v>
      </c>
      <c r="AT11" s="68">
        <f t="shared" si="4"/>
        <v>0.22620520770266173</v>
      </c>
      <c r="AU11" s="69">
        <f t="shared" si="18"/>
        <v>0</v>
      </c>
      <c r="AW11" s="82">
        <v>45046.416666666664</v>
      </c>
      <c r="AX11" s="121">
        <v>3.4052740999999997E-2</v>
      </c>
      <c r="AY11" s="83">
        <v>67.106545600000004</v>
      </c>
      <c r="AZ11" s="121">
        <v>8206</v>
      </c>
      <c r="BA11" s="83">
        <f t="shared" si="5"/>
        <v>136.76666666666668</v>
      </c>
      <c r="BB11" s="84">
        <f t="shared" si="6"/>
        <v>4.657279877433333</v>
      </c>
      <c r="BC11" s="83">
        <f t="shared" si="7"/>
        <v>78.892914151061035</v>
      </c>
      <c r="BE11" s="87">
        <v>45047.291666666664</v>
      </c>
      <c r="BF11" s="118">
        <v>3.5245215936784001E-2</v>
      </c>
      <c r="BG11" s="88">
        <v>82.284398269999997</v>
      </c>
      <c r="BH11" s="89">
        <v>7332</v>
      </c>
      <c r="BI11" s="90">
        <f t="shared" si="19"/>
        <v>122.2</v>
      </c>
      <c r="BJ11" s="91">
        <f t="shared" si="20"/>
        <v>4.3069653874750049</v>
      </c>
      <c r="BK11" s="91">
        <f t="shared" si="21"/>
        <v>75.928936726700002</v>
      </c>
      <c r="BM11" s="93">
        <v>45049.333333333336</v>
      </c>
      <c r="BN11">
        <v>3.0481391456111302E-2</v>
      </c>
      <c r="BO11" s="95">
        <v>94.720978599999995</v>
      </c>
      <c r="BP11" s="4">
        <v>10666</v>
      </c>
      <c r="BQ11" s="95">
        <f t="shared" si="22"/>
        <v>177.76666666666668</v>
      </c>
      <c r="BR11" s="94">
        <f t="shared" si="23"/>
        <v>5.4185753545147195</v>
      </c>
      <c r="BS11" s="96">
        <f t="shared" si="24"/>
        <v>84.964427348275436</v>
      </c>
      <c r="BU11" s="10">
        <v>45050.59375</v>
      </c>
      <c r="BV11" s="119">
        <v>8.9374571000463393E-2</v>
      </c>
      <c r="BW11" s="21">
        <v>99.714355679999997</v>
      </c>
      <c r="BX11" s="120">
        <v>4048</v>
      </c>
      <c r="BY11" s="21">
        <f t="shared" si="25"/>
        <v>67.466666666666669</v>
      </c>
      <c r="BZ11" s="21">
        <f t="shared" si="26"/>
        <v>6.029804390164597</v>
      </c>
      <c r="CA11" s="21">
        <f t="shared" si="27"/>
        <v>89.529896267971509</v>
      </c>
    </row>
    <row r="12" spans="1:79" x14ac:dyDescent="0.25">
      <c r="A12" s="10">
        <v>44776.094444444447</v>
      </c>
      <c r="B12" s="11">
        <v>1.7097107206537E-3</v>
      </c>
      <c r="C12" s="12">
        <v>0.72541048299999999</v>
      </c>
      <c r="D12" s="9">
        <v>144</v>
      </c>
      <c r="E12" s="13">
        <f t="shared" si="8"/>
        <v>2.4</v>
      </c>
      <c r="F12" s="12">
        <f t="shared" si="9"/>
        <v>4.1033057295688799E-3</v>
      </c>
      <c r="G12" s="13">
        <f t="shared" si="28"/>
        <v>2.5177073751060881</v>
      </c>
      <c r="I12" s="25">
        <v>44781.094444444447</v>
      </c>
      <c r="J12" s="26">
        <v>4.8426555676493203E-3</v>
      </c>
      <c r="K12" s="27">
        <v>1.3805518125</v>
      </c>
      <c r="L12" s="28">
        <v>1236</v>
      </c>
      <c r="M12" s="29">
        <f t="shared" si="10"/>
        <v>20.6</v>
      </c>
      <c r="N12" s="26">
        <f t="shared" si="0"/>
        <v>9.9758704693576006E-2</v>
      </c>
      <c r="O12" s="29">
        <f t="shared" si="11"/>
        <v>0</v>
      </c>
      <c r="Q12" s="35">
        <v>45136.09375</v>
      </c>
      <c r="R12" s="71">
        <v>6.1325235940755604E-3</v>
      </c>
      <c r="S12" s="70">
        <v>0.85462156099999997</v>
      </c>
      <c r="T12" s="36">
        <v>2994</v>
      </c>
      <c r="U12" s="37">
        <f t="shared" si="12"/>
        <v>49.9</v>
      </c>
      <c r="V12" s="37">
        <f t="shared" si="1"/>
        <v>0.30601292734437047</v>
      </c>
      <c r="W12" s="38">
        <f t="shared" si="13"/>
        <v>0</v>
      </c>
      <c r="Y12" s="45">
        <v>45151.09375</v>
      </c>
      <c r="Z12" s="4">
        <v>4.9407786066443396E-3</v>
      </c>
      <c r="AA12" s="3">
        <v>0.50323377899999999</v>
      </c>
      <c r="AB12" s="4">
        <v>1008</v>
      </c>
      <c r="AC12" s="46">
        <f t="shared" si="14"/>
        <v>16.8</v>
      </c>
      <c r="AD12" s="47">
        <f t="shared" si="2"/>
        <v>8.3005080591624911E-2</v>
      </c>
      <c r="AE12" s="50">
        <f t="shared" si="15"/>
        <v>0</v>
      </c>
      <c r="AG12" s="51">
        <v>45166.09375</v>
      </c>
      <c r="AH12" s="72">
        <v>8.4389228129867905E-3</v>
      </c>
      <c r="AI12" s="73">
        <v>0.35506608000000001</v>
      </c>
      <c r="AJ12" s="52">
        <v>3284</v>
      </c>
      <c r="AK12" s="53">
        <f t="shared" si="16"/>
        <v>54.733333333333334</v>
      </c>
      <c r="AL12" s="72">
        <f t="shared" si="3"/>
        <v>0.46189037529747701</v>
      </c>
      <c r="AM12" s="54">
        <f t="shared" si="29"/>
        <v>25.443584699087346</v>
      </c>
      <c r="AO12" s="66">
        <v>45183.09375</v>
      </c>
      <c r="AP12" s="67">
        <v>6.4224885081144503E-3</v>
      </c>
      <c r="AQ12" s="68">
        <v>0.50323377899999999</v>
      </c>
      <c r="AR12" s="68">
        <v>1795</v>
      </c>
      <c r="AS12" s="68">
        <f t="shared" si="17"/>
        <v>29.916666666666668</v>
      </c>
      <c r="AT12" s="68">
        <f t="shared" si="4"/>
        <v>0.1921394478677573</v>
      </c>
      <c r="AU12" s="69">
        <f t="shared" si="18"/>
        <v>0</v>
      </c>
      <c r="AW12" s="82">
        <v>45046.427083333336</v>
      </c>
      <c r="AX12" s="121">
        <v>3.8224658000000002E-2</v>
      </c>
      <c r="AY12" s="83">
        <v>68.008627450000006</v>
      </c>
      <c r="AZ12" s="121">
        <v>7716</v>
      </c>
      <c r="BA12" s="83">
        <f t="shared" si="5"/>
        <v>128.6</v>
      </c>
      <c r="BB12" s="84">
        <f t="shared" si="6"/>
        <v>4.9156910187999996</v>
      </c>
      <c r="BC12" s="83">
        <f t="shared" si="7"/>
        <v>81.00700208412924</v>
      </c>
      <c r="BE12" s="87">
        <v>45047.302083333336</v>
      </c>
      <c r="BF12" s="118">
        <v>3.6184016590519799E-2</v>
      </c>
      <c r="BG12" s="88">
        <v>82.284398269999997</v>
      </c>
      <c r="BH12" s="89">
        <v>7445</v>
      </c>
      <c r="BI12" s="90">
        <f t="shared" si="19"/>
        <v>124.08333333333333</v>
      </c>
      <c r="BJ12" s="91">
        <f t="shared" si="20"/>
        <v>4.4898333919403317</v>
      </c>
      <c r="BK12" s="91">
        <f t="shared" si="21"/>
        <v>77.490905212998626</v>
      </c>
      <c r="BM12" s="93">
        <v>45049.34375</v>
      </c>
      <c r="BN12">
        <v>3.0552664236223E-2</v>
      </c>
      <c r="BO12" s="95">
        <v>97.229596529999995</v>
      </c>
      <c r="BP12" s="4">
        <v>10633</v>
      </c>
      <c r="BQ12" s="95">
        <f t="shared" si="22"/>
        <v>177.21666666666667</v>
      </c>
      <c r="BR12" s="94">
        <f t="shared" si="23"/>
        <v>5.414441313729319</v>
      </c>
      <c r="BS12" s="96">
        <f t="shared" si="24"/>
        <v>84.932677515374522</v>
      </c>
      <c r="BU12" s="10">
        <v>45050.604166666664</v>
      </c>
      <c r="BV12" s="119">
        <v>9.2671575396705494E-2</v>
      </c>
      <c r="BW12" s="21">
        <v>97.642487979999999</v>
      </c>
      <c r="BX12" s="120">
        <v>4169</v>
      </c>
      <c r="BY12" s="21">
        <f t="shared" si="25"/>
        <v>69.483333333333334</v>
      </c>
      <c r="BZ12" s="21">
        <f t="shared" si="26"/>
        <v>6.4391299638144206</v>
      </c>
      <c r="CA12" s="21">
        <f t="shared" si="27"/>
        <v>92.456248594811271</v>
      </c>
    </row>
    <row r="13" spans="1:79" x14ac:dyDescent="0.25">
      <c r="A13" s="10">
        <v>44776.104861111111</v>
      </c>
      <c r="B13" s="11">
        <v>1.7989273872607099E-3</v>
      </c>
      <c r="C13" s="12">
        <v>0.74867457049999997</v>
      </c>
      <c r="D13" s="9">
        <v>135</v>
      </c>
      <c r="E13" s="13">
        <f t="shared" si="8"/>
        <v>2.25</v>
      </c>
      <c r="F13" s="12">
        <f t="shared" si="9"/>
        <v>4.0475866213365973E-3</v>
      </c>
      <c r="G13" s="13">
        <f t="shared" si="28"/>
        <v>2.5009070349243157</v>
      </c>
      <c r="I13" s="25">
        <v>44781.104861111111</v>
      </c>
      <c r="J13" s="26">
        <v>3.85064610428362E-3</v>
      </c>
      <c r="K13" s="27">
        <v>1.321577692</v>
      </c>
      <c r="L13" s="28">
        <v>1169</v>
      </c>
      <c r="M13" s="29">
        <f t="shared" si="10"/>
        <v>19.483333333333334</v>
      </c>
      <c r="N13" s="26">
        <f t="shared" si="0"/>
        <v>7.5023421598459206E-2</v>
      </c>
      <c r="O13" s="29">
        <f t="shared" si="11"/>
        <v>0</v>
      </c>
      <c r="Q13" s="35">
        <v>45136.104166666664</v>
      </c>
      <c r="R13" s="71">
        <v>6.2121875116996003E-3</v>
      </c>
      <c r="S13" s="70">
        <v>0.99067576999999996</v>
      </c>
      <c r="T13" s="36">
        <v>3444</v>
      </c>
      <c r="U13" s="37">
        <f t="shared" si="12"/>
        <v>57.4</v>
      </c>
      <c r="V13" s="37">
        <f t="shared" si="1"/>
        <v>0.35657956317155703</v>
      </c>
      <c r="W13" s="38">
        <f t="shared" si="13"/>
        <v>0</v>
      </c>
      <c r="Y13" s="45">
        <v>45151.104166666664</v>
      </c>
      <c r="Z13" s="4">
        <v>5.7785316550617097E-3</v>
      </c>
      <c r="AA13" s="3">
        <v>0.69769667099999999</v>
      </c>
      <c r="AB13" s="4">
        <v>1594</v>
      </c>
      <c r="AC13" s="46">
        <f t="shared" si="14"/>
        <v>26.566666666666666</v>
      </c>
      <c r="AD13" s="47">
        <f t="shared" si="2"/>
        <v>0.1535163243028061</v>
      </c>
      <c r="AE13" s="50">
        <f t="shared" si="15"/>
        <v>0</v>
      </c>
      <c r="AG13" s="51">
        <v>45166.104166666664</v>
      </c>
      <c r="AH13" s="72">
        <v>7.6190844363772502E-3</v>
      </c>
      <c r="AI13" s="73">
        <v>0.35506608000000001</v>
      </c>
      <c r="AJ13" s="52">
        <v>3355</v>
      </c>
      <c r="AK13" s="53">
        <f t="shared" si="16"/>
        <v>55.916666666666664</v>
      </c>
      <c r="AL13" s="72">
        <f t="shared" si="3"/>
        <v>0.42603380473409458</v>
      </c>
      <c r="AM13" s="54">
        <f t="shared" si="29"/>
        <v>24.456389878309288</v>
      </c>
      <c r="AO13" s="66">
        <v>45183.104166666664</v>
      </c>
      <c r="AP13" s="67">
        <v>5.90703193286267E-3</v>
      </c>
      <c r="AQ13" s="68">
        <v>0.53201108200000002</v>
      </c>
      <c r="AR13" s="68">
        <v>1919</v>
      </c>
      <c r="AS13" s="68">
        <f t="shared" si="17"/>
        <v>31.983333333333334</v>
      </c>
      <c r="AT13" s="68">
        <f t="shared" si="4"/>
        <v>0.18892657131939106</v>
      </c>
      <c r="AU13" s="69">
        <f t="shared" si="18"/>
        <v>0</v>
      </c>
      <c r="AW13" s="82">
        <v>45046.4375</v>
      </c>
      <c r="AX13" s="121">
        <v>3.7605164000000003E-2</v>
      </c>
      <c r="AY13" s="83">
        <v>68.466857000000005</v>
      </c>
      <c r="AZ13" s="121">
        <v>8104</v>
      </c>
      <c r="BA13" s="83">
        <f t="shared" si="5"/>
        <v>135.06666666666666</v>
      </c>
      <c r="BB13" s="84">
        <f t="shared" si="6"/>
        <v>5.0792041509333332</v>
      </c>
      <c r="BC13" s="83">
        <f t="shared" si="7"/>
        <v>82.315521091065975</v>
      </c>
      <c r="BE13" s="87">
        <v>45047.3125</v>
      </c>
      <c r="BF13" s="118">
        <v>3.1961904212251702E-2</v>
      </c>
      <c r="BG13" s="88">
        <v>81.405228940000001</v>
      </c>
      <c r="BH13" s="89">
        <v>7815</v>
      </c>
      <c r="BI13" s="90">
        <f t="shared" si="19"/>
        <v>130.25</v>
      </c>
      <c r="BJ13" s="91">
        <f t="shared" si="20"/>
        <v>4.1630380236457842</v>
      </c>
      <c r="BK13" s="91">
        <f t="shared" si="21"/>
        <v>74.675623016160287</v>
      </c>
      <c r="BM13" s="93">
        <v>45049.354166666664</v>
      </c>
      <c r="BN13">
        <v>3.1220657079788501E-2</v>
      </c>
      <c r="BO13" s="95">
        <v>91.338086169999997</v>
      </c>
      <c r="BP13" s="4">
        <v>10861</v>
      </c>
      <c r="BQ13" s="95">
        <f t="shared" si="22"/>
        <v>181.01666666666668</v>
      </c>
      <c r="BR13" s="94">
        <f t="shared" si="23"/>
        <v>5.6514592757263822</v>
      </c>
      <c r="BS13" s="96">
        <f t="shared" si="24"/>
        <v>86.733453598336567</v>
      </c>
      <c r="BU13" s="10">
        <v>45050.614583333336</v>
      </c>
      <c r="BV13" s="119">
        <v>9.0314417242790296E-2</v>
      </c>
      <c r="BW13" s="21">
        <v>102.9873886</v>
      </c>
      <c r="BX13" s="120">
        <v>4164</v>
      </c>
      <c r="BY13" s="21">
        <f t="shared" si="25"/>
        <v>69.400000000000006</v>
      </c>
      <c r="BZ13" s="21">
        <f t="shared" si="26"/>
        <v>6.2678205566496468</v>
      </c>
      <c r="CA13" s="21">
        <f t="shared" si="27"/>
        <v>91.243422981009516</v>
      </c>
    </row>
    <row r="14" spans="1:79" x14ac:dyDescent="0.25">
      <c r="A14" s="10">
        <v>44776.115277777775</v>
      </c>
      <c r="B14" s="11">
        <v>1.7040234354624699E-3</v>
      </c>
      <c r="C14" s="12">
        <v>0.77382161049999998</v>
      </c>
      <c r="D14" s="9">
        <v>156</v>
      </c>
      <c r="E14" s="13">
        <f t="shared" si="8"/>
        <v>2.6</v>
      </c>
      <c r="F14" s="12">
        <f t="shared" si="9"/>
        <v>4.4304609322024218E-3</v>
      </c>
      <c r="G14" s="13">
        <f t="shared" si="28"/>
        <v>2.6140845154105792</v>
      </c>
      <c r="I14" s="25">
        <v>44781.115277777775</v>
      </c>
      <c r="J14" s="26">
        <v>3.8042462235734899E-3</v>
      </c>
      <c r="K14" s="27">
        <v>1.3305822285</v>
      </c>
      <c r="L14" s="28">
        <v>1212</v>
      </c>
      <c r="M14" s="29">
        <f t="shared" si="10"/>
        <v>20.2</v>
      </c>
      <c r="N14" s="26">
        <f t="shared" si="0"/>
        <v>7.6845773716184493E-2</v>
      </c>
      <c r="O14" s="29">
        <f t="shared" si="11"/>
        <v>0</v>
      </c>
      <c r="Q14" s="35">
        <v>45136.114583333336</v>
      </c>
      <c r="R14" s="71">
        <v>7.3149308238208803E-3</v>
      </c>
      <c r="S14" s="70">
        <v>0.99067576999999996</v>
      </c>
      <c r="T14" s="36">
        <v>3655</v>
      </c>
      <c r="U14" s="37">
        <f t="shared" si="12"/>
        <v>60.916666666666664</v>
      </c>
      <c r="V14" s="37">
        <f t="shared" si="1"/>
        <v>0.44560120268442194</v>
      </c>
      <c r="W14" s="38">
        <f t="shared" si="13"/>
        <v>25.000150459147054</v>
      </c>
      <c r="Y14" s="45">
        <v>45151.114583333336</v>
      </c>
      <c r="Z14" s="4">
        <v>6.2356924298291498E-3</v>
      </c>
      <c r="AA14" s="3">
        <v>0.66228851600000005</v>
      </c>
      <c r="AB14" s="4">
        <v>1365</v>
      </c>
      <c r="AC14" s="46">
        <f t="shared" si="14"/>
        <v>22.75</v>
      </c>
      <c r="AD14" s="47">
        <f t="shared" si="2"/>
        <v>0.14186200277861316</v>
      </c>
      <c r="AE14" s="50">
        <f t="shared" si="15"/>
        <v>0</v>
      </c>
      <c r="AG14" s="51">
        <v>45166.114583333336</v>
      </c>
      <c r="AH14" s="72">
        <v>9.1401589671664292E-3</v>
      </c>
      <c r="AI14" s="73">
        <v>0.35506608000000001</v>
      </c>
      <c r="AJ14" s="52">
        <v>3177</v>
      </c>
      <c r="AK14" s="53">
        <f t="shared" si="16"/>
        <v>52.95</v>
      </c>
      <c r="AL14" s="72">
        <f t="shared" si="3"/>
        <v>0.48397141731146243</v>
      </c>
      <c r="AM14" s="54">
        <f t="shared" si="29"/>
        <v>26.032136115911982</v>
      </c>
      <c r="AO14" s="66">
        <v>45183.114583333336</v>
      </c>
      <c r="AP14" s="67">
        <v>6.7335417006775602E-3</v>
      </c>
      <c r="AQ14" s="68">
        <v>0.50323377899999999</v>
      </c>
      <c r="AR14" s="68">
        <v>1756</v>
      </c>
      <c r="AS14" s="68">
        <f t="shared" si="17"/>
        <v>29.266666666666666</v>
      </c>
      <c r="AT14" s="68">
        <f t="shared" si="4"/>
        <v>0.19706832043982991</v>
      </c>
      <c r="AU14" s="69">
        <f t="shared" si="18"/>
        <v>0</v>
      </c>
      <c r="AW14" s="82">
        <v>45046.447916666664</v>
      </c>
      <c r="AX14" s="121">
        <v>3.6137886000000001E-2</v>
      </c>
      <c r="AY14" s="83">
        <v>69.822823</v>
      </c>
      <c r="AZ14" s="121">
        <v>7627</v>
      </c>
      <c r="BA14" s="83">
        <f t="shared" si="5"/>
        <v>127.11666666666666</v>
      </c>
      <c r="BB14" s="84">
        <f t="shared" si="6"/>
        <v>4.5937276087000001</v>
      </c>
      <c r="BC14" s="83">
        <f t="shared" si="7"/>
        <v>78.363876316632769</v>
      </c>
      <c r="BE14" s="87">
        <v>45047.322916666664</v>
      </c>
      <c r="BF14" s="118">
        <v>3.0794666003204501E-2</v>
      </c>
      <c r="BG14" s="88">
        <v>82.284398269999997</v>
      </c>
      <c r="BH14" s="89">
        <v>8421</v>
      </c>
      <c r="BI14" s="90">
        <f t="shared" si="19"/>
        <v>140.35</v>
      </c>
      <c r="BJ14" s="91">
        <f t="shared" si="20"/>
        <v>4.322031373549752</v>
      </c>
      <c r="BK14" s="91">
        <f t="shared" si="21"/>
        <v>76.058886788717572</v>
      </c>
      <c r="BM14" s="93">
        <v>45049.364583333336</v>
      </c>
      <c r="BN14">
        <v>3.1140920870023601E-2</v>
      </c>
      <c r="BO14" s="95">
        <v>90.492164919999993</v>
      </c>
      <c r="BP14" s="4">
        <v>10848</v>
      </c>
      <c r="BQ14" s="95">
        <f t="shared" si="22"/>
        <v>180.8</v>
      </c>
      <c r="BR14" s="94">
        <f t="shared" si="23"/>
        <v>5.630278493300267</v>
      </c>
      <c r="BS14" s="96">
        <f t="shared" si="24"/>
        <v>86.574117555919557</v>
      </c>
      <c r="BU14" s="10">
        <v>45050.625</v>
      </c>
      <c r="BV14" s="119">
        <v>8.9478898197366902E-2</v>
      </c>
      <c r="BW14" s="21">
        <v>103.80204430000001</v>
      </c>
      <c r="BX14" s="120">
        <v>4036</v>
      </c>
      <c r="BY14" s="21">
        <f t="shared" si="25"/>
        <v>67.266666666666666</v>
      </c>
      <c r="BZ14" s="21">
        <f t="shared" si="26"/>
        <v>6.0189472187428805</v>
      </c>
      <c r="CA14" s="21">
        <f t="shared" si="27"/>
        <v>89.45091732537901</v>
      </c>
    </row>
    <row r="15" spans="1:79" x14ac:dyDescent="0.25">
      <c r="A15" s="10">
        <v>44776.125694444447</v>
      </c>
      <c r="B15" s="11">
        <v>2.1815395347090601E-3</v>
      </c>
      <c r="C15" s="12">
        <v>0.75131557849999997</v>
      </c>
      <c r="D15" s="9">
        <v>134</v>
      </c>
      <c r="E15" s="13">
        <f t="shared" si="8"/>
        <v>2.2333333333333334</v>
      </c>
      <c r="F15" s="12">
        <f t="shared" si="9"/>
        <v>4.8721049608502348E-3</v>
      </c>
      <c r="G15" s="13">
        <f t="shared" si="28"/>
        <v>2.7385988992140011</v>
      </c>
      <c r="I15" s="25">
        <v>44781.125694444447</v>
      </c>
      <c r="J15" s="26">
        <v>3.50163718236056E-3</v>
      </c>
      <c r="K15" s="27">
        <v>1.3305822285</v>
      </c>
      <c r="L15" s="28">
        <v>1177</v>
      </c>
      <c r="M15" s="29">
        <f t="shared" si="10"/>
        <v>19.616666666666667</v>
      </c>
      <c r="N15" s="26">
        <f t="shared" si="0"/>
        <v>6.869044939397298E-2</v>
      </c>
      <c r="O15" s="29">
        <f t="shared" si="11"/>
        <v>0</v>
      </c>
      <c r="Q15" s="35">
        <v>45136.125</v>
      </c>
      <c r="R15" s="71">
        <v>5.4661244564920596E-3</v>
      </c>
      <c r="S15" s="70">
        <v>0.99067576999999996</v>
      </c>
      <c r="T15" s="36">
        <v>3358</v>
      </c>
      <c r="U15" s="37">
        <f t="shared" si="12"/>
        <v>55.966666666666669</v>
      </c>
      <c r="V15" s="37">
        <f t="shared" si="1"/>
        <v>0.30592076541500562</v>
      </c>
      <c r="W15" s="38">
        <f t="shared" si="13"/>
        <v>0</v>
      </c>
      <c r="Y15" s="45">
        <v>45151.125</v>
      </c>
      <c r="Z15" s="4">
        <v>7.8362827960532008E-3</v>
      </c>
      <c r="AA15" s="3">
        <v>0.89859415399999998</v>
      </c>
      <c r="AB15" s="4">
        <v>1965</v>
      </c>
      <c r="AC15" s="46">
        <f t="shared" si="14"/>
        <v>32.75</v>
      </c>
      <c r="AD15" s="47">
        <f t="shared" si="2"/>
        <v>0.25663826157074232</v>
      </c>
      <c r="AE15" s="50">
        <f t="shared" si="15"/>
        <v>0</v>
      </c>
      <c r="AG15" s="51">
        <v>45166.125</v>
      </c>
      <c r="AH15" s="72">
        <v>5.9159568177064997E-3</v>
      </c>
      <c r="AI15" s="73">
        <v>0.314737561</v>
      </c>
      <c r="AJ15" s="52">
        <v>2389</v>
      </c>
      <c r="AK15" s="53">
        <f t="shared" si="16"/>
        <v>39.81666666666667</v>
      </c>
      <c r="AL15" s="72">
        <f t="shared" si="3"/>
        <v>0.23555368062501381</v>
      </c>
      <c r="AM15" s="54">
        <f t="shared" si="29"/>
        <v>0</v>
      </c>
      <c r="AO15" s="66">
        <v>45183.125</v>
      </c>
      <c r="AP15" s="67">
        <v>9.8356318343493197E-3</v>
      </c>
      <c r="AQ15" s="68">
        <v>0.50323377899999999</v>
      </c>
      <c r="AR15" s="68">
        <v>1884</v>
      </c>
      <c r="AS15" s="68">
        <f t="shared" si="17"/>
        <v>31.4</v>
      </c>
      <c r="AT15" s="68">
        <f t="shared" si="4"/>
        <v>0.30883883959856862</v>
      </c>
      <c r="AU15" s="69">
        <f t="shared" si="18"/>
        <v>0</v>
      </c>
      <c r="AW15" s="82">
        <v>45046.458333333336</v>
      </c>
      <c r="AX15" s="121">
        <v>3.6727320000000001E-2</v>
      </c>
      <c r="AY15" s="83">
        <v>68.466857000000005</v>
      </c>
      <c r="AZ15" s="121">
        <v>8054</v>
      </c>
      <c r="BA15" s="83">
        <f t="shared" si="5"/>
        <v>134.23333333333332</v>
      </c>
      <c r="BB15" s="84">
        <f t="shared" si="6"/>
        <v>4.9300305879999993</v>
      </c>
      <c r="BC15" s="83">
        <f t="shared" si="7"/>
        <v>81.122634952901862</v>
      </c>
      <c r="BE15" s="87">
        <v>45047.333333333336</v>
      </c>
      <c r="BF15" s="118">
        <v>3.4340677199167099E-2</v>
      </c>
      <c r="BG15" s="88">
        <v>78.762941850000004</v>
      </c>
      <c r="BH15" s="89">
        <v>8142</v>
      </c>
      <c r="BI15" s="90">
        <f t="shared" si="19"/>
        <v>135.69999999999999</v>
      </c>
      <c r="BJ15" s="91">
        <f t="shared" si="20"/>
        <v>4.660029895926975</v>
      </c>
      <c r="BK15" s="91">
        <f t="shared" si="21"/>
        <v>78.915723136234604</v>
      </c>
      <c r="BM15" s="93">
        <v>45049.375</v>
      </c>
      <c r="BN15">
        <v>3.2708817641857998E-2</v>
      </c>
      <c r="BO15" s="95">
        <v>92.610732819999996</v>
      </c>
      <c r="BP15" s="4">
        <v>10912</v>
      </c>
      <c r="BQ15" s="95">
        <f t="shared" si="22"/>
        <v>181.86666666666667</v>
      </c>
      <c r="BR15" s="94">
        <f t="shared" si="23"/>
        <v>5.9486436351325747</v>
      </c>
      <c r="BS15" s="96">
        <f t="shared" si="24"/>
        <v>88.937734804526301</v>
      </c>
      <c r="BU15" s="10">
        <v>45050.635416666664</v>
      </c>
      <c r="BV15" s="119">
        <v>9.1346916823923499E-2</v>
      </c>
      <c r="BW15" s="21">
        <v>102.9873886</v>
      </c>
      <c r="BX15" s="120">
        <v>4079</v>
      </c>
      <c r="BY15" s="21">
        <f t="shared" si="25"/>
        <v>67.983333333333334</v>
      </c>
      <c r="BZ15" s="21">
        <f t="shared" si="26"/>
        <v>6.2100678954130659</v>
      </c>
      <c r="CA15" s="21">
        <f t="shared" si="27"/>
        <v>90.830744619970289</v>
      </c>
    </row>
    <row r="16" spans="1:79" x14ac:dyDescent="0.25">
      <c r="A16" s="10">
        <v>44776.136111111111</v>
      </c>
      <c r="B16" s="11">
        <v>1.66382600606423E-3</v>
      </c>
      <c r="C16" s="12">
        <v>0.75904434850000002</v>
      </c>
      <c r="D16" s="9">
        <v>145</v>
      </c>
      <c r="E16" s="13">
        <f t="shared" si="8"/>
        <v>2.4166666666666665</v>
      </c>
      <c r="F16" s="12">
        <f t="shared" si="9"/>
        <v>4.0209128479885559E-3</v>
      </c>
      <c r="G16" s="13">
        <f t="shared" si="28"/>
        <v>2.4928226307659678</v>
      </c>
      <c r="I16" s="25">
        <v>44781.136111111111</v>
      </c>
      <c r="J16" s="26">
        <v>3.8685122876322502E-3</v>
      </c>
      <c r="K16" s="27">
        <v>1.3962008465</v>
      </c>
      <c r="L16" s="28">
        <v>1250</v>
      </c>
      <c r="M16" s="29">
        <f t="shared" si="10"/>
        <v>20.833333333333332</v>
      </c>
      <c r="N16" s="26">
        <f t="shared" si="0"/>
        <v>8.0594005992338541E-2</v>
      </c>
      <c r="O16" s="29">
        <f t="shared" si="11"/>
        <v>0</v>
      </c>
      <c r="Q16" s="35">
        <v>45136.135416666664</v>
      </c>
      <c r="R16" s="71">
        <v>6.6934571025538203E-3</v>
      </c>
      <c r="S16" s="70">
        <v>1.1441742989999999</v>
      </c>
      <c r="T16" s="36">
        <v>4277</v>
      </c>
      <c r="U16" s="37">
        <f t="shared" si="12"/>
        <v>71.283333333333331</v>
      </c>
      <c r="V16" s="37">
        <f t="shared" si="1"/>
        <v>0.47713193379371149</v>
      </c>
      <c r="W16" s="38">
        <f t="shared" si="13"/>
        <v>25.851328026017967</v>
      </c>
      <c r="Y16" s="45">
        <v>45151.135416666664</v>
      </c>
      <c r="Z16" s="4">
        <v>5.2901740437682502E-3</v>
      </c>
      <c r="AA16" s="3">
        <v>0.66228851600000005</v>
      </c>
      <c r="AB16" s="4">
        <v>1321</v>
      </c>
      <c r="AC16" s="46">
        <f t="shared" si="14"/>
        <v>22.016666666666666</v>
      </c>
      <c r="AD16" s="47">
        <f t="shared" si="2"/>
        <v>0.11647199853029763</v>
      </c>
      <c r="AE16" s="50">
        <f t="shared" si="15"/>
        <v>0</v>
      </c>
      <c r="AG16" s="51">
        <v>45166.135416666664</v>
      </c>
      <c r="AH16" s="72">
        <v>7.5706265706428997E-3</v>
      </c>
      <c r="AI16" s="73">
        <v>0.314737561</v>
      </c>
      <c r="AJ16" s="52">
        <v>2534</v>
      </c>
      <c r="AK16" s="53">
        <f t="shared" si="16"/>
        <v>42.233333333333334</v>
      </c>
      <c r="AL16" s="72">
        <f t="shared" si="3"/>
        <v>0.31973279550015182</v>
      </c>
      <c r="AM16" s="54">
        <f t="shared" si="29"/>
        <v>0</v>
      </c>
      <c r="AO16" s="66">
        <v>45183.135416666664</v>
      </c>
      <c r="AP16" s="67">
        <v>6.4594928365992801E-3</v>
      </c>
      <c r="AQ16" s="68">
        <v>0.44894941300000002</v>
      </c>
      <c r="AR16" s="68">
        <v>1367</v>
      </c>
      <c r="AS16" s="68">
        <f t="shared" si="17"/>
        <v>22.783333333333335</v>
      </c>
      <c r="AT16" s="68">
        <f t="shared" si="4"/>
        <v>0.14716877846052029</v>
      </c>
      <c r="AU16" s="69">
        <f t="shared" si="18"/>
        <v>0</v>
      </c>
      <c r="AW16" s="82">
        <v>45046.46875</v>
      </c>
      <c r="AX16" s="121">
        <v>3.8915354999999999E-2</v>
      </c>
      <c r="AY16" s="83">
        <v>68.466857000000005</v>
      </c>
      <c r="AZ16" s="121">
        <v>7701</v>
      </c>
      <c r="BA16" s="83">
        <f t="shared" si="5"/>
        <v>128.35</v>
      </c>
      <c r="BB16" s="84">
        <f t="shared" si="6"/>
        <v>4.9947858142499992</v>
      </c>
      <c r="BC16" s="83">
        <f t="shared" si="7"/>
        <v>81.642689647426877</v>
      </c>
      <c r="BE16" s="87">
        <v>45047.34375</v>
      </c>
      <c r="BF16" s="118">
        <v>3.5756499910029098E-2</v>
      </c>
      <c r="BG16" s="88">
        <v>80.968580889999998</v>
      </c>
      <c r="BH16" s="89">
        <v>7946</v>
      </c>
      <c r="BI16" s="90">
        <f t="shared" si="19"/>
        <v>132.43333333333334</v>
      </c>
      <c r="BJ16" s="91">
        <f t="shared" si="20"/>
        <v>4.7353524714181869</v>
      </c>
      <c r="BK16" s="91">
        <f t="shared" si="21"/>
        <v>79.537808239607671</v>
      </c>
      <c r="BM16" s="93">
        <v>45049.385416666664</v>
      </c>
      <c r="BN16">
        <v>2.9238917878483001E-2</v>
      </c>
      <c r="BO16" s="95">
        <v>87.058386479999996</v>
      </c>
      <c r="BP16" s="4">
        <v>10631</v>
      </c>
      <c r="BQ16" s="95">
        <f t="shared" si="22"/>
        <v>177.18333333333334</v>
      </c>
      <c r="BR16" s="94">
        <f t="shared" si="23"/>
        <v>5.1806489327692136</v>
      </c>
      <c r="BS16" s="96">
        <f t="shared" si="24"/>
        <v>83.11655176203422</v>
      </c>
      <c r="BU16" s="10">
        <v>45050.645833333336</v>
      </c>
      <c r="BV16" s="119">
        <v>9.08509541481511E-2</v>
      </c>
      <c r="BW16" s="21">
        <v>104.2121959</v>
      </c>
      <c r="BX16" s="120">
        <v>4152</v>
      </c>
      <c r="BY16" s="21">
        <f t="shared" si="25"/>
        <v>69.2</v>
      </c>
      <c r="BZ16" s="21">
        <f t="shared" si="26"/>
        <v>6.2868860270520566</v>
      </c>
      <c r="CA16" s="21">
        <f t="shared" si="27"/>
        <v>91.379231172516413</v>
      </c>
    </row>
    <row r="17" spans="1:79" x14ac:dyDescent="0.25">
      <c r="A17" s="10">
        <v>44776.146527777775</v>
      </c>
      <c r="B17" s="11">
        <v>1.5966931489887E-3</v>
      </c>
      <c r="C17" s="12">
        <v>0.67891565050000002</v>
      </c>
      <c r="D17" s="9">
        <v>92</v>
      </c>
      <c r="E17" s="13">
        <f t="shared" si="8"/>
        <v>1.5333333333333334</v>
      </c>
      <c r="F17" s="12">
        <f t="shared" si="9"/>
        <v>2.44826282844934E-3</v>
      </c>
      <c r="G17" s="13">
        <f t="shared" si="28"/>
        <v>1.955137808952677</v>
      </c>
      <c r="I17" s="25">
        <v>44781.146527777775</v>
      </c>
      <c r="J17" s="26">
        <v>3.64264996025658E-3</v>
      </c>
      <c r="K17" s="27">
        <v>1.4174729134999999</v>
      </c>
      <c r="L17" s="28">
        <v>1248</v>
      </c>
      <c r="M17" s="29">
        <f t="shared" si="10"/>
        <v>20.8</v>
      </c>
      <c r="N17" s="26">
        <f t="shared" si="0"/>
        <v>7.5767119173336867E-2</v>
      </c>
      <c r="O17" s="29">
        <f t="shared" si="11"/>
        <v>0</v>
      </c>
      <c r="Q17" s="35">
        <v>45136.145833333336</v>
      </c>
      <c r="R17" s="71">
        <v>7.0321744031024997E-3</v>
      </c>
      <c r="S17" s="70">
        <v>0.99067576999999996</v>
      </c>
      <c r="T17" s="36">
        <v>3601</v>
      </c>
      <c r="U17" s="37">
        <f t="shared" si="12"/>
        <v>60.016666666666666</v>
      </c>
      <c r="V17" s="37">
        <f t="shared" si="1"/>
        <v>0.42204766709286834</v>
      </c>
      <c r="W17" s="38">
        <f t="shared" si="13"/>
        <v>24.344066247837816</v>
      </c>
      <c r="Y17" s="45">
        <v>45151.145833333336</v>
      </c>
      <c r="Z17" s="4">
        <v>4.5181662031888196E-3</v>
      </c>
      <c r="AA17" s="3">
        <v>0.66228851600000005</v>
      </c>
      <c r="AB17" s="4">
        <v>1403</v>
      </c>
      <c r="AC17" s="46">
        <f t="shared" si="14"/>
        <v>23.383333333333333</v>
      </c>
      <c r="AD17" s="47">
        <f t="shared" si="2"/>
        <v>0.10564978638456524</v>
      </c>
      <c r="AE17" s="50">
        <f t="shared" si="15"/>
        <v>0</v>
      </c>
      <c r="AG17" s="51">
        <v>45166.145833333336</v>
      </c>
      <c r="AH17" s="72">
        <v>1.1449107981734499E-2</v>
      </c>
      <c r="AI17" s="73">
        <v>0.42386643899999998</v>
      </c>
      <c r="AJ17" s="52">
        <v>4693</v>
      </c>
      <c r="AK17" s="53">
        <f t="shared" si="16"/>
        <v>78.216666666666669</v>
      </c>
      <c r="AL17" s="72">
        <f t="shared" si="3"/>
        <v>0.89551106263800007</v>
      </c>
      <c r="AM17" s="54">
        <f t="shared" si="29"/>
        <v>35.187040386560966</v>
      </c>
      <c r="AO17" s="66">
        <v>45183.145833333336</v>
      </c>
      <c r="AP17" s="67">
        <v>6.9853500611517898E-3</v>
      </c>
      <c r="AQ17" s="68">
        <v>0.59425534599999996</v>
      </c>
      <c r="AR17" s="68">
        <v>2272</v>
      </c>
      <c r="AS17" s="68">
        <f t="shared" si="17"/>
        <v>37.866666666666667</v>
      </c>
      <c r="AT17" s="68">
        <f t="shared" si="4"/>
        <v>0.26451192231561443</v>
      </c>
      <c r="AU17" s="69">
        <f t="shared" si="18"/>
        <v>0</v>
      </c>
      <c r="AW17" s="82">
        <v>45046.479166666664</v>
      </c>
      <c r="AX17" s="121">
        <v>3.9678574000000001E-2</v>
      </c>
      <c r="AY17" s="83">
        <v>68.008627450000006</v>
      </c>
      <c r="AZ17" s="121">
        <v>7644</v>
      </c>
      <c r="BA17" s="83">
        <f t="shared" si="5"/>
        <v>127.4</v>
      </c>
      <c r="BB17" s="84">
        <f t="shared" si="6"/>
        <v>5.0550503276000001</v>
      </c>
      <c r="BC17" s="83">
        <f t="shared" si="7"/>
        <v>82.123596798944703</v>
      </c>
      <c r="BE17" s="87">
        <v>45047.354166666664</v>
      </c>
      <c r="BF17" s="118">
        <v>3.1545377330829398E-2</v>
      </c>
      <c r="BG17" s="88">
        <v>78.762941850000004</v>
      </c>
      <c r="BH17" s="89">
        <v>7846</v>
      </c>
      <c r="BI17" s="90">
        <f t="shared" si="19"/>
        <v>130.76666666666668</v>
      </c>
      <c r="BJ17" s="91">
        <f t="shared" si="20"/>
        <v>4.1250838422947913</v>
      </c>
      <c r="BK17" s="91">
        <f t="shared" si="21"/>
        <v>74.341449568317927</v>
      </c>
      <c r="BM17" s="93">
        <v>45049.395833333336</v>
      </c>
      <c r="BN17">
        <v>3.1344164307657199E-2</v>
      </c>
      <c r="BO17" s="95">
        <v>90.492164919999993</v>
      </c>
      <c r="BP17" s="4">
        <v>10854</v>
      </c>
      <c r="BQ17" s="95">
        <f t="shared" si="22"/>
        <v>180.9</v>
      </c>
      <c r="BR17" s="94">
        <f t="shared" si="23"/>
        <v>5.6701593232551879</v>
      </c>
      <c r="BS17" s="96">
        <f t="shared" si="24"/>
        <v>86.87387478800278</v>
      </c>
      <c r="BU17" s="10">
        <v>45050.65625</v>
      </c>
      <c r="BV17" s="119">
        <v>8.9368704266800394E-2</v>
      </c>
      <c r="BW17" s="21">
        <v>106.2245245</v>
      </c>
      <c r="BX17" s="120">
        <v>4042</v>
      </c>
      <c r="BY17" s="21">
        <f t="shared" si="25"/>
        <v>67.36666666666666</v>
      </c>
      <c r="BZ17" s="21">
        <f t="shared" si="26"/>
        <v>6.0204717107734522</v>
      </c>
      <c r="CA17" s="21">
        <f t="shared" si="27"/>
        <v>89.462011409702811</v>
      </c>
    </row>
    <row r="18" spans="1:79" x14ac:dyDescent="0.25">
      <c r="A18" s="10">
        <v>44776.156944444447</v>
      </c>
      <c r="B18" s="11">
        <v>1.4900711813125101E-3</v>
      </c>
      <c r="C18" s="12">
        <v>0.70024108200000001</v>
      </c>
      <c r="D18" s="9">
        <v>94</v>
      </c>
      <c r="E18" s="13">
        <f t="shared" si="8"/>
        <v>1.5666666666666667</v>
      </c>
      <c r="F18" s="12">
        <f t="shared" si="9"/>
        <v>2.3344448507229324E-3</v>
      </c>
      <c r="G18" s="13">
        <f t="shared" si="28"/>
        <v>1.9100868324142395</v>
      </c>
      <c r="I18" s="25">
        <v>44781.156944444447</v>
      </c>
      <c r="J18" s="26">
        <v>3.6958036367563999E-3</v>
      </c>
      <c r="K18" s="27">
        <v>1.3100260825000001</v>
      </c>
      <c r="L18" s="28">
        <v>1144</v>
      </c>
      <c r="M18" s="29">
        <f t="shared" si="10"/>
        <v>19.066666666666666</v>
      </c>
      <c r="N18" s="26">
        <f t="shared" si="0"/>
        <v>7.0466656007488693E-2</v>
      </c>
      <c r="O18" s="29">
        <f t="shared" si="11"/>
        <v>0</v>
      </c>
      <c r="Q18" s="35">
        <v>45136.15625</v>
      </c>
      <c r="R18" s="71">
        <v>4.5305903781589496E-3</v>
      </c>
      <c r="S18" s="70">
        <v>0.66228851600000005</v>
      </c>
      <c r="T18" s="36">
        <v>1779</v>
      </c>
      <c r="U18" s="37">
        <f t="shared" si="12"/>
        <v>29.65</v>
      </c>
      <c r="V18" s="37">
        <f t="shared" si="1"/>
        <v>0.13433200471241286</v>
      </c>
      <c r="W18" s="38">
        <f t="shared" si="13"/>
        <v>0</v>
      </c>
      <c r="Y18" s="45">
        <v>45151.15625</v>
      </c>
      <c r="Z18" s="4">
        <v>7.1461375664526499E-3</v>
      </c>
      <c r="AA18" s="3">
        <v>0.66228851600000005</v>
      </c>
      <c r="AB18" s="4">
        <v>1484</v>
      </c>
      <c r="AC18" s="46">
        <f t="shared" si="14"/>
        <v>24.733333333333334</v>
      </c>
      <c r="AD18" s="47">
        <f t="shared" si="2"/>
        <v>0.17674780247692887</v>
      </c>
      <c r="AE18" s="50">
        <f t="shared" si="15"/>
        <v>0</v>
      </c>
      <c r="AG18" s="51">
        <v>45166.15625</v>
      </c>
      <c r="AH18" s="72">
        <v>1.0250861657214E-2</v>
      </c>
      <c r="AI18" s="73">
        <v>0.377160934</v>
      </c>
      <c r="AJ18" s="52">
        <v>3736</v>
      </c>
      <c r="AK18" s="53">
        <f t="shared" si="16"/>
        <v>62.266666666666666</v>
      </c>
      <c r="AL18" s="72">
        <f t="shared" si="3"/>
        <v>0.63828698585585841</v>
      </c>
      <c r="AM18" s="54">
        <f t="shared" si="29"/>
        <v>29.810545471853466</v>
      </c>
      <c r="AO18" s="66">
        <v>45183.15625</v>
      </c>
      <c r="AP18" s="67">
        <v>6.7417730974629201E-3</v>
      </c>
      <c r="AQ18" s="68">
        <v>0.44894941300000002</v>
      </c>
      <c r="AR18" s="68">
        <v>1335</v>
      </c>
      <c r="AS18" s="68">
        <f t="shared" si="17"/>
        <v>22.25</v>
      </c>
      <c r="AT18" s="68">
        <f t="shared" si="4"/>
        <v>0.15000445141854998</v>
      </c>
      <c r="AU18" s="69">
        <f t="shared" si="18"/>
        <v>0</v>
      </c>
      <c r="AW18" s="82">
        <v>45046.489583333336</v>
      </c>
      <c r="AX18" s="121">
        <v>3.8100922000000002E-2</v>
      </c>
      <c r="AY18" s="83">
        <v>69.822823</v>
      </c>
      <c r="AZ18" s="121">
        <v>7880</v>
      </c>
      <c r="BA18" s="83">
        <f t="shared" si="5"/>
        <v>131.33333333333334</v>
      </c>
      <c r="BB18" s="84">
        <f t="shared" si="6"/>
        <v>5.0039210893333337</v>
      </c>
      <c r="BC18" s="83">
        <f t="shared" si="7"/>
        <v>81.715778246738054</v>
      </c>
      <c r="BE18" s="87">
        <v>45047.364583333336</v>
      </c>
      <c r="BF18" s="118">
        <v>3.4999704563684501E-2</v>
      </c>
      <c r="BG18" s="88">
        <v>78.762941850000004</v>
      </c>
      <c r="BH18" s="89">
        <v>7830</v>
      </c>
      <c r="BI18" s="90">
        <f t="shared" si="19"/>
        <v>130.5</v>
      </c>
      <c r="BJ18" s="91">
        <f t="shared" si="20"/>
        <v>4.5674614455608271</v>
      </c>
      <c r="BK18" s="91">
        <f t="shared" si="21"/>
        <v>78.144134670978204</v>
      </c>
      <c r="BM18" s="93">
        <v>45049.40625</v>
      </c>
      <c r="BN18">
        <v>2.9541538108205E-2</v>
      </c>
      <c r="BO18" s="95">
        <v>90.492164919999993</v>
      </c>
      <c r="BP18" s="4">
        <v>10687</v>
      </c>
      <c r="BQ18" s="95">
        <f t="shared" si="22"/>
        <v>178.11666666666667</v>
      </c>
      <c r="BR18" s="94">
        <f t="shared" si="23"/>
        <v>5.2618402960397805</v>
      </c>
      <c r="BS18" s="96">
        <f t="shared" si="24"/>
        <v>83.751907285775872</v>
      </c>
      <c r="BU18" s="10">
        <v>45050.666666666664</v>
      </c>
      <c r="BV18" s="119">
        <v>9.7371637756643703E-2</v>
      </c>
      <c r="BW18" s="21">
        <v>109.4196846</v>
      </c>
      <c r="BX18" s="120">
        <v>3892</v>
      </c>
      <c r="BY18" s="21">
        <f t="shared" si="25"/>
        <v>64.86666666666666</v>
      </c>
      <c r="BZ18" s="21">
        <f t="shared" si="26"/>
        <v>6.3161735691476206</v>
      </c>
      <c r="CA18" s="21">
        <f t="shared" si="27"/>
        <v>91.587445031301101</v>
      </c>
    </row>
    <row r="19" spans="1:79" x14ac:dyDescent="0.25">
      <c r="A19" s="10">
        <v>44776.167361111111</v>
      </c>
      <c r="B19" s="11">
        <v>1.5743544098570301E-3</v>
      </c>
      <c r="C19" s="12">
        <v>0.740701163</v>
      </c>
      <c r="D19" s="9">
        <v>137</v>
      </c>
      <c r="E19" s="13">
        <f t="shared" si="8"/>
        <v>2.2833333333333332</v>
      </c>
      <c r="F19" s="12">
        <f t="shared" si="9"/>
        <v>3.5947759025068853E-3</v>
      </c>
      <c r="G19" s="13">
        <f t="shared" si="28"/>
        <v>2.3597504837832695</v>
      </c>
      <c r="I19" s="25">
        <v>44781.167361111111</v>
      </c>
      <c r="J19" s="26">
        <v>3.5461509439777199E-3</v>
      </c>
      <c r="K19" s="27">
        <v>1.2590209525</v>
      </c>
      <c r="L19" s="28">
        <v>964</v>
      </c>
      <c r="M19" s="29">
        <f t="shared" si="10"/>
        <v>16.066666666666666</v>
      </c>
      <c r="N19" s="26">
        <f t="shared" si="0"/>
        <v>5.6974825166575364E-2</v>
      </c>
      <c r="O19" s="29">
        <f t="shared" si="11"/>
        <v>0</v>
      </c>
      <c r="Q19" s="35">
        <v>45136.166666666664</v>
      </c>
      <c r="R19" s="71">
        <v>7.5258509754304297E-3</v>
      </c>
      <c r="S19" s="70">
        <v>0.99067576999999996</v>
      </c>
      <c r="T19" s="36">
        <v>3565</v>
      </c>
      <c r="U19" s="37">
        <f t="shared" si="12"/>
        <v>59.416666666666664</v>
      </c>
      <c r="V19" s="37">
        <f t="shared" si="1"/>
        <v>0.44716097879015804</v>
      </c>
      <c r="W19" s="38">
        <f t="shared" si="13"/>
        <v>25.042965983382995</v>
      </c>
      <c r="Y19" s="45">
        <v>45151.166666666664</v>
      </c>
      <c r="Z19" s="4">
        <v>5.9151476245304698E-3</v>
      </c>
      <c r="AA19" s="3">
        <v>0.66228851600000005</v>
      </c>
      <c r="AB19" s="4">
        <v>1381</v>
      </c>
      <c r="AC19" s="46">
        <f t="shared" si="14"/>
        <v>23.016666666666666</v>
      </c>
      <c r="AD19" s="47">
        <f t="shared" si="2"/>
        <v>0.13614698115794296</v>
      </c>
      <c r="AE19" s="50">
        <f t="shared" si="15"/>
        <v>0</v>
      </c>
      <c r="AG19" s="51">
        <v>45166.166666666664</v>
      </c>
      <c r="AH19" s="72">
        <v>4.4515191411601497E-3</v>
      </c>
      <c r="AI19" s="73">
        <v>0.26113539299999999</v>
      </c>
      <c r="AJ19" s="52">
        <v>846</v>
      </c>
      <c r="AK19" s="53">
        <f t="shared" si="16"/>
        <v>14.1</v>
      </c>
      <c r="AL19" s="72">
        <f t="shared" si="3"/>
        <v>6.2766419890358111E-2</v>
      </c>
      <c r="AM19" s="54">
        <f t="shared" si="29"/>
        <v>0</v>
      </c>
      <c r="AO19" s="66">
        <v>45183.166666666664</v>
      </c>
      <c r="AP19" s="67">
        <v>7.0148670727595399E-3</v>
      </c>
      <c r="AQ19" s="68">
        <v>0.53201108200000002</v>
      </c>
      <c r="AR19" s="68">
        <v>1888</v>
      </c>
      <c r="AS19" s="68">
        <f t="shared" si="17"/>
        <v>31.466666666666665</v>
      </c>
      <c r="AT19" s="68">
        <f t="shared" si="4"/>
        <v>0.22073448388950018</v>
      </c>
      <c r="AU19" s="69">
        <f t="shared" si="18"/>
        <v>0</v>
      </c>
      <c r="AW19" s="82">
        <v>45046.5</v>
      </c>
      <c r="AX19" s="121">
        <v>3.9579148000000001E-2</v>
      </c>
      <c r="AY19" s="83">
        <v>64.837941950000001</v>
      </c>
      <c r="AZ19" s="121">
        <v>7811</v>
      </c>
      <c r="BA19" s="83">
        <f t="shared" si="5"/>
        <v>130.18333333333334</v>
      </c>
      <c r="BB19" s="84">
        <f t="shared" si="6"/>
        <v>5.152545417133334</v>
      </c>
      <c r="BC19" s="83">
        <f t="shared" si="7"/>
        <v>82.895447836785578</v>
      </c>
      <c r="BE19" s="87">
        <v>45047.375</v>
      </c>
      <c r="BF19" s="118">
        <v>3.8140436455335998E-2</v>
      </c>
      <c r="BG19" s="88">
        <v>80.086877509999994</v>
      </c>
      <c r="BH19" s="89">
        <v>7934</v>
      </c>
      <c r="BI19" s="90">
        <f t="shared" si="19"/>
        <v>132.23333333333332</v>
      </c>
      <c r="BJ19" s="91">
        <f t="shared" si="20"/>
        <v>5.0434370472772629</v>
      </c>
      <c r="BK19" s="91">
        <f t="shared" si="21"/>
        <v>82.031152042436332</v>
      </c>
      <c r="BM19" s="93">
        <v>45049.416666666664</v>
      </c>
      <c r="BN19">
        <v>3.3986498531050999E-2</v>
      </c>
      <c r="BO19" s="95">
        <v>90.060609240000005</v>
      </c>
      <c r="BP19" s="4">
        <v>11220</v>
      </c>
      <c r="BQ19" s="95">
        <f t="shared" si="22"/>
        <v>187</v>
      </c>
      <c r="BR19" s="94">
        <f t="shared" si="23"/>
        <v>6.3554752253065372</v>
      </c>
      <c r="BS19" s="96">
        <f t="shared" si="24"/>
        <v>91.866079568496914</v>
      </c>
      <c r="BU19" s="10">
        <v>45050.677083333336</v>
      </c>
      <c r="BV19" s="119">
        <v>8.9628573082391402E-2</v>
      </c>
      <c r="BW19" s="21">
        <v>102.17638460000001</v>
      </c>
      <c r="BX19" s="120">
        <v>3910</v>
      </c>
      <c r="BY19" s="21">
        <f t="shared" si="25"/>
        <v>65.166666666666671</v>
      </c>
      <c r="BZ19" s="21">
        <f t="shared" si="26"/>
        <v>5.8407953458691733</v>
      </c>
      <c r="CA19" s="21">
        <f t="shared" si="27"/>
        <v>88.144440596080628</v>
      </c>
    </row>
    <row r="20" spans="1:79" x14ac:dyDescent="0.25">
      <c r="A20" s="10">
        <v>44776.177777777775</v>
      </c>
      <c r="B20" s="11">
        <v>1.7356257073646499E-3</v>
      </c>
      <c r="C20" s="12">
        <v>0.74046465699999997</v>
      </c>
      <c r="D20" s="9">
        <v>114</v>
      </c>
      <c r="E20" s="13">
        <f t="shared" si="8"/>
        <v>1.9</v>
      </c>
      <c r="F20" s="12">
        <f t="shared" si="9"/>
        <v>3.2976888439928348E-3</v>
      </c>
      <c r="G20" s="13">
        <f t="shared" si="28"/>
        <v>2.2621472474486231</v>
      </c>
      <c r="I20" s="25">
        <v>44781.177777777775</v>
      </c>
      <c r="J20" s="26">
        <v>3.6624164427138698E-3</v>
      </c>
      <c r="K20" s="27">
        <v>1.3008491654999901</v>
      </c>
      <c r="L20" s="28">
        <v>1061</v>
      </c>
      <c r="M20" s="29">
        <f t="shared" si="10"/>
        <v>17.683333333333334</v>
      </c>
      <c r="N20" s="26">
        <f t="shared" si="0"/>
        <v>6.4763730761990268E-2</v>
      </c>
      <c r="O20" s="29">
        <f t="shared" si="11"/>
        <v>0</v>
      </c>
      <c r="Q20" s="35">
        <v>45136.177083333336</v>
      </c>
      <c r="R20" s="71">
        <v>9.9010951442485198E-3</v>
      </c>
      <c r="S20" s="70">
        <v>1.4444654269999999</v>
      </c>
      <c r="T20" s="36">
        <v>5082</v>
      </c>
      <c r="U20" s="37">
        <f t="shared" si="12"/>
        <v>84.7</v>
      </c>
      <c r="V20" s="37">
        <f t="shared" si="1"/>
        <v>0.83862275871784964</v>
      </c>
      <c r="W20" s="38">
        <f t="shared" si="13"/>
        <v>34.074083109995165</v>
      </c>
      <c r="Y20" s="45">
        <v>45151.177083333336</v>
      </c>
      <c r="Z20" s="4">
        <v>4.7047652576974897E-3</v>
      </c>
      <c r="AA20" s="3">
        <v>0.59425534599999996</v>
      </c>
      <c r="AB20" s="4">
        <v>971</v>
      </c>
      <c r="AC20" s="46">
        <f t="shared" si="14"/>
        <v>16.183333333333334</v>
      </c>
      <c r="AD20" s="47">
        <f t="shared" si="2"/>
        <v>7.6138784420404379E-2</v>
      </c>
      <c r="AE20" s="50">
        <f t="shared" si="15"/>
        <v>0</v>
      </c>
      <c r="AG20" s="51">
        <v>45166.177083333336</v>
      </c>
      <c r="AH20" s="72">
        <v>1.1255773787276701E-2</v>
      </c>
      <c r="AI20" s="73">
        <v>0.42386643899999998</v>
      </c>
      <c r="AJ20" s="52">
        <v>4560</v>
      </c>
      <c r="AK20" s="53">
        <f t="shared" si="16"/>
        <v>76</v>
      </c>
      <c r="AL20" s="72">
        <f t="shared" si="3"/>
        <v>0.85543880783302928</v>
      </c>
      <c r="AM20" s="54">
        <f t="shared" si="29"/>
        <v>34.406977289796167</v>
      </c>
      <c r="AO20" s="66">
        <v>45183.177083333336</v>
      </c>
      <c r="AP20" s="67">
        <v>6.5771868994116802E-3</v>
      </c>
      <c r="AQ20" s="68">
        <v>0.53201108200000002</v>
      </c>
      <c r="AR20" s="68">
        <v>1864</v>
      </c>
      <c r="AS20" s="68">
        <f t="shared" si="17"/>
        <v>31.066666666666666</v>
      </c>
      <c r="AT20" s="68">
        <f t="shared" si="4"/>
        <v>0.20433127300838952</v>
      </c>
      <c r="AU20" s="69">
        <f t="shared" si="18"/>
        <v>0</v>
      </c>
      <c r="AW20" s="82">
        <v>45046.510416666664</v>
      </c>
      <c r="AX20" s="121">
        <v>3.8729895E-2</v>
      </c>
      <c r="AY20" s="83">
        <v>69.36581735</v>
      </c>
      <c r="AZ20" s="121">
        <v>7506</v>
      </c>
      <c r="BA20" s="83">
        <f t="shared" si="5"/>
        <v>125.1</v>
      </c>
      <c r="BB20" s="84">
        <f t="shared" si="6"/>
        <v>4.8451098644999995</v>
      </c>
      <c r="BC20" s="83">
        <f t="shared" si="7"/>
        <v>80.435317409263035</v>
      </c>
      <c r="BE20" s="87">
        <v>45047.385416666664</v>
      </c>
      <c r="BF20" s="118">
        <v>3.62703562916592E-2</v>
      </c>
      <c r="BG20" s="88">
        <v>75.208694050000005</v>
      </c>
      <c r="BH20" s="89">
        <v>7674</v>
      </c>
      <c r="BI20" s="90">
        <f t="shared" si="19"/>
        <v>127.9</v>
      </c>
      <c r="BJ20" s="91">
        <f t="shared" si="20"/>
        <v>4.6389785697032115</v>
      </c>
      <c r="BK20" s="91">
        <f t="shared" si="21"/>
        <v>78.740945511937539</v>
      </c>
      <c r="BM20" s="93">
        <v>45049.427083333336</v>
      </c>
      <c r="BN20">
        <v>3.1895469144758902E-2</v>
      </c>
      <c r="BO20" s="95">
        <v>91.338086169999997</v>
      </c>
      <c r="BP20" s="4">
        <v>11199</v>
      </c>
      <c r="BQ20" s="95">
        <f t="shared" si="22"/>
        <v>186.65</v>
      </c>
      <c r="BR20" s="94">
        <f t="shared" si="23"/>
        <v>5.9532893158692488</v>
      </c>
      <c r="BS20" s="96">
        <f t="shared" si="24"/>
        <v>88.971741236145789</v>
      </c>
      <c r="BU20" s="10">
        <v>45050.6875</v>
      </c>
      <c r="BV20" s="119">
        <v>9.5258142347790301E-2</v>
      </c>
      <c r="BW20" s="21">
        <v>105.0235411</v>
      </c>
      <c r="BX20" s="120">
        <v>3885</v>
      </c>
      <c r="BY20" s="21">
        <f t="shared" si="25"/>
        <v>64.75</v>
      </c>
      <c r="BZ20" s="21">
        <f t="shared" si="26"/>
        <v>6.1679647170194221</v>
      </c>
      <c r="CA20" s="21">
        <f t="shared" si="27"/>
        <v>90.528655761461692</v>
      </c>
    </row>
    <row r="21" spans="1:79" x14ac:dyDescent="0.25">
      <c r="A21" s="10">
        <v>44776.188194444447</v>
      </c>
      <c r="B21" s="11">
        <v>1.47959596568332E-3</v>
      </c>
      <c r="C21" s="12">
        <v>0.74873955049999996</v>
      </c>
      <c r="D21" s="9">
        <v>125</v>
      </c>
      <c r="E21" s="13">
        <f t="shared" si="8"/>
        <v>2.0833333333333335</v>
      </c>
      <c r="F21" s="12">
        <f t="shared" si="9"/>
        <v>3.0824915951735837E-3</v>
      </c>
      <c r="G21" s="13">
        <f t="shared" si="28"/>
        <v>2.1886123908823101</v>
      </c>
      <c r="I21" s="25">
        <v>44781.188194444447</v>
      </c>
      <c r="J21" s="26">
        <v>3.8991349347515798E-3</v>
      </c>
      <c r="K21" s="27">
        <v>1.3675681405</v>
      </c>
      <c r="L21" s="28">
        <v>1087</v>
      </c>
      <c r="M21" s="29">
        <f t="shared" si="10"/>
        <v>18.116666666666667</v>
      </c>
      <c r="N21" s="26">
        <f t="shared" si="0"/>
        <v>7.0639327901249452E-2</v>
      </c>
      <c r="O21" s="29">
        <f t="shared" si="11"/>
        <v>0</v>
      </c>
      <c r="Q21" s="35">
        <v>45136.1875</v>
      </c>
      <c r="R21" s="71">
        <v>6.7404973685643603E-3</v>
      </c>
      <c r="S21" s="70">
        <v>0.99067576999999996</v>
      </c>
      <c r="T21" s="36">
        <v>3435</v>
      </c>
      <c r="U21" s="37">
        <f t="shared" si="12"/>
        <v>57.25</v>
      </c>
      <c r="V21" s="37">
        <f t="shared" si="1"/>
        <v>0.38589347435030963</v>
      </c>
      <c r="W21" s="38">
        <f t="shared" si="13"/>
        <v>23.299505046324192</v>
      </c>
      <c r="Y21" s="45">
        <v>45151.1875</v>
      </c>
      <c r="Z21" s="4">
        <v>5.2982144196189003E-3</v>
      </c>
      <c r="AA21" s="3">
        <v>0.562700329</v>
      </c>
      <c r="AB21" s="4">
        <v>1284</v>
      </c>
      <c r="AC21" s="46">
        <f t="shared" si="14"/>
        <v>21.4</v>
      </c>
      <c r="AD21" s="47">
        <f t="shared" si="2"/>
        <v>0.11338178857984446</v>
      </c>
      <c r="AE21" s="50">
        <f t="shared" si="15"/>
        <v>0</v>
      </c>
      <c r="AG21" s="51">
        <v>45166.1875</v>
      </c>
      <c r="AH21" s="72">
        <v>8.4349085031616405E-3</v>
      </c>
      <c r="AI21" s="73">
        <v>0.35506608000000001</v>
      </c>
      <c r="AJ21" s="52">
        <v>3100</v>
      </c>
      <c r="AK21" s="53">
        <f t="shared" si="16"/>
        <v>51.666666666666664</v>
      </c>
      <c r="AL21" s="72">
        <f t="shared" si="3"/>
        <v>0.43580360599668472</v>
      </c>
      <c r="AM21" s="54">
        <f t="shared" si="29"/>
        <v>24.729441430649075</v>
      </c>
      <c r="AO21" s="66">
        <v>45183.1875</v>
      </c>
      <c r="AP21" s="67">
        <v>6.0997399497197697E-3</v>
      </c>
      <c r="AQ21" s="68">
        <v>0.59425534599999996</v>
      </c>
      <c r="AR21" s="68">
        <v>2261</v>
      </c>
      <c r="AS21" s="68">
        <f t="shared" si="17"/>
        <v>37.68333333333333</v>
      </c>
      <c r="AT21" s="68">
        <f t="shared" si="4"/>
        <v>0.22985853377193996</v>
      </c>
      <c r="AU21" s="69">
        <f t="shared" si="18"/>
        <v>0</v>
      </c>
      <c r="AW21" s="82">
        <v>45046.520833333336</v>
      </c>
      <c r="AX21" s="121">
        <v>4.1348962000000003E-2</v>
      </c>
      <c r="AY21" s="83">
        <v>70.720093730000002</v>
      </c>
      <c r="AZ21" s="121">
        <v>7290</v>
      </c>
      <c r="BA21" s="83">
        <f t="shared" si="5"/>
        <v>121.5</v>
      </c>
      <c r="BB21" s="84">
        <f t="shared" si="6"/>
        <v>5.0238988830000002</v>
      </c>
      <c r="BC21" s="83">
        <f t="shared" si="7"/>
        <v>81.875377684380638</v>
      </c>
      <c r="BE21" s="87">
        <v>45047.395833333336</v>
      </c>
      <c r="BF21" s="118">
        <v>3.1956244588670302E-2</v>
      </c>
      <c r="BG21" s="88">
        <v>76.544179459999995</v>
      </c>
      <c r="BH21" s="89">
        <v>8043</v>
      </c>
      <c r="BI21" s="90">
        <f t="shared" si="19"/>
        <v>134.05000000000001</v>
      </c>
      <c r="BJ21" s="91">
        <f t="shared" si="20"/>
        <v>4.2837345871112547</v>
      </c>
      <c r="BK21" s="91">
        <f t="shared" si="21"/>
        <v>75.728106483527228</v>
      </c>
      <c r="BM21" s="93">
        <v>45049.4375</v>
      </c>
      <c r="BN21">
        <v>3.0129952470423299E-2</v>
      </c>
      <c r="BO21" s="95">
        <v>87.058386479999996</v>
      </c>
      <c r="BP21" s="4">
        <v>10980</v>
      </c>
      <c r="BQ21" s="95">
        <f t="shared" si="22"/>
        <v>183</v>
      </c>
      <c r="BR21" s="94">
        <f t="shared" si="23"/>
        <v>5.5137813020874633</v>
      </c>
      <c r="BS21" s="96">
        <f t="shared" si="24"/>
        <v>85.692227206089811</v>
      </c>
      <c r="BU21" s="10">
        <v>45050.697916666664</v>
      </c>
      <c r="BV21" s="119">
        <v>9.0552866206561694E-2</v>
      </c>
      <c r="BW21" s="21">
        <v>109.0251016</v>
      </c>
      <c r="BX21" s="120">
        <v>3934</v>
      </c>
      <c r="BY21" s="21">
        <f t="shared" si="25"/>
        <v>65.566666666666663</v>
      </c>
      <c r="BZ21" s="21">
        <f t="shared" si="26"/>
        <v>5.9372495942768948</v>
      </c>
      <c r="CA21" s="21">
        <f t="shared" si="27"/>
        <v>88.854272881494097</v>
      </c>
    </row>
    <row r="22" spans="1:79" x14ac:dyDescent="0.25">
      <c r="A22" s="10">
        <v>44776.198611111111</v>
      </c>
      <c r="B22" s="11">
        <v>1.5884123237744599E-3</v>
      </c>
      <c r="C22" s="12">
        <v>0.73845619600000001</v>
      </c>
      <c r="D22" s="9">
        <v>104</v>
      </c>
      <c r="E22" s="13">
        <f t="shared" si="8"/>
        <v>1.7333333333333334</v>
      </c>
      <c r="F22" s="12">
        <f t="shared" si="9"/>
        <v>2.7532480278757306E-3</v>
      </c>
      <c r="G22" s="13">
        <f t="shared" si="28"/>
        <v>2.0708367050090577</v>
      </c>
      <c r="I22" s="25">
        <v>44781.198611111111</v>
      </c>
      <c r="J22" s="26">
        <v>3.3141810254827902E-3</v>
      </c>
      <c r="K22" s="27">
        <v>1.3727610129999901</v>
      </c>
      <c r="L22" s="28">
        <v>1092</v>
      </c>
      <c r="M22" s="29">
        <f t="shared" si="10"/>
        <v>18.2</v>
      </c>
      <c r="N22" s="26">
        <f t="shared" si="0"/>
        <v>6.0318094663786778E-2</v>
      </c>
      <c r="O22" s="29">
        <f t="shared" si="11"/>
        <v>0</v>
      </c>
      <c r="Q22" s="35">
        <v>45136.197916666664</v>
      </c>
      <c r="R22" s="71">
        <v>5.6858206324155898E-3</v>
      </c>
      <c r="S22" s="70">
        <v>0.85462156099999997</v>
      </c>
      <c r="T22" s="36">
        <v>2904</v>
      </c>
      <c r="U22" s="37">
        <f t="shared" si="12"/>
        <v>48.4</v>
      </c>
      <c r="V22" s="37">
        <f t="shared" si="1"/>
        <v>0.27519371860891456</v>
      </c>
      <c r="W22" s="38">
        <f t="shared" si="13"/>
        <v>0</v>
      </c>
      <c r="Y22" s="45">
        <v>45151.197916666664</v>
      </c>
      <c r="Z22" s="4">
        <v>5.8498293776496797E-3</v>
      </c>
      <c r="AA22" s="3">
        <v>0.59425534599999996</v>
      </c>
      <c r="AB22" s="4">
        <v>1244</v>
      </c>
      <c r="AC22" s="46">
        <f t="shared" si="14"/>
        <v>20.733333333333334</v>
      </c>
      <c r="AD22" s="47">
        <f t="shared" si="2"/>
        <v>0.1212864624299367</v>
      </c>
      <c r="AE22" s="50">
        <f t="shared" si="15"/>
        <v>0</v>
      </c>
      <c r="AG22" s="51">
        <v>45166.197916666664</v>
      </c>
      <c r="AH22" s="72">
        <v>1.07823517675974E-2</v>
      </c>
      <c r="AI22" s="73">
        <v>0.376777213</v>
      </c>
      <c r="AJ22" s="52">
        <v>3703</v>
      </c>
      <c r="AK22" s="53">
        <f t="shared" si="16"/>
        <v>61.716666666666669</v>
      </c>
      <c r="AL22" s="72">
        <f t="shared" si="3"/>
        <v>0.66545080992355288</v>
      </c>
      <c r="AM22" s="54">
        <f t="shared" si="29"/>
        <v>30.425202491694701</v>
      </c>
      <c r="AO22" s="66">
        <v>45183.197916666664</v>
      </c>
      <c r="AP22" s="67">
        <v>6.9573588135786804E-3</v>
      </c>
      <c r="AQ22" s="68">
        <v>0.50323377899999999</v>
      </c>
      <c r="AR22" s="68">
        <v>1616</v>
      </c>
      <c r="AS22" s="68">
        <f t="shared" si="17"/>
        <v>26.933333333333334</v>
      </c>
      <c r="AT22" s="68">
        <f t="shared" si="4"/>
        <v>0.18738486404571914</v>
      </c>
      <c r="AU22" s="69">
        <f t="shared" si="18"/>
        <v>0</v>
      </c>
      <c r="AW22" s="82">
        <v>45046.53125</v>
      </c>
      <c r="AX22" s="121">
        <v>4.3199295999999998E-2</v>
      </c>
      <c r="AY22" s="83">
        <v>70.720093730000002</v>
      </c>
      <c r="AZ22" s="121">
        <v>7405</v>
      </c>
      <c r="BA22" s="83">
        <f t="shared" si="5"/>
        <v>123.41666666666667</v>
      </c>
      <c r="BB22" s="84">
        <f t="shared" si="6"/>
        <v>5.3315131146666666</v>
      </c>
      <c r="BC22" s="83">
        <f t="shared" si="7"/>
        <v>84.293148078854855</v>
      </c>
      <c r="BE22" s="87">
        <v>45047.40625</v>
      </c>
      <c r="BF22" s="118">
        <v>3.68131211742855E-2</v>
      </c>
      <c r="BG22" s="88">
        <v>76.986061320000005</v>
      </c>
      <c r="BH22" s="89">
        <v>7984</v>
      </c>
      <c r="BI22" s="90">
        <f t="shared" si="19"/>
        <v>133.06666666666666</v>
      </c>
      <c r="BJ22" s="91">
        <f t="shared" si="20"/>
        <v>4.8985993242582566</v>
      </c>
      <c r="BK22" s="91">
        <f t="shared" si="21"/>
        <v>80.868951261887133</v>
      </c>
      <c r="BM22" s="93">
        <v>45049.447916666664</v>
      </c>
      <c r="BN22">
        <v>3.1087615821491998E-2</v>
      </c>
      <c r="BO22" s="95">
        <v>93.877037450000003</v>
      </c>
      <c r="BP22" s="4">
        <v>10946</v>
      </c>
      <c r="BQ22" s="95">
        <f t="shared" si="22"/>
        <v>182.43333333333334</v>
      </c>
      <c r="BR22" s="94">
        <f t="shared" si="23"/>
        <v>5.6714173797008574</v>
      </c>
      <c r="BS22" s="96">
        <f t="shared" si="24"/>
        <v>86.883313214061388</v>
      </c>
      <c r="BU22" s="10">
        <v>45050.708333333336</v>
      </c>
      <c r="BV22" s="119">
        <v>0.10160286160528401</v>
      </c>
      <c r="BW22" s="21">
        <v>110.21295859999999</v>
      </c>
      <c r="BX22" s="120">
        <v>4082</v>
      </c>
      <c r="BY22" s="21">
        <f t="shared" si="25"/>
        <v>68.033333333333331</v>
      </c>
      <c r="BZ22" s="21">
        <f t="shared" si="26"/>
        <v>6.9123813512128214</v>
      </c>
      <c r="CA22" s="21">
        <f t="shared" si="27"/>
        <v>95.723654903072273</v>
      </c>
    </row>
    <row r="23" spans="1:79" x14ac:dyDescent="0.25">
      <c r="A23" s="10">
        <v>44776.209027777775</v>
      </c>
      <c r="B23" s="11">
        <v>1.58726559516091E-3</v>
      </c>
      <c r="C23" s="12">
        <v>0.726575334499999</v>
      </c>
      <c r="D23" s="9">
        <v>120</v>
      </c>
      <c r="E23" s="13">
        <f t="shared" si="8"/>
        <v>2</v>
      </c>
      <c r="F23" s="12">
        <f t="shared" si="9"/>
        <v>3.1745311903218199E-3</v>
      </c>
      <c r="G23" s="13">
        <f t="shared" si="28"/>
        <v>2.2203737895454494</v>
      </c>
      <c r="I23" s="25">
        <v>44781.209027777775</v>
      </c>
      <c r="J23" s="26">
        <v>3.4286104158690999E-3</v>
      </c>
      <c r="K23" s="27">
        <v>1.3106306169999999</v>
      </c>
      <c r="L23" s="28">
        <v>1033</v>
      </c>
      <c r="M23" s="29">
        <f t="shared" si="10"/>
        <v>17.216666666666665</v>
      </c>
      <c r="N23" s="26">
        <f t="shared" si="0"/>
        <v>5.9029242659879667E-2</v>
      </c>
      <c r="O23" s="29">
        <f t="shared" si="11"/>
        <v>0</v>
      </c>
      <c r="Q23" s="35">
        <v>45136.208333333336</v>
      </c>
      <c r="R23" s="71">
        <v>6.6173558710812402E-3</v>
      </c>
      <c r="S23" s="70">
        <v>0.99067576999999996</v>
      </c>
      <c r="T23" s="36">
        <v>3871</v>
      </c>
      <c r="U23" s="37">
        <f t="shared" si="12"/>
        <v>64.516666666666666</v>
      </c>
      <c r="V23" s="37">
        <f t="shared" si="1"/>
        <v>0.42692974294925801</v>
      </c>
      <c r="W23" s="38">
        <f t="shared" si="13"/>
        <v>24.481562219331547</v>
      </c>
      <c r="Y23" s="45">
        <v>45151.208333333336</v>
      </c>
      <c r="Z23" s="4">
        <v>4.5667705795279304E-3</v>
      </c>
      <c r="AA23" s="3">
        <v>0.59425534599999996</v>
      </c>
      <c r="AB23" s="4">
        <v>1149</v>
      </c>
      <c r="AC23" s="46">
        <f t="shared" si="14"/>
        <v>19.149999999999999</v>
      </c>
      <c r="AD23" s="47">
        <f t="shared" si="2"/>
        <v>8.7453656597959867E-2</v>
      </c>
      <c r="AE23" s="50">
        <f t="shared" si="15"/>
        <v>0</v>
      </c>
      <c r="AG23" s="51">
        <v>45166.208333333336</v>
      </c>
      <c r="AH23" s="72">
        <v>8.9377314139924401E-3</v>
      </c>
      <c r="AI23" s="73">
        <v>0.376777213</v>
      </c>
      <c r="AJ23" s="52">
        <v>3760</v>
      </c>
      <c r="AK23" s="53">
        <f t="shared" si="16"/>
        <v>62.666666666666664</v>
      </c>
      <c r="AL23" s="72">
        <f t="shared" si="3"/>
        <v>0.56009783527685952</v>
      </c>
      <c r="AM23" s="54">
        <f t="shared" si="29"/>
        <v>27.962656108126847</v>
      </c>
      <c r="AO23" s="66">
        <v>45183.208333333336</v>
      </c>
      <c r="AP23" s="67">
        <v>9.3871867972550108E-3</v>
      </c>
      <c r="AQ23" s="68">
        <v>0.59425534599999996</v>
      </c>
      <c r="AR23" s="68">
        <v>2107</v>
      </c>
      <c r="AS23" s="68">
        <f t="shared" si="17"/>
        <v>35.116666666666667</v>
      </c>
      <c r="AT23" s="68">
        <f t="shared" si="4"/>
        <v>0.32964670969693849</v>
      </c>
      <c r="AU23" s="69">
        <f t="shared" si="18"/>
        <v>0</v>
      </c>
      <c r="AW23" s="82">
        <v>45046.541666666664</v>
      </c>
      <c r="AX23" s="121">
        <v>4.3802595999999999E-2</v>
      </c>
      <c r="AY23" s="83">
        <v>72.069636250000002</v>
      </c>
      <c r="AZ23" s="121">
        <v>6789</v>
      </c>
      <c r="BA23" s="83">
        <f t="shared" si="5"/>
        <v>113.15</v>
      </c>
      <c r="BB23" s="84">
        <f t="shared" si="6"/>
        <v>4.9562637374000005</v>
      </c>
      <c r="BC23" s="83">
        <f t="shared" si="7"/>
        <v>81.333733145824112</v>
      </c>
      <c r="BE23" s="87">
        <v>45047.416666666664</v>
      </c>
      <c r="BF23" s="118">
        <v>3.4221448133734303E-2</v>
      </c>
      <c r="BG23" s="88">
        <v>77.875916610000004</v>
      </c>
      <c r="BH23" s="89">
        <v>7687</v>
      </c>
      <c r="BI23" s="90">
        <f t="shared" si="19"/>
        <v>128.11666666666667</v>
      </c>
      <c r="BJ23" s="91">
        <f t="shared" si="20"/>
        <v>4.3843378634002601</v>
      </c>
      <c r="BK23" s="91">
        <f t="shared" si="21"/>
        <v>76.593865601946831</v>
      </c>
      <c r="BM23" s="93">
        <v>45049.458333333336</v>
      </c>
      <c r="BN23">
        <v>3.07404857913657E-2</v>
      </c>
      <c r="BO23" s="95">
        <v>89.209976960000006</v>
      </c>
      <c r="BP23" s="4">
        <v>10923</v>
      </c>
      <c r="BQ23" s="95">
        <f t="shared" si="22"/>
        <v>182.05</v>
      </c>
      <c r="BR23" s="94">
        <f t="shared" si="23"/>
        <v>5.5963054383181259</v>
      </c>
      <c r="BS23" s="96">
        <f t="shared" si="24"/>
        <v>86.317909340186262</v>
      </c>
      <c r="BU23" s="10">
        <v>45050.71875</v>
      </c>
      <c r="BV23" s="119">
        <v>9.4857197832264595E-2</v>
      </c>
      <c r="BW23" s="21">
        <v>118.36070239999999</v>
      </c>
      <c r="BX23" s="120">
        <v>3983</v>
      </c>
      <c r="BY23" s="21">
        <f t="shared" si="25"/>
        <v>66.38333333333334</v>
      </c>
      <c r="BZ23" s="21">
        <f t="shared" si="26"/>
        <v>6.2969369827651649</v>
      </c>
      <c r="CA23" s="21">
        <f t="shared" si="27"/>
        <v>91.450742086367043</v>
      </c>
    </row>
    <row r="24" spans="1:79" x14ac:dyDescent="0.25">
      <c r="A24" s="10">
        <v>44776.219444444447</v>
      </c>
      <c r="B24" s="11">
        <v>1.80429829327259E-3</v>
      </c>
      <c r="C24" s="12">
        <v>0.78202204350000004</v>
      </c>
      <c r="D24" s="9">
        <v>99</v>
      </c>
      <c r="E24" s="13">
        <f t="shared" si="8"/>
        <v>1.65</v>
      </c>
      <c r="F24" s="12">
        <f t="shared" si="9"/>
        <v>2.9770921838997732E-3</v>
      </c>
      <c r="G24" s="13">
        <f t="shared" si="28"/>
        <v>2.1516403171733334</v>
      </c>
      <c r="I24" s="25">
        <v>44781.219444444447</v>
      </c>
      <c r="J24" s="26">
        <v>4.2977775352743596E-3</v>
      </c>
      <c r="K24" s="27">
        <v>1.3304172409999999</v>
      </c>
      <c r="L24" s="28">
        <v>962</v>
      </c>
      <c r="M24" s="29">
        <f t="shared" si="10"/>
        <v>16.033333333333335</v>
      </c>
      <c r="N24" s="26">
        <f t="shared" si="0"/>
        <v>6.8907699815565576E-2</v>
      </c>
      <c r="O24" s="29">
        <f t="shared" si="11"/>
        <v>0</v>
      </c>
      <c r="Q24" s="35">
        <v>45136.21875</v>
      </c>
      <c r="R24" s="71">
        <v>7.42178503414924E-3</v>
      </c>
      <c r="S24" s="70">
        <v>0.99067576999999996</v>
      </c>
      <c r="T24" s="36">
        <v>3997</v>
      </c>
      <c r="U24" s="37">
        <f t="shared" si="12"/>
        <v>66.61666666666666</v>
      </c>
      <c r="V24" s="37">
        <f t="shared" si="1"/>
        <v>0.49441457969157515</v>
      </c>
      <c r="W24" s="38">
        <f t="shared" si="13"/>
        <v>26.305713580823937</v>
      </c>
      <c r="Y24" s="45">
        <v>45151.21875</v>
      </c>
      <c r="Z24" s="4">
        <v>7.0063237541191301E-3</v>
      </c>
      <c r="AA24" s="3">
        <v>0.73497519099999997</v>
      </c>
      <c r="AB24" s="4">
        <v>1690</v>
      </c>
      <c r="AC24" s="46">
        <f t="shared" si="14"/>
        <v>28.166666666666668</v>
      </c>
      <c r="AD24" s="47">
        <f t="shared" si="2"/>
        <v>0.19734478574102218</v>
      </c>
      <c r="AE24" s="50">
        <f t="shared" si="15"/>
        <v>0</v>
      </c>
      <c r="AG24" s="51">
        <v>45166.21875</v>
      </c>
      <c r="AH24" s="72">
        <v>1.34519785504922E-2</v>
      </c>
      <c r="AI24" s="73">
        <v>0.44894941300000002</v>
      </c>
      <c r="AJ24" s="52">
        <v>4740</v>
      </c>
      <c r="AK24" s="53">
        <f t="shared" si="16"/>
        <v>79</v>
      </c>
      <c r="AL24" s="72">
        <f t="shared" si="3"/>
        <v>1.0627063054888839</v>
      </c>
      <c r="AM24" s="54">
        <f t="shared" si="29"/>
        <v>38.263805902213079</v>
      </c>
      <c r="AO24" s="66">
        <v>45183.21875</v>
      </c>
      <c r="AP24" s="67">
        <v>5.9033224032472601E-3</v>
      </c>
      <c r="AQ24" s="68">
        <v>0.44894941300000002</v>
      </c>
      <c r="AR24" s="68">
        <v>1340</v>
      </c>
      <c r="AS24" s="68">
        <f t="shared" si="17"/>
        <v>22.333333333333332</v>
      </c>
      <c r="AT24" s="68">
        <f t="shared" si="4"/>
        <v>0.13184086700585548</v>
      </c>
      <c r="AU24" s="69">
        <f t="shared" si="18"/>
        <v>0</v>
      </c>
      <c r="AW24" s="82">
        <v>45046.552083333336</v>
      </c>
      <c r="AX24" s="121">
        <v>4.2883562E-2</v>
      </c>
      <c r="AY24" s="83">
        <v>75.208694050000005</v>
      </c>
      <c r="AZ24" s="121">
        <v>7510</v>
      </c>
      <c r="BA24" s="83">
        <f t="shared" si="5"/>
        <v>125.16666666666667</v>
      </c>
      <c r="BB24" s="84">
        <f t="shared" si="6"/>
        <v>5.367592510333334</v>
      </c>
      <c r="BC24" s="83">
        <f t="shared" si="7"/>
        <v>84.572006122249178</v>
      </c>
      <c r="BE24" s="87">
        <v>45047.427083333336</v>
      </c>
      <c r="BF24" s="118">
        <v>3.12946351509081E-2</v>
      </c>
      <c r="BG24" s="88">
        <v>75.652056590000001</v>
      </c>
      <c r="BH24" s="89">
        <v>8134</v>
      </c>
      <c r="BI24" s="90">
        <f t="shared" si="19"/>
        <v>135.56666666666666</v>
      </c>
      <c r="BJ24" s="91">
        <f t="shared" si="20"/>
        <v>4.242509371958108</v>
      </c>
      <c r="BK24" s="91">
        <f t="shared" si="21"/>
        <v>75.370341479567273</v>
      </c>
      <c r="BM24" s="93">
        <v>45049.46875</v>
      </c>
      <c r="BN24">
        <v>2.9773411506068201E-2</v>
      </c>
      <c r="BO24" s="95">
        <v>91.338086169999997</v>
      </c>
      <c r="BP24" s="4">
        <v>10824</v>
      </c>
      <c r="BQ24" s="95">
        <f t="shared" si="22"/>
        <v>180.4</v>
      </c>
      <c r="BR24" s="94">
        <f t="shared" si="23"/>
        <v>5.3711234356947033</v>
      </c>
      <c r="BS24" s="96">
        <f t="shared" si="24"/>
        <v>84.5992452289033</v>
      </c>
      <c r="BU24" s="10">
        <v>45050.729166666664</v>
      </c>
      <c r="BV24" s="119">
        <v>9.2366959032670101E-2</v>
      </c>
      <c r="BW24" s="21">
        <v>114.1275401</v>
      </c>
      <c r="BX24" s="120">
        <v>4002</v>
      </c>
      <c r="BY24" s="21">
        <f t="shared" si="25"/>
        <v>66.7</v>
      </c>
      <c r="BZ24" s="21">
        <f t="shared" si="26"/>
        <v>6.1608761674790964</v>
      </c>
      <c r="CA24" s="21">
        <f t="shared" si="27"/>
        <v>90.477692281217742</v>
      </c>
    </row>
    <row r="25" spans="1:79" x14ac:dyDescent="0.25">
      <c r="A25" s="10">
        <v>44776.229861111111</v>
      </c>
      <c r="B25" s="11">
        <v>1.7821104159901099E-3</v>
      </c>
      <c r="C25" s="12">
        <v>0.83594533650000002</v>
      </c>
      <c r="D25" s="9">
        <v>173</v>
      </c>
      <c r="E25" s="13">
        <f t="shared" si="8"/>
        <v>2.8833333333333333</v>
      </c>
      <c r="F25" s="12">
        <f t="shared" si="9"/>
        <v>5.1384183661048171E-3</v>
      </c>
      <c r="G25" s="13">
        <f t="shared" si="28"/>
        <v>2.8109089601537796</v>
      </c>
      <c r="I25" s="25">
        <v>44781.229861111111</v>
      </c>
      <c r="J25" s="26">
        <v>3.1614028096858902E-3</v>
      </c>
      <c r="K25" s="27">
        <v>1.2636095315</v>
      </c>
      <c r="L25" s="28">
        <v>1061</v>
      </c>
      <c r="M25" s="29">
        <f t="shared" si="10"/>
        <v>17.683333333333334</v>
      </c>
      <c r="N25" s="26">
        <f t="shared" si="0"/>
        <v>5.5904139684612157E-2</v>
      </c>
      <c r="O25" s="29">
        <f t="shared" si="11"/>
        <v>0</v>
      </c>
      <c r="Q25" s="35">
        <v>45136.229166666664</v>
      </c>
      <c r="R25" s="71">
        <v>5.4099484718950902E-3</v>
      </c>
      <c r="S25" s="70">
        <v>0.89783227600000004</v>
      </c>
      <c r="T25" s="36">
        <v>2583</v>
      </c>
      <c r="U25" s="37">
        <f t="shared" si="12"/>
        <v>43.05</v>
      </c>
      <c r="V25" s="37">
        <f t="shared" si="1"/>
        <v>0.23289828171508362</v>
      </c>
      <c r="W25" s="38">
        <f t="shared" si="13"/>
        <v>0</v>
      </c>
      <c r="Y25" s="45">
        <v>45151.229166666664</v>
      </c>
      <c r="Z25" s="4">
        <v>4.4516519692577696E-3</v>
      </c>
      <c r="AA25" s="3">
        <v>0.50323377899999999</v>
      </c>
      <c r="AB25" s="4">
        <v>868</v>
      </c>
      <c r="AC25" s="46">
        <f t="shared" si="14"/>
        <v>14.466666666666667</v>
      </c>
      <c r="AD25" s="47">
        <f t="shared" si="2"/>
        <v>6.4400565155262407E-2</v>
      </c>
      <c r="AE25" s="50">
        <f t="shared" si="15"/>
        <v>0</v>
      </c>
      <c r="AG25" s="51">
        <v>45166.229166666664</v>
      </c>
      <c r="AH25" s="72">
        <v>1.3812905374086399E-2</v>
      </c>
      <c r="AI25" s="73">
        <v>0.44894941300000002</v>
      </c>
      <c r="AJ25" s="52">
        <v>5294</v>
      </c>
      <c r="AK25" s="53">
        <f t="shared" si="16"/>
        <v>88.233333333333334</v>
      </c>
      <c r="AL25" s="72">
        <f t="shared" si="3"/>
        <v>1.2187586841735567</v>
      </c>
      <c r="AM25" s="54">
        <f t="shared" si="29"/>
        <v>40.919234617726914</v>
      </c>
      <c r="AO25" s="66">
        <v>45183.229166666664</v>
      </c>
      <c r="AP25" s="67">
        <v>1.00867925691819E-2</v>
      </c>
      <c r="AQ25" s="68">
        <v>0.66228851600000005</v>
      </c>
      <c r="AR25" s="68">
        <v>2342</v>
      </c>
      <c r="AS25" s="68">
        <f t="shared" si="17"/>
        <v>39.033333333333331</v>
      </c>
      <c r="AT25" s="68">
        <f t="shared" si="4"/>
        <v>0.39372113661706681</v>
      </c>
      <c r="AU25" s="69">
        <f t="shared" si="18"/>
        <v>23.529760888500462</v>
      </c>
      <c r="AW25" s="82">
        <v>45046.5625</v>
      </c>
      <c r="AX25" s="121">
        <v>4.2992486000000003E-2</v>
      </c>
      <c r="AY25" s="83">
        <v>72.069636250000002</v>
      </c>
      <c r="AZ25" s="121">
        <v>7603</v>
      </c>
      <c r="BA25" s="83">
        <f t="shared" si="5"/>
        <v>126.71666666666667</v>
      </c>
      <c r="BB25" s="84">
        <f t="shared" si="6"/>
        <v>5.4478645176333336</v>
      </c>
      <c r="BC25" s="83">
        <f t="shared" si="7"/>
        <v>85.189017822363695</v>
      </c>
      <c r="BE25" s="87">
        <v>45047.4375</v>
      </c>
      <c r="BF25" s="118">
        <v>3.2068923311150299E-2</v>
      </c>
      <c r="BG25" s="88">
        <v>76.986061320000005</v>
      </c>
      <c r="BH25" s="89">
        <v>7835</v>
      </c>
      <c r="BI25" s="90">
        <f t="shared" si="19"/>
        <v>130.58333333333334</v>
      </c>
      <c r="BJ25" s="91">
        <f t="shared" si="20"/>
        <v>4.1876669023810438</v>
      </c>
      <c r="BK25" s="91">
        <f t="shared" si="21"/>
        <v>74.891640603794414</v>
      </c>
      <c r="BM25" s="93">
        <v>45049.479166666664</v>
      </c>
      <c r="BN25">
        <v>2.7410624320024599E-2</v>
      </c>
      <c r="BO25" s="95">
        <v>84.891986889999998</v>
      </c>
      <c r="BP25" s="4">
        <v>11303</v>
      </c>
      <c r="BQ25" s="95">
        <f t="shared" si="22"/>
        <v>188.38333333333333</v>
      </c>
      <c r="BR25" s="94">
        <f t="shared" si="23"/>
        <v>5.1637047781539671</v>
      </c>
      <c r="BS25" s="96">
        <f t="shared" si="24"/>
        <v>82.983317404170393</v>
      </c>
      <c r="BU25" s="10">
        <v>45050.739583333336</v>
      </c>
      <c r="BV25" s="119">
        <v>9.3560214596100005E-2</v>
      </c>
      <c r="BW25" s="21">
        <v>108.2271172</v>
      </c>
      <c r="BX25" s="120">
        <v>4034</v>
      </c>
      <c r="BY25" s="21">
        <f t="shared" si="25"/>
        <v>67.233333333333334</v>
      </c>
      <c r="BZ25" s="21">
        <f t="shared" si="26"/>
        <v>6.2903650946777905</v>
      </c>
      <c r="CA25" s="21">
        <f t="shared" si="27"/>
        <v>91.403990769948379</v>
      </c>
    </row>
    <row r="26" spans="1:79" x14ac:dyDescent="0.25">
      <c r="A26" s="10">
        <v>44776.240277777775</v>
      </c>
      <c r="B26" s="11">
        <v>1.5586168093157399E-3</v>
      </c>
      <c r="C26" s="12">
        <v>0.78025976949999998</v>
      </c>
      <c r="D26" s="9">
        <v>131</v>
      </c>
      <c r="E26" s="13">
        <f t="shared" si="8"/>
        <v>2.1833333333333331</v>
      </c>
      <c r="F26" s="12">
        <f t="shared" si="9"/>
        <v>3.4029800336726986E-3</v>
      </c>
      <c r="G26" s="13">
        <f t="shared" si="28"/>
        <v>2.2972335025138353</v>
      </c>
      <c r="I26" s="25">
        <v>44781.240277777775</v>
      </c>
      <c r="J26" s="26">
        <v>3.86862997993025E-3</v>
      </c>
      <c r="K26" s="27">
        <v>1.269803263</v>
      </c>
      <c r="L26" s="28">
        <v>1015</v>
      </c>
      <c r="M26" s="29">
        <f t="shared" si="10"/>
        <v>16.916666666666668</v>
      </c>
      <c r="N26" s="26">
        <f t="shared" si="0"/>
        <v>6.54443238271534E-2</v>
      </c>
      <c r="O26" s="29">
        <f t="shared" si="11"/>
        <v>0</v>
      </c>
      <c r="Q26" s="35">
        <v>45136.239583333336</v>
      </c>
      <c r="R26" s="71">
        <v>7.0601446291194197E-3</v>
      </c>
      <c r="S26" s="70">
        <v>0.99067576999999996</v>
      </c>
      <c r="T26" s="36">
        <v>2995</v>
      </c>
      <c r="U26" s="37">
        <f t="shared" si="12"/>
        <v>49.916666666666664</v>
      </c>
      <c r="V26" s="37">
        <f t="shared" si="1"/>
        <v>0.35241888607021099</v>
      </c>
      <c r="W26" s="38">
        <f t="shared" si="13"/>
        <v>0</v>
      </c>
      <c r="Y26" s="45">
        <v>45151.239583333336</v>
      </c>
      <c r="Z26" s="4">
        <v>5.7212281035159502E-3</v>
      </c>
      <c r="AA26" s="3">
        <v>0.66228851600000005</v>
      </c>
      <c r="AB26" s="4">
        <v>1354</v>
      </c>
      <c r="AC26" s="46">
        <f t="shared" si="14"/>
        <v>22.566666666666666</v>
      </c>
      <c r="AD26" s="47">
        <f t="shared" si="2"/>
        <v>0.12910904753600994</v>
      </c>
      <c r="AE26" s="50">
        <f t="shared" si="15"/>
        <v>0</v>
      </c>
      <c r="AG26" s="51">
        <v>45166.239583333336</v>
      </c>
      <c r="AH26" s="72">
        <v>1.00243336046308E-2</v>
      </c>
      <c r="AI26" s="73">
        <v>0.42386643899999998</v>
      </c>
      <c r="AJ26" s="52">
        <v>4481</v>
      </c>
      <c r="AK26" s="53">
        <f t="shared" si="16"/>
        <v>74.683333333333337</v>
      </c>
      <c r="AL26" s="72">
        <f t="shared" si="3"/>
        <v>0.74865064803917691</v>
      </c>
      <c r="AM26" s="54">
        <f t="shared" si="29"/>
        <v>32.232064192136171</v>
      </c>
      <c r="AO26" s="66">
        <v>45183.239583333336</v>
      </c>
      <c r="AP26" s="67">
        <v>6.3214542793526398E-3</v>
      </c>
      <c r="AQ26" s="68">
        <v>0.44894941300000002</v>
      </c>
      <c r="AR26" s="68">
        <v>1314</v>
      </c>
      <c r="AS26" s="68">
        <f t="shared" si="17"/>
        <v>21.9</v>
      </c>
      <c r="AT26" s="68">
        <f t="shared" si="4"/>
        <v>0.13843984871782281</v>
      </c>
      <c r="AU26" s="69">
        <f t="shared" si="18"/>
        <v>0</v>
      </c>
      <c r="AW26" s="82">
        <v>45046.572916666664</v>
      </c>
      <c r="AX26" s="121">
        <v>3.8530272999999997E-2</v>
      </c>
      <c r="AY26" s="83">
        <v>76.544179459999995</v>
      </c>
      <c r="AZ26" s="121">
        <v>7537</v>
      </c>
      <c r="BA26" s="83">
        <f t="shared" si="5"/>
        <v>125.61666666666666</v>
      </c>
      <c r="BB26" s="84">
        <f t="shared" si="6"/>
        <v>4.8400444600166663</v>
      </c>
      <c r="BC26" s="83">
        <f t="shared" si="7"/>
        <v>80.394126319763103</v>
      </c>
      <c r="BE26" s="87">
        <v>45047.447916666664</v>
      </c>
      <c r="BF26" s="118">
        <v>2.9763287703586699E-2</v>
      </c>
      <c r="BG26" s="88">
        <v>80.523852189999999</v>
      </c>
      <c r="BH26" s="89">
        <v>8774</v>
      </c>
      <c r="BI26" s="90">
        <f t="shared" si="19"/>
        <v>146.23333333333332</v>
      </c>
      <c r="BJ26" s="91">
        <f t="shared" si="20"/>
        <v>4.3523847718544948</v>
      </c>
      <c r="BK26" s="91">
        <f t="shared" si="21"/>
        <v>76.319996669366716</v>
      </c>
      <c r="BM26" s="93">
        <v>45049.489583333336</v>
      </c>
      <c r="BN26">
        <v>3.04615078720674E-2</v>
      </c>
      <c r="BO26" s="95">
        <v>87.058386479999996</v>
      </c>
      <c r="BP26" s="4">
        <v>10827</v>
      </c>
      <c r="BQ26" s="95">
        <f t="shared" si="22"/>
        <v>180.45</v>
      </c>
      <c r="BR26" s="94">
        <f t="shared" si="23"/>
        <v>5.4967790955145617</v>
      </c>
      <c r="BS26" s="96">
        <f t="shared" si="24"/>
        <v>85.562727323064166</v>
      </c>
      <c r="BU26" s="10">
        <v>45050.75</v>
      </c>
      <c r="BV26" s="119">
        <v>9.5461102208317494E-2</v>
      </c>
      <c r="BW26" s="21">
        <v>122.51245830000001</v>
      </c>
      <c r="BX26" s="120">
        <v>4042</v>
      </c>
      <c r="BY26" s="21">
        <f t="shared" si="25"/>
        <v>67.36666666666666</v>
      </c>
      <c r="BZ26" s="21">
        <f t="shared" si="26"/>
        <v>6.4308962521003208</v>
      </c>
      <c r="CA26" s="21">
        <f t="shared" si="27"/>
        <v>92.398335523246857</v>
      </c>
    </row>
    <row r="27" spans="1:79" x14ac:dyDescent="0.25">
      <c r="A27" s="10">
        <v>44776.250694444447</v>
      </c>
      <c r="B27" s="11">
        <v>1.5338057626346599E-3</v>
      </c>
      <c r="C27" s="12">
        <v>0.75657462549999999</v>
      </c>
      <c r="D27" s="9">
        <v>99</v>
      </c>
      <c r="E27" s="13">
        <f t="shared" si="8"/>
        <v>1.65</v>
      </c>
      <c r="F27" s="12">
        <f t="shared" si="9"/>
        <v>2.5307795083471889E-3</v>
      </c>
      <c r="G27" s="13">
        <f t="shared" si="28"/>
        <v>1.987134337417199</v>
      </c>
      <c r="I27" s="25">
        <v>44781.250694444447</v>
      </c>
      <c r="J27" s="26">
        <v>3.57448395977234E-3</v>
      </c>
      <c r="K27" s="27">
        <v>1.3586243874999999</v>
      </c>
      <c r="L27" s="28">
        <v>1033</v>
      </c>
      <c r="M27" s="29">
        <f t="shared" si="10"/>
        <v>17.216666666666665</v>
      </c>
      <c r="N27" s="26">
        <f t="shared" si="0"/>
        <v>6.1540698840747116E-2</v>
      </c>
      <c r="O27" s="29">
        <f t="shared" si="11"/>
        <v>0</v>
      </c>
      <c r="Q27" s="35">
        <v>45136.25</v>
      </c>
      <c r="R27" s="71">
        <v>9.2267551611655407E-3</v>
      </c>
      <c r="S27" s="70">
        <v>1.1441742989999999</v>
      </c>
      <c r="T27" s="36">
        <v>3660</v>
      </c>
      <c r="U27" s="37">
        <f t="shared" si="12"/>
        <v>61</v>
      </c>
      <c r="V27" s="37">
        <f t="shared" si="1"/>
        <v>0.56283206483109793</v>
      </c>
      <c r="W27" s="38">
        <f t="shared" si="13"/>
        <v>28.029419693648578</v>
      </c>
      <c r="Y27" s="45">
        <v>45151.25</v>
      </c>
      <c r="Z27" s="4">
        <v>7.1464229698987199E-3</v>
      </c>
      <c r="AA27" s="3">
        <v>0.66228851600000005</v>
      </c>
      <c r="AB27" s="4">
        <v>1493</v>
      </c>
      <c r="AC27" s="46">
        <f t="shared" si="14"/>
        <v>24.883333333333333</v>
      </c>
      <c r="AD27" s="47">
        <f t="shared" si="2"/>
        <v>0.17782682490097981</v>
      </c>
      <c r="AE27" s="50">
        <f t="shared" si="15"/>
        <v>0</v>
      </c>
      <c r="AG27" s="51">
        <v>45166.25</v>
      </c>
      <c r="AH27" s="72">
        <v>8.5565689651571492E-3</v>
      </c>
      <c r="AI27" s="73">
        <v>0.33405227900000001</v>
      </c>
      <c r="AJ27" s="52">
        <v>2853</v>
      </c>
      <c r="AK27" s="53">
        <f t="shared" si="16"/>
        <v>47.55</v>
      </c>
      <c r="AL27" s="72">
        <f t="shared" si="3"/>
        <v>0.40686485429322244</v>
      </c>
      <c r="AM27" s="54">
        <f t="shared" si="29"/>
        <v>23.911198459324371</v>
      </c>
      <c r="AO27" s="66">
        <v>45183.25</v>
      </c>
      <c r="AP27" s="67">
        <v>6.5115629149989102E-3</v>
      </c>
      <c r="AQ27" s="68">
        <v>0.59425534599999996</v>
      </c>
      <c r="AR27" s="68">
        <v>2096</v>
      </c>
      <c r="AS27" s="68">
        <f t="shared" si="17"/>
        <v>34.93333333333333</v>
      </c>
      <c r="AT27" s="68">
        <f t="shared" si="4"/>
        <v>0.22747059783062856</v>
      </c>
      <c r="AU27" s="69">
        <f t="shared" si="18"/>
        <v>0</v>
      </c>
      <c r="AW27" s="82">
        <v>45046.583333333336</v>
      </c>
      <c r="AX27" s="121">
        <v>4.3516204000000003E-2</v>
      </c>
      <c r="AY27" s="83">
        <v>78.762941850000004</v>
      </c>
      <c r="AZ27" s="121">
        <v>7026</v>
      </c>
      <c r="BA27" s="83">
        <f t="shared" si="5"/>
        <v>117.1</v>
      </c>
      <c r="BB27" s="84">
        <f t="shared" si="6"/>
        <v>5.0957474883999998</v>
      </c>
      <c r="BC27" s="83">
        <f t="shared" si="7"/>
        <v>82.446704472072298</v>
      </c>
      <c r="BE27" s="87">
        <v>45047.458333333336</v>
      </c>
      <c r="BF27" s="118">
        <v>3.0714033767881101E-2</v>
      </c>
      <c r="BG27" s="88">
        <v>75.652056590000001</v>
      </c>
      <c r="BH27" s="89">
        <v>8779</v>
      </c>
      <c r="BI27" s="90">
        <f t="shared" si="19"/>
        <v>146.31666666666666</v>
      </c>
      <c r="BJ27" s="91">
        <f t="shared" si="20"/>
        <v>4.4939750408038028</v>
      </c>
      <c r="BK27" s="91">
        <f t="shared" si="21"/>
        <v>77.525901478841334</v>
      </c>
      <c r="BM27" s="93">
        <v>45049.5</v>
      </c>
      <c r="BN27">
        <v>3.25342361299416E-2</v>
      </c>
      <c r="BO27" s="95">
        <v>87.922589900000006</v>
      </c>
      <c r="BP27" s="4">
        <v>10797</v>
      </c>
      <c r="BQ27" s="95">
        <f t="shared" si="22"/>
        <v>179.95</v>
      </c>
      <c r="BR27" s="94">
        <f t="shared" si="23"/>
        <v>5.8545357915829905</v>
      </c>
      <c r="BS27" s="96">
        <f t="shared" si="24"/>
        <v>88.245923622620822</v>
      </c>
      <c r="BU27" s="10">
        <v>45050.760416666664</v>
      </c>
      <c r="BV27" s="119">
        <v>9.2434558589971599E-2</v>
      </c>
      <c r="BW27" s="21">
        <v>123.6297958</v>
      </c>
      <c r="BX27" s="120">
        <v>3857</v>
      </c>
      <c r="BY27" s="21">
        <f t="shared" si="25"/>
        <v>64.283333333333331</v>
      </c>
      <c r="BZ27" s="21">
        <f t="shared" si="26"/>
        <v>5.9420015413586738</v>
      </c>
      <c r="CA27" s="21">
        <f t="shared" si="27"/>
        <v>88.889091060108953</v>
      </c>
    </row>
    <row r="28" spans="1:79" x14ac:dyDescent="0.25">
      <c r="A28" s="10">
        <v>44776.261111111111</v>
      </c>
      <c r="B28" s="11">
        <v>1.7430859968627201E-3</v>
      </c>
      <c r="C28" s="12">
        <v>0.70298291499999999</v>
      </c>
      <c r="D28" s="9">
        <v>125</v>
      </c>
      <c r="E28" s="13">
        <f t="shared" si="8"/>
        <v>2.0833333333333335</v>
      </c>
      <c r="F28" s="12">
        <f t="shared" si="9"/>
        <v>3.6314291601306672E-3</v>
      </c>
      <c r="G28" s="13">
        <f t="shared" si="28"/>
        <v>2.3715024734635026</v>
      </c>
      <c r="I28" s="25">
        <v>44781.261111111111</v>
      </c>
      <c r="J28" s="26">
        <v>3.1265966325958699E-3</v>
      </c>
      <c r="K28" s="27">
        <v>1.3056302835</v>
      </c>
      <c r="L28" s="28">
        <v>907</v>
      </c>
      <c r="M28" s="29">
        <f t="shared" si="10"/>
        <v>15.116666666666667</v>
      </c>
      <c r="N28" s="26">
        <f t="shared" si="0"/>
        <v>4.7263719096074235E-2</v>
      </c>
      <c r="O28" s="29">
        <f t="shared" si="11"/>
        <v>0</v>
      </c>
      <c r="Q28" s="35">
        <v>45136.260416666664</v>
      </c>
      <c r="R28" s="71">
        <v>6.9130123830800404E-3</v>
      </c>
      <c r="S28" s="70">
        <v>0.89783227600000004</v>
      </c>
      <c r="T28" s="36">
        <v>2689</v>
      </c>
      <c r="U28" s="37">
        <f t="shared" si="12"/>
        <v>44.81666666666667</v>
      </c>
      <c r="V28" s="37">
        <f t="shared" si="1"/>
        <v>0.30981817163503717</v>
      </c>
      <c r="W28" s="38">
        <f t="shared" si="13"/>
        <v>0</v>
      </c>
      <c r="Y28" s="45">
        <v>45151.260416666664</v>
      </c>
      <c r="Z28" s="4">
        <v>5.4064467236704904E-3</v>
      </c>
      <c r="AA28" s="3">
        <v>0.66228851600000005</v>
      </c>
      <c r="AB28" s="4">
        <v>1433</v>
      </c>
      <c r="AC28" s="46">
        <f t="shared" si="14"/>
        <v>23.883333333333333</v>
      </c>
      <c r="AD28" s="47">
        <f t="shared" si="2"/>
        <v>0.12912396925033021</v>
      </c>
      <c r="AE28" s="50">
        <f t="shared" si="15"/>
        <v>0</v>
      </c>
      <c r="AG28" s="51">
        <v>45166.260416666664</v>
      </c>
      <c r="AH28" s="72">
        <v>5.9456301632887501E-3</v>
      </c>
      <c r="AI28" s="73">
        <v>0.31440712500000001</v>
      </c>
      <c r="AJ28" s="52">
        <v>2128</v>
      </c>
      <c r="AK28" s="53">
        <f t="shared" si="16"/>
        <v>35.466666666666669</v>
      </c>
      <c r="AL28" s="72">
        <f t="shared" si="3"/>
        <v>0.21087168312464102</v>
      </c>
      <c r="AM28" s="54">
        <f t="shared" si="29"/>
        <v>0</v>
      </c>
      <c r="AO28" s="66">
        <v>45183.260416666664</v>
      </c>
      <c r="AP28" s="67">
        <v>7.3765554655193999E-3</v>
      </c>
      <c r="AQ28" s="68">
        <v>0.44894941300000002</v>
      </c>
      <c r="AR28" s="68">
        <v>1338</v>
      </c>
      <c r="AS28" s="68">
        <f t="shared" si="17"/>
        <v>22.3</v>
      </c>
      <c r="AT28" s="68">
        <f t="shared" si="4"/>
        <v>0.16449718688108261</v>
      </c>
      <c r="AU28" s="69">
        <f t="shared" si="18"/>
        <v>0</v>
      </c>
      <c r="AW28" s="82">
        <v>45046.59375</v>
      </c>
      <c r="AX28" s="121">
        <v>4.3363891000000002E-2</v>
      </c>
      <c r="AY28" s="83">
        <v>76.544179459999995</v>
      </c>
      <c r="AZ28" s="121">
        <v>6964</v>
      </c>
      <c r="BA28" s="83">
        <f t="shared" si="5"/>
        <v>116.06666666666666</v>
      </c>
      <c r="BB28" s="84">
        <f t="shared" si="6"/>
        <v>5.0331022820666664</v>
      </c>
      <c r="BC28" s="83">
        <f t="shared" si="7"/>
        <v>81.948793212662608</v>
      </c>
      <c r="BE28" s="87">
        <v>45047.46875</v>
      </c>
      <c r="BF28" s="118">
        <v>3.2642982652304899E-2</v>
      </c>
      <c r="BG28" s="88">
        <v>76.986061320000005</v>
      </c>
      <c r="BH28" s="89">
        <v>8431</v>
      </c>
      <c r="BI28" s="90">
        <f t="shared" si="19"/>
        <v>140.51666666666668</v>
      </c>
      <c r="BJ28" s="91">
        <f t="shared" si="20"/>
        <v>4.5868831123597102</v>
      </c>
      <c r="BK28" s="91">
        <f t="shared" si="21"/>
        <v>78.30667744433417</v>
      </c>
      <c r="BM28" s="93">
        <v>45049.510416666664</v>
      </c>
      <c r="BN28">
        <v>3.0412420713304099E-2</v>
      </c>
      <c r="BO28" s="95">
        <v>95.977802339999997</v>
      </c>
      <c r="BP28" s="4">
        <v>10668</v>
      </c>
      <c r="BQ28" s="95">
        <f t="shared" si="22"/>
        <v>177.8</v>
      </c>
      <c r="BR28" s="94">
        <f t="shared" si="23"/>
        <v>5.4073284028254696</v>
      </c>
      <c r="BS28" s="96">
        <f t="shared" si="24"/>
        <v>84.878020705486136</v>
      </c>
      <c r="BU28" s="10">
        <v>45050.770833333336</v>
      </c>
      <c r="BV28" s="119">
        <v>9.0925455657817303E-2</v>
      </c>
      <c r="BW28" s="21">
        <v>130.92322350000001</v>
      </c>
      <c r="BX28" s="120">
        <v>3698</v>
      </c>
      <c r="BY28" s="21">
        <f t="shared" si="25"/>
        <v>61.633333333333333</v>
      </c>
      <c r="BZ28" s="21">
        <f t="shared" si="26"/>
        <v>5.6040389170434732</v>
      </c>
      <c r="CA28" s="21">
        <f t="shared" si="27"/>
        <v>86.376301085233735</v>
      </c>
    </row>
    <row r="29" spans="1:79" x14ac:dyDescent="0.25">
      <c r="A29" s="10">
        <v>44776.271527777775</v>
      </c>
      <c r="B29" s="11">
        <v>1.4722945166709999E-3</v>
      </c>
      <c r="C29" s="12">
        <v>0.68254177999999999</v>
      </c>
      <c r="D29" s="9">
        <v>126</v>
      </c>
      <c r="E29" s="13">
        <f t="shared" si="8"/>
        <v>2.1</v>
      </c>
      <c r="F29" s="12">
        <f t="shared" si="9"/>
        <v>3.0918184850090998E-3</v>
      </c>
      <c r="G29" s="13">
        <f t="shared" si="28"/>
        <v>2.1918527936826915</v>
      </c>
      <c r="I29" s="25">
        <v>44781.271527777775</v>
      </c>
      <c r="J29" s="26">
        <v>3.71672567259323E-3</v>
      </c>
      <c r="K29" s="27">
        <v>1.2676346135000001</v>
      </c>
      <c r="L29" s="28">
        <v>832</v>
      </c>
      <c r="M29" s="29">
        <f t="shared" si="10"/>
        <v>13.866666666666667</v>
      </c>
      <c r="N29" s="26">
        <f t="shared" si="0"/>
        <v>5.1538595993292788E-2</v>
      </c>
      <c r="O29" s="29">
        <f t="shared" si="11"/>
        <v>0</v>
      </c>
      <c r="Q29" s="35">
        <v>45136.270833333336</v>
      </c>
      <c r="R29" s="71">
        <v>7.1312324697983499E-3</v>
      </c>
      <c r="S29" s="70">
        <v>1.1441742989999999</v>
      </c>
      <c r="T29" s="36">
        <v>3338</v>
      </c>
      <c r="U29" s="37">
        <f t="shared" si="12"/>
        <v>55.633333333333333</v>
      </c>
      <c r="V29" s="37">
        <f t="shared" si="1"/>
        <v>0.39673423306978151</v>
      </c>
      <c r="W29" s="38">
        <f t="shared" si="13"/>
        <v>23.617769736132988</v>
      </c>
      <c r="Y29" s="45">
        <v>45151.270833333336</v>
      </c>
      <c r="Z29" s="4">
        <v>7.0508754123729898E-3</v>
      </c>
      <c r="AA29" s="3">
        <v>0.77321039300000005</v>
      </c>
      <c r="AB29" s="4">
        <v>1746</v>
      </c>
      <c r="AC29" s="46">
        <f t="shared" si="14"/>
        <v>29.1</v>
      </c>
      <c r="AD29" s="47">
        <f t="shared" si="2"/>
        <v>0.205180474500054</v>
      </c>
      <c r="AE29" s="50">
        <f t="shared" si="15"/>
        <v>0</v>
      </c>
      <c r="AG29" s="51">
        <v>45166.270833333336</v>
      </c>
      <c r="AH29" s="72">
        <v>1.11428076912495E-2</v>
      </c>
      <c r="AI29" s="73">
        <v>0.376777213</v>
      </c>
      <c r="AJ29" s="52">
        <v>4045</v>
      </c>
      <c r="AK29" s="53">
        <f t="shared" si="16"/>
        <v>67.416666666666671</v>
      </c>
      <c r="AL29" s="72">
        <f t="shared" si="3"/>
        <v>0.75121095185173714</v>
      </c>
      <c r="AM29" s="54">
        <f t="shared" si="29"/>
        <v>32.285996877975236</v>
      </c>
      <c r="AO29" s="66">
        <v>45183.270833333336</v>
      </c>
      <c r="AP29" s="67">
        <v>4.7943275193273903E-3</v>
      </c>
      <c r="AQ29" s="68">
        <v>0.44939223900000003</v>
      </c>
      <c r="AR29" s="68">
        <v>1446</v>
      </c>
      <c r="AS29" s="68">
        <f t="shared" si="17"/>
        <v>24.1</v>
      </c>
      <c r="AT29" s="68">
        <f t="shared" si="4"/>
        <v>0.11554329321579011</v>
      </c>
      <c r="AU29" s="69">
        <f t="shared" si="18"/>
        <v>0</v>
      </c>
      <c r="AW29" s="82">
        <v>45046.604166666664</v>
      </c>
      <c r="AX29" s="121">
        <v>4.2695531000000002E-2</v>
      </c>
      <c r="AY29" s="83">
        <v>80.523852189999999</v>
      </c>
      <c r="AZ29" s="121">
        <v>7053</v>
      </c>
      <c r="BA29" s="83">
        <f t="shared" si="5"/>
        <v>117.55</v>
      </c>
      <c r="BB29" s="84">
        <f t="shared" si="6"/>
        <v>5.0188596690500002</v>
      </c>
      <c r="BC29" s="83">
        <f t="shared" si="7"/>
        <v>81.835150788792077</v>
      </c>
      <c r="BE29" s="87">
        <v>45047.479166666664</v>
      </c>
      <c r="BF29" s="118">
        <v>3.0816850285896102E-2</v>
      </c>
      <c r="BG29" s="88">
        <v>76.986061320000005</v>
      </c>
      <c r="BH29" s="89">
        <v>8732</v>
      </c>
      <c r="BI29" s="90">
        <f t="shared" si="19"/>
        <v>145.53333333333333</v>
      </c>
      <c r="BJ29" s="91">
        <f t="shared" si="20"/>
        <v>4.4848789449407462</v>
      </c>
      <c r="BK29" s="91">
        <f t="shared" si="21"/>
        <v>77.449019286407179</v>
      </c>
      <c r="BM29" s="93">
        <v>45049.520833333336</v>
      </c>
      <c r="BN29">
        <v>3.1039443019692099E-2</v>
      </c>
      <c r="BO29" s="95">
        <v>92.617989059999999</v>
      </c>
      <c r="BP29" s="4">
        <v>10348</v>
      </c>
      <c r="BQ29" s="95">
        <f t="shared" si="22"/>
        <v>172.46666666666667</v>
      </c>
      <c r="BR29" s="94">
        <f t="shared" si="23"/>
        <v>5.353269272796231</v>
      </c>
      <c r="BS29" s="96">
        <f t="shared" si="24"/>
        <v>84.461416497852568</v>
      </c>
      <c r="BU29" s="10">
        <v>45050.78125</v>
      </c>
      <c r="BV29" s="119">
        <v>9.8357890963901601E-2</v>
      </c>
      <c r="BW29" s="21">
        <v>126.21229889999999</v>
      </c>
      <c r="BX29" s="120">
        <v>3890</v>
      </c>
      <c r="BY29" s="21">
        <f t="shared" si="25"/>
        <v>64.833333333333329</v>
      </c>
      <c r="BZ29" s="21">
        <f t="shared" si="26"/>
        <v>6.3768699308262864</v>
      </c>
      <c r="CA29" s="21">
        <f t="shared" si="27"/>
        <v>92.01739074775621</v>
      </c>
    </row>
    <row r="30" spans="1:79" x14ac:dyDescent="0.25">
      <c r="A30" s="10">
        <v>44776.281944444447</v>
      </c>
      <c r="B30" s="11">
        <v>1.4342019579008599E-3</v>
      </c>
      <c r="C30" s="12">
        <v>0.684465781</v>
      </c>
      <c r="D30" s="9">
        <v>118</v>
      </c>
      <c r="E30" s="13">
        <f t="shared" si="8"/>
        <v>1.9666666666666666</v>
      </c>
      <c r="F30" s="12">
        <f t="shared" si="9"/>
        <v>2.8205971838716911E-3</v>
      </c>
      <c r="G30" s="13">
        <f t="shared" si="28"/>
        <v>2.0954901014104932</v>
      </c>
      <c r="I30" s="25">
        <v>44781.281944444447</v>
      </c>
      <c r="J30" s="26">
        <v>3.2655198123181998E-3</v>
      </c>
      <c r="K30" s="27">
        <v>1.2868847735</v>
      </c>
      <c r="L30" s="28">
        <v>833</v>
      </c>
      <c r="M30" s="29">
        <f t="shared" si="10"/>
        <v>13.883333333333333</v>
      </c>
      <c r="N30" s="26">
        <f t="shared" si="0"/>
        <v>4.5336300061017673E-2</v>
      </c>
      <c r="O30" s="29">
        <f t="shared" si="11"/>
        <v>0</v>
      </c>
      <c r="Q30" s="35">
        <v>45136.28125</v>
      </c>
      <c r="R30" s="71">
        <v>4.9684074324156096E-3</v>
      </c>
      <c r="S30" s="70">
        <v>0.73432993800000002</v>
      </c>
      <c r="T30" s="36">
        <v>1901</v>
      </c>
      <c r="U30" s="37">
        <f t="shared" si="12"/>
        <v>31.683333333333334</v>
      </c>
      <c r="V30" s="37">
        <f t="shared" si="1"/>
        <v>0.15741570881703457</v>
      </c>
      <c r="W30" s="38">
        <f t="shared" si="13"/>
        <v>0</v>
      </c>
      <c r="Y30" s="45">
        <v>45151.28125</v>
      </c>
      <c r="Z30" s="4">
        <v>7.2488739117742796E-3</v>
      </c>
      <c r="AA30" s="3">
        <v>0.66228851600000005</v>
      </c>
      <c r="AB30" s="4">
        <v>1305</v>
      </c>
      <c r="AC30" s="46">
        <f t="shared" si="14"/>
        <v>21.75</v>
      </c>
      <c r="AD30" s="47">
        <f t="shared" si="2"/>
        <v>0.15766300758109059</v>
      </c>
      <c r="AE30" s="50">
        <f t="shared" si="15"/>
        <v>0</v>
      </c>
      <c r="AG30" s="51">
        <v>45166.28125</v>
      </c>
      <c r="AH30" s="72">
        <v>9.60254448264845E-3</v>
      </c>
      <c r="AI30" s="73">
        <v>0.376777213</v>
      </c>
      <c r="AJ30" s="52">
        <v>3832</v>
      </c>
      <c r="AK30" s="53">
        <f t="shared" si="16"/>
        <v>63.866666666666667</v>
      </c>
      <c r="AL30" s="72">
        <f t="shared" si="3"/>
        <v>0.61328250762514769</v>
      </c>
      <c r="AM30" s="54">
        <f t="shared" si="29"/>
        <v>29.232837847728149</v>
      </c>
      <c r="AO30" s="66">
        <v>45183.28125</v>
      </c>
      <c r="AP30" s="67">
        <v>7.3620775551865398E-3</v>
      </c>
      <c r="AQ30" s="68">
        <v>0.44939223900000003</v>
      </c>
      <c r="AR30" s="68">
        <v>1446</v>
      </c>
      <c r="AS30" s="68">
        <f t="shared" si="17"/>
        <v>24.1</v>
      </c>
      <c r="AT30" s="68">
        <f t="shared" si="4"/>
        <v>0.17742606907999561</v>
      </c>
      <c r="AU30" s="69">
        <f t="shared" si="18"/>
        <v>0</v>
      </c>
      <c r="AW30" s="82">
        <v>45046.614583333336</v>
      </c>
      <c r="AX30" s="121">
        <v>4.7479491999999998E-2</v>
      </c>
      <c r="AY30" s="83">
        <v>79.202259850000004</v>
      </c>
      <c r="AZ30" s="121">
        <v>6379</v>
      </c>
      <c r="BA30" s="83">
        <f t="shared" si="5"/>
        <v>106.31666666666666</v>
      </c>
      <c r="BB30" s="84">
        <f t="shared" si="6"/>
        <v>5.0478613244666661</v>
      </c>
      <c r="BC30" s="83">
        <f t="shared" si="7"/>
        <v>82.06638324476603</v>
      </c>
      <c r="BE30" s="87">
        <v>45047.489583333336</v>
      </c>
      <c r="BF30" s="118">
        <v>3.2290034735341797E-2</v>
      </c>
      <c r="BG30" s="88">
        <v>72.970159429999995</v>
      </c>
      <c r="BH30" s="89">
        <v>8739</v>
      </c>
      <c r="BI30" s="90">
        <f t="shared" si="19"/>
        <v>145.65</v>
      </c>
      <c r="BJ30" s="91">
        <f t="shared" si="20"/>
        <v>4.7030435592025333</v>
      </c>
      <c r="BK30" s="91">
        <f t="shared" si="21"/>
        <v>79.27159371671226</v>
      </c>
      <c r="BM30" s="93">
        <v>45049.53125</v>
      </c>
      <c r="BN30">
        <v>3.1785608229113499E-2</v>
      </c>
      <c r="BO30" s="95">
        <v>91.767774239999994</v>
      </c>
      <c r="BP30" s="4">
        <v>10326</v>
      </c>
      <c r="BQ30" s="95">
        <f t="shared" si="22"/>
        <v>172.1</v>
      </c>
      <c r="BR30" s="94">
        <f t="shared" si="23"/>
        <v>5.4703031762304333</v>
      </c>
      <c r="BS30" s="96">
        <f t="shared" si="24"/>
        <v>85.360661814628742</v>
      </c>
      <c r="BU30" s="10">
        <v>45050.791666666664</v>
      </c>
      <c r="BV30" s="119">
        <v>8.17298496880694E-2</v>
      </c>
      <c r="BW30" s="21">
        <v>129.12778700000001</v>
      </c>
      <c r="BX30" s="120">
        <v>4316</v>
      </c>
      <c r="BY30" s="21">
        <f t="shared" si="25"/>
        <v>71.933333333333337</v>
      </c>
      <c r="BZ30" s="21">
        <f t="shared" si="26"/>
        <v>5.8791005208951255</v>
      </c>
      <c r="CA30" s="21">
        <f t="shared" si="27"/>
        <v>88.427049316954836</v>
      </c>
    </row>
    <row r="31" spans="1:79" x14ac:dyDescent="0.25">
      <c r="A31" s="10">
        <v>44776.292361111111</v>
      </c>
      <c r="B31" s="11">
        <v>1.5663141121691E-3</v>
      </c>
      <c r="C31" s="12">
        <v>0.69437548549999994</v>
      </c>
      <c r="D31" s="9">
        <v>104</v>
      </c>
      <c r="E31" s="13">
        <f t="shared" si="8"/>
        <v>1.7333333333333334</v>
      </c>
      <c r="F31" s="12">
        <f t="shared" si="9"/>
        <v>2.7149444610931068E-3</v>
      </c>
      <c r="G31" s="13">
        <f t="shared" si="28"/>
        <v>2.0566781292310021</v>
      </c>
      <c r="I31" s="25">
        <v>44781.292361111111</v>
      </c>
      <c r="J31" s="26">
        <v>3.1374374464774001E-3</v>
      </c>
      <c r="K31" s="27">
        <v>1.2461573855000001</v>
      </c>
      <c r="L31" s="28">
        <v>932</v>
      </c>
      <c r="M31" s="29">
        <f t="shared" si="10"/>
        <v>15.533333333333333</v>
      </c>
      <c r="N31" s="26">
        <f t="shared" si="0"/>
        <v>4.8734861668615612E-2</v>
      </c>
      <c r="O31" s="29">
        <f t="shared" si="11"/>
        <v>0</v>
      </c>
      <c r="Q31" s="35">
        <v>45136.291666666664</v>
      </c>
      <c r="R31" s="71">
        <v>6.50278848521016E-3</v>
      </c>
      <c r="S31" s="70">
        <v>0.85462156099999997</v>
      </c>
      <c r="T31" s="36">
        <v>3226</v>
      </c>
      <c r="U31" s="37">
        <f t="shared" si="12"/>
        <v>53.766666666666666</v>
      </c>
      <c r="V31" s="37">
        <f t="shared" si="1"/>
        <v>0.34963326088813296</v>
      </c>
      <c r="W31" s="38">
        <f t="shared" si="13"/>
        <v>0</v>
      </c>
      <c r="Y31" s="45">
        <v>45151.291666666664</v>
      </c>
      <c r="Z31" s="4">
        <v>5.5029989556060104E-3</v>
      </c>
      <c r="AA31" s="3">
        <v>0.59425534599999996</v>
      </c>
      <c r="AB31" s="4">
        <v>1169</v>
      </c>
      <c r="AC31" s="46">
        <f t="shared" si="14"/>
        <v>19.483333333333334</v>
      </c>
      <c r="AD31" s="47">
        <f t="shared" si="2"/>
        <v>0.10721676298505711</v>
      </c>
      <c r="AE31" s="50">
        <f t="shared" si="15"/>
        <v>0</v>
      </c>
      <c r="AG31" s="51">
        <v>45166.291666666664</v>
      </c>
      <c r="AH31" s="72">
        <v>7.8953510399752801E-3</v>
      </c>
      <c r="AI31" s="73">
        <v>0.31440712500000001</v>
      </c>
      <c r="AJ31" s="52">
        <v>2242</v>
      </c>
      <c r="AK31" s="53">
        <f t="shared" si="16"/>
        <v>37.366666666666667</v>
      </c>
      <c r="AL31" s="72">
        <f t="shared" si="3"/>
        <v>0.29502295052707628</v>
      </c>
      <c r="AM31" s="54">
        <f t="shared" si="29"/>
        <v>0</v>
      </c>
      <c r="AO31" s="66">
        <v>45183.291666666664</v>
      </c>
      <c r="AP31" s="67">
        <v>4.6277555752786302E-3</v>
      </c>
      <c r="AQ31" s="68">
        <v>0.44939223900000003</v>
      </c>
      <c r="AR31" s="68">
        <v>1553</v>
      </c>
      <c r="AS31" s="68">
        <f t="shared" si="17"/>
        <v>25.883333333333333</v>
      </c>
      <c r="AT31" s="68">
        <f t="shared" si="4"/>
        <v>0.11978174014012855</v>
      </c>
      <c r="AU31" s="69">
        <f t="shared" si="18"/>
        <v>0</v>
      </c>
      <c r="AW31" s="82">
        <v>45046.625</v>
      </c>
      <c r="AX31" s="121">
        <v>3.5539446000000002E-2</v>
      </c>
      <c r="AY31" s="83">
        <v>83.594462070000006</v>
      </c>
      <c r="AZ31" s="121">
        <v>7876</v>
      </c>
      <c r="BA31" s="83">
        <f t="shared" si="5"/>
        <v>131.26666666666668</v>
      </c>
      <c r="BB31" s="84">
        <f t="shared" si="6"/>
        <v>4.6651446116000006</v>
      </c>
      <c r="BC31" s="83">
        <f t="shared" si="7"/>
        <v>78.958126944871054</v>
      </c>
      <c r="BE31" s="87">
        <v>45047.5</v>
      </c>
      <c r="BF31" s="118">
        <v>3.1892752535897802E-2</v>
      </c>
      <c r="BG31" s="88">
        <v>77.875916610000004</v>
      </c>
      <c r="BH31" s="89">
        <v>8346</v>
      </c>
      <c r="BI31" s="90">
        <f t="shared" si="19"/>
        <v>139.1</v>
      </c>
      <c r="BJ31" s="91">
        <f t="shared" si="20"/>
        <v>4.4362818777433839</v>
      </c>
      <c r="BK31" s="91">
        <f t="shared" si="21"/>
        <v>77.036911333946151</v>
      </c>
      <c r="BM31" s="93">
        <v>45049.541666666664</v>
      </c>
      <c r="BN31">
        <v>3.1041473248845802E-2</v>
      </c>
      <c r="BO31" s="95">
        <v>97.229596529999995</v>
      </c>
      <c r="BP31" s="4">
        <v>10018</v>
      </c>
      <c r="BQ31" s="95">
        <f t="shared" si="22"/>
        <v>166.96666666666667</v>
      </c>
      <c r="BR31" s="94">
        <f t="shared" si="23"/>
        <v>5.1828913167822872</v>
      </c>
      <c r="BS31" s="96">
        <f t="shared" si="24"/>
        <v>83.134167282996387</v>
      </c>
      <c r="BU31" s="10">
        <v>45050.802083333336</v>
      </c>
      <c r="BV31" s="119">
        <v>8.4208885013196899E-2</v>
      </c>
      <c r="BW31" s="21">
        <v>115.673114</v>
      </c>
      <c r="BX31" s="120">
        <v>4399</v>
      </c>
      <c r="BY31" s="21">
        <f t="shared" si="25"/>
        <v>73.316666666666663</v>
      </c>
      <c r="BZ31" s="21">
        <f t="shared" si="26"/>
        <v>6.1739147528842189</v>
      </c>
      <c r="CA31" s="21">
        <f t="shared" si="27"/>
        <v>90.571410772429346</v>
      </c>
    </row>
    <row r="32" spans="1:79" x14ac:dyDescent="0.25">
      <c r="A32" s="10">
        <v>44776.302777777775</v>
      </c>
      <c r="B32" s="11">
        <v>1.6060107812522E-3</v>
      </c>
      <c r="C32" s="12">
        <v>0.7037178785</v>
      </c>
      <c r="D32" s="9">
        <v>106</v>
      </c>
      <c r="E32" s="13">
        <f t="shared" si="8"/>
        <v>1.7666666666666666</v>
      </c>
      <c r="F32" s="12">
        <f t="shared" si="9"/>
        <v>2.8372857135455531E-3</v>
      </c>
      <c r="G32" s="13">
        <f t="shared" si="28"/>
        <v>2.1015524171423281</v>
      </c>
      <c r="I32" s="25">
        <v>44781.302777777775</v>
      </c>
      <c r="J32" s="26">
        <v>3.53213956845098E-3</v>
      </c>
      <c r="K32" s="27">
        <v>1.2263406489999999</v>
      </c>
      <c r="L32" s="28">
        <v>792</v>
      </c>
      <c r="M32" s="29">
        <f t="shared" si="10"/>
        <v>13.2</v>
      </c>
      <c r="N32" s="26">
        <f t="shared" si="0"/>
        <v>4.6624242303552936E-2</v>
      </c>
      <c r="O32" s="29">
        <f t="shared" si="11"/>
        <v>0</v>
      </c>
      <c r="Q32" s="35">
        <v>45136.302083333336</v>
      </c>
      <c r="R32" s="71">
        <v>9.4626806314810508E-3</v>
      </c>
      <c r="S32" s="70">
        <v>1.145105356</v>
      </c>
      <c r="T32" s="36">
        <v>5317</v>
      </c>
      <c r="U32" s="37">
        <f t="shared" si="12"/>
        <v>88.61666666666666</v>
      </c>
      <c r="V32" s="37">
        <f t="shared" si="1"/>
        <v>0.83855121529307908</v>
      </c>
      <c r="W32" s="38">
        <f t="shared" si="13"/>
        <v>34.072659579360547</v>
      </c>
      <c r="Y32" s="45">
        <v>45151.302083333336</v>
      </c>
      <c r="Z32" s="4">
        <v>8.5548684313914106E-3</v>
      </c>
      <c r="AA32" s="3">
        <v>0.59425534599999996</v>
      </c>
      <c r="AB32" s="4">
        <v>1310</v>
      </c>
      <c r="AC32" s="46">
        <f t="shared" si="14"/>
        <v>21.833333333333332</v>
      </c>
      <c r="AD32" s="47">
        <f t="shared" si="2"/>
        <v>0.18678129408537913</v>
      </c>
      <c r="AE32" s="50">
        <f t="shared" si="15"/>
        <v>0</v>
      </c>
      <c r="AG32" s="51">
        <v>45166.302083333336</v>
      </c>
      <c r="AH32" s="72">
        <v>5.5118897304557097E-3</v>
      </c>
      <c r="AI32" s="73">
        <v>0.27800180299999999</v>
      </c>
      <c r="AJ32" s="52">
        <v>1298</v>
      </c>
      <c r="AK32" s="53">
        <f t="shared" si="16"/>
        <v>21.633333333333333</v>
      </c>
      <c r="AL32" s="72">
        <f t="shared" si="3"/>
        <v>0.11924054783552518</v>
      </c>
      <c r="AM32" s="54">
        <f t="shared" si="29"/>
        <v>0</v>
      </c>
      <c r="AO32" s="66">
        <v>45183.302083333336</v>
      </c>
      <c r="AP32" s="67">
        <v>5.4911867320969901E-3</v>
      </c>
      <c r="AQ32" s="68">
        <v>0.44894941300000002</v>
      </c>
      <c r="AR32" s="68">
        <v>1420</v>
      </c>
      <c r="AS32" s="68">
        <f t="shared" si="17"/>
        <v>23.666666666666668</v>
      </c>
      <c r="AT32" s="68">
        <f t="shared" si="4"/>
        <v>0.1299580859929621</v>
      </c>
      <c r="AU32" s="69">
        <f t="shared" si="18"/>
        <v>0</v>
      </c>
      <c r="AW32" s="82">
        <v>45046.635416666664</v>
      </c>
      <c r="AX32" s="121">
        <v>3.4854820000000002E-2</v>
      </c>
      <c r="AY32" s="83">
        <v>83.594462070000006</v>
      </c>
      <c r="AZ32" s="121">
        <v>8663</v>
      </c>
      <c r="BA32" s="83">
        <f t="shared" si="5"/>
        <v>144.38333333333333</v>
      </c>
      <c r="BB32" s="84">
        <f t="shared" si="6"/>
        <v>5.0324550943333337</v>
      </c>
      <c r="BC32" s="83">
        <f t="shared" si="7"/>
        <v>81.943632835591899</v>
      </c>
      <c r="BE32" s="87">
        <v>45047.510416666664</v>
      </c>
      <c r="BF32" s="118">
        <v>3.20120054721824E-2</v>
      </c>
      <c r="BG32" s="88">
        <v>79.202259850000004</v>
      </c>
      <c r="BH32" s="89">
        <v>8135</v>
      </c>
      <c r="BI32" s="90">
        <f t="shared" si="19"/>
        <v>135.58333333333334</v>
      </c>
      <c r="BJ32" s="91">
        <f t="shared" si="20"/>
        <v>4.3402944086033974</v>
      </c>
      <c r="BK32" s="91">
        <f t="shared" si="21"/>
        <v>76.216103103536071</v>
      </c>
      <c r="BM32" s="93">
        <v>45049.552083333336</v>
      </c>
      <c r="BN32">
        <v>3.3962277279710198E-2</v>
      </c>
      <c r="BO32" s="95">
        <v>93.877037450000003</v>
      </c>
      <c r="BP32" s="4">
        <v>9994</v>
      </c>
      <c r="BQ32" s="95">
        <f t="shared" si="22"/>
        <v>166.56666666666666</v>
      </c>
      <c r="BR32" s="94">
        <f t="shared" si="23"/>
        <v>5.6569833188903953</v>
      </c>
      <c r="BS32" s="96">
        <f t="shared" si="24"/>
        <v>86.774959029769491</v>
      </c>
      <c r="BU32" s="10">
        <v>45050.8125</v>
      </c>
      <c r="BV32" s="119">
        <v>8.53755012254276E-2</v>
      </c>
      <c r="BW32" s="21">
        <v>129.12778700000001</v>
      </c>
      <c r="BX32" s="120">
        <v>4432</v>
      </c>
      <c r="BY32" s="21">
        <f t="shared" si="25"/>
        <v>73.86666666666666</v>
      </c>
      <c r="BZ32" s="21">
        <f t="shared" si="26"/>
        <v>6.3064036905182519</v>
      </c>
      <c r="CA32" s="21">
        <f t="shared" si="27"/>
        <v>91.51804292328832</v>
      </c>
    </row>
    <row r="33" spans="1:79" x14ac:dyDescent="0.25">
      <c r="A33" s="10">
        <v>44776.313194444447</v>
      </c>
      <c r="B33" s="11">
        <v>1.4228156633069001E-3</v>
      </c>
      <c r="C33" s="12">
        <v>0.672222341</v>
      </c>
      <c r="D33" s="9">
        <v>96</v>
      </c>
      <c r="E33" s="13">
        <f t="shared" si="8"/>
        <v>1.6</v>
      </c>
      <c r="F33" s="12">
        <f t="shared" si="9"/>
        <v>2.2765050612910402E-3</v>
      </c>
      <c r="G33" s="13">
        <f t="shared" si="28"/>
        <v>1.8867225320127219</v>
      </c>
      <c r="I33" s="25">
        <v>44781.313194444447</v>
      </c>
      <c r="J33" s="26">
        <v>3.6192879646414402E-3</v>
      </c>
      <c r="K33" s="27">
        <v>1.2605418435</v>
      </c>
      <c r="L33" s="28">
        <v>825</v>
      </c>
      <c r="M33" s="29">
        <f t="shared" si="10"/>
        <v>13.75</v>
      </c>
      <c r="N33" s="26">
        <f t="shared" si="0"/>
        <v>4.9765209513819804E-2</v>
      </c>
      <c r="O33" s="29">
        <f t="shared" si="11"/>
        <v>0</v>
      </c>
      <c r="Q33" s="35">
        <v>45136.3125</v>
      </c>
      <c r="R33" s="71">
        <v>9.7109026346032697E-3</v>
      </c>
      <c r="S33" s="70">
        <v>1.257509953</v>
      </c>
      <c r="T33" s="36">
        <v>5822</v>
      </c>
      <c r="U33" s="37">
        <f t="shared" si="12"/>
        <v>97.033333333333331</v>
      </c>
      <c r="V33" s="37">
        <f t="shared" si="1"/>
        <v>0.9422812523110039</v>
      </c>
      <c r="W33" s="38">
        <f t="shared" si="13"/>
        <v>36.075288113137567</v>
      </c>
      <c r="Y33" s="45">
        <v>45151.3125</v>
      </c>
      <c r="Z33" s="4">
        <v>4.5908353032569097E-3</v>
      </c>
      <c r="AA33" s="3">
        <v>0.59425534599999996</v>
      </c>
      <c r="AB33" s="4">
        <v>1230</v>
      </c>
      <c r="AC33" s="46">
        <f t="shared" si="14"/>
        <v>20.5</v>
      </c>
      <c r="AD33" s="47">
        <f t="shared" si="2"/>
        <v>9.4112123716766652E-2</v>
      </c>
      <c r="AE33" s="50">
        <f t="shared" si="15"/>
        <v>0</v>
      </c>
      <c r="AG33" s="51">
        <v>45166.3125</v>
      </c>
      <c r="AH33" s="72">
        <v>1.1462435806008401E-2</v>
      </c>
      <c r="AI33" s="73">
        <v>0.33439968599999997</v>
      </c>
      <c r="AJ33" s="52">
        <v>2874</v>
      </c>
      <c r="AK33" s="53">
        <f t="shared" si="16"/>
        <v>47.9</v>
      </c>
      <c r="AL33" s="72">
        <f t="shared" si="3"/>
        <v>0.54905067510780237</v>
      </c>
      <c r="AM33" s="54">
        <f t="shared" si="29"/>
        <v>27.691201483776123</v>
      </c>
      <c r="AO33" s="66">
        <v>45183.3125</v>
      </c>
      <c r="AP33" s="67">
        <v>5.9311727867846099E-3</v>
      </c>
      <c r="AQ33" s="68">
        <v>0.53201108200000002</v>
      </c>
      <c r="AR33" s="68">
        <v>1847</v>
      </c>
      <c r="AS33" s="68">
        <f t="shared" si="17"/>
        <v>30.783333333333335</v>
      </c>
      <c r="AT33" s="68">
        <f t="shared" si="4"/>
        <v>0.18258126895318624</v>
      </c>
      <c r="AU33" s="69">
        <f t="shared" si="18"/>
        <v>0</v>
      </c>
      <c r="AW33" s="82">
        <v>45046.645833333336</v>
      </c>
      <c r="AX33" s="121">
        <v>3.7188723E-2</v>
      </c>
      <c r="AY33" s="83">
        <v>84.027783200000002</v>
      </c>
      <c r="AZ33" s="121">
        <v>8331</v>
      </c>
      <c r="BA33" s="83">
        <f t="shared" si="5"/>
        <v>138.85</v>
      </c>
      <c r="BB33" s="84">
        <f t="shared" si="6"/>
        <v>5.1636541885499998</v>
      </c>
      <c r="BC33" s="83">
        <f t="shared" si="7"/>
        <v>82.982919276963401</v>
      </c>
      <c r="BE33" s="87">
        <v>45047.520833333336</v>
      </c>
      <c r="BF33" s="118">
        <v>3.49588319987999E-2</v>
      </c>
      <c r="BG33" s="88">
        <v>76.544179459999995</v>
      </c>
      <c r="BH33" s="89">
        <v>8509</v>
      </c>
      <c r="BI33" s="90">
        <f t="shared" si="19"/>
        <v>141.81666666666666</v>
      </c>
      <c r="BJ33" s="91">
        <f t="shared" si="20"/>
        <v>4.9577450246298058</v>
      </c>
      <c r="BK33" s="91">
        <f t="shared" si="21"/>
        <v>81.345636039838126</v>
      </c>
      <c r="BM33" s="93">
        <v>45049.5625</v>
      </c>
      <c r="BN33">
        <v>3.2509355361427898E-2</v>
      </c>
      <c r="BO33" s="95">
        <v>95.138397370000007</v>
      </c>
      <c r="BP33" s="4">
        <v>9907</v>
      </c>
      <c r="BQ33" s="95">
        <f t="shared" si="22"/>
        <v>165.11666666666667</v>
      </c>
      <c r="BR33" s="94">
        <f t="shared" si="23"/>
        <v>5.3678363927611032</v>
      </c>
      <c r="BS33" s="96">
        <f t="shared" si="24"/>
        <v>84.573887832164203</v>
      </c>
      <c r="BU33" s="10">
        <v>45050.822916666664</v>
      </c>
      <c r="BV33" s="119">
        <v>9.35434011158114E-2</v>
      </c>
      <c r="BW33" s="21">
        <v>124.3675379</v>
      </c>
      <c r="BX33" s="120">
        <v>4426</v>
      </c>
      <c r="BY33" s="21">
        <f t="shared" si="25"/>
        <v>73.766666666666666</v>
      </c>
      <c r="BZ33" s="21">
        <f t="shared" si="26"/>
        <v>6.9003848889763546</v>
      </c>
      <c r="CA33" s="21">
        <f t="shared" si="27"/>
        <v>95.642265602762691</v>
      </c>
    </row>
    <row r="34" spans="1:79" x14ac:dyDescent="0.25">
      <c r="A34" s="10">
        <v>44776.323611111111</v>
      </c>
      <c r="B34" s="11">
        <v>1.62495919365844E-3</v>
      </c>
      <c r="C34" s="12">
        <v>0.67980481400000004</v>
      </c>
      <c r="D34" s="9">
        <v>102</v>
      </c>
      <c r="E34" s="13">
        <f t="shared" si="8"/>
        <v>1.7</v>
      </c>
      <c r="F34" s="12">
        <f t="shared" si="9"/>
        <v>2.7624306292193478E-3</v>
      </c>
      <c r="G34" s="13">
        <f t="shared" si="28"/>
        <v>2.0742160088414772</v>
      </c>
      <c r="I34" s="25">
        <v>44781.323611111111</v>
      </c>
      <c r="J34" s="26">
        <v>3.4101060243719099E-3</v>
      </c>
      <c r="K34" s="27">
        <v>1.2897381324999999</v>
      </c>
      <c r="L34" s="28">
        <v>934</v>
      </c>
      <c r="M34" s="29">
        <f t="shared" si="10"/>
        <v>15.566666666666666</v>
      </c>
      <c r="N34" s="26">
        <f t="shared" si="0"/>
        <v>5.3083983779389395E-2</v>
      </c>
      <c r="O34" s="29">
        <f t="shared" si="11"/>
        <v>0</v>
      </c>
      <c r="Q34" s="35">
        <v>45136.322916666664</v>
      </c>
      <c r="R34" s="71">
        <v>9.5291302886648006E-3</v>
      </c>
      <c r="S34" s="70">
        <v>1.145105356</v>
      </c>
      <c r="T34" s="36">
        <v>4996</v>
      </c>
      <c r="U34" s="37">
        <f t="shared" si="12"/>
        <v>83.266666666666666</v>
      </c>
      <c r="V34" s="37">
        <f t="shared" si="1"/>
        <v>0.79345891536948909</v>
      </c>
      <c r="W34" s="38">
        <f t="shared" si="13"/>
        <v>33.162763445790141</v>
      </c>
      <c r="Y34" s="45">
        <v>45151.322916666664</v>
      </c>
      <c r="Z34" s="4">
        <v>3.0903071871563699E-3</v>
      </c>
      <c r="AA34" s="3">
        <v>0.42386643899999998</v>
      </c>
      <c r="AB34" s="4">
        <v>520</v>
      </c>
      <c r="AC34" s="46">
        <f t="shared" si="14"/>
        <v>8.6666666666666661</v>
      </c>
      <c r="AD34" s="47">
        <f t="shared" si="2"/>
        <v>2.6782662288688537E-2</v>
      </c>
      <c r="AE34" s="50">
        <f t="shared" si="15"/>
        <v>0</v>
      </c>
      <c r="AG34" s="51">
        <v>45166.322916666664</v>
      </c>
      <c r="AH34" s="72">
        <v>1.54406588765562E-2</v>
      </c>
      <c r="AI34" s="73">
        <v>0.44939223900000003</v>
      </c>
      <c r="AJ34" s="52">
        <v>5502</v>
      </c>
      <c r="AK34" s="53">
        <f t="shared" si="16"/>
        <v>91.7</v>
      </c>
      <c r="AL34" s="72">
        <f t="shared" si="3"/>
        <v>1.4159084189802036</v>
      </c>
      <c r="AM34" s="54">
        <f t="shared" si="29"/>
        <v>44.036775639007523</v>
      </c>
      <c r="AO34" s="66">
        <v>45183.322916666664</v>
      </c>
      <c r="AP34" s="67">
        <v>6.2633664849026001E-3</v>
      </c>
      <c r="AQ34" s="68">
        <v>0.44894941300000002</v>
      </c>
      <c r="AR34" s="68">
        <v>1417</v>
      </c>
      <c r="AS34" s="68">
        <f t="shared" si="17"/>
        <v>23.616666666666667</v>
      </c>
      <c r="AT34" s="68">
        <f t="shared" si="4"/>
        <v>0.14791983848511642</v>
      </c>
      <c r="AU34" s="69">
        <f t="shared" si="18"/>
        <v>0</v>
      </c>
      <c r="AW34" s="82">
        <v>45046.65625</v>
      </c>
      <c r="AX34" s="121">
        <v>3.7509035000000003E-2</v>
      </c>
      <c r="AY34" s="83">
        <v>82.718647970000006</v>
      </c>
      <c r="AZ34" s="121">
        <v>7989</v>
      </c>
      <c r="BA34" s="83">
        <f t="shared" si="5"/>
        <v>133.15</v>
      </c>
      <c r="BB34" s="84">
        <f t="shared" si="6"/>
        <v>4.9943280102500003</v>
      </c>
      <c r="BC34" s="83">
        <f t="shared" si="7"/>
        <v>81.63902510058081</v>
      </c>
      <c r="BE34" s="87">
        <v>45047.53125</v>
      </c>
      <c r="BF34" s="118">
        <v>3.1865085475110903E-2</v>
      </c>
      <c r="BG34" s="88">
        <v>78.323104580000006</v>
      </c>
      <c r="BH34" s="89">
        <v>8663</v>
      </c>
      <c r="BI34" s="90">
        <f t="shared" si="19"/>
        <v>144.38333333333333</v>
      </c>
      <c r="BJ34" s="91">
        <f t="shared" si="20"/>
        <v>4.6007872578480953</v>
      </c>
      <c r="BK34" s="91">
        <f t="shared" si="21"/>
        <v>78.422827658869721</v>
      </c>
      <c r="BM34" s="93">
        <v>45049.572916666664</v>
      </c>
      <c r="BN34">
        <v>3.3069297101709201E-2</v>
      </c>
      <c r="BO34" s="95">
        <v>93.877037450000003</v>
      </c>
      <c r="BP34" s="4">
        <v>9804</v>
      </c>
      <c r="BQ34" s="95">
        <f t="shared" si="22"/>
        <v>163.4</v>
      </c>
      <c r="BR34" s="94">
        <f t="shared" si="23"/>
        <v>5.4035231464192837</v>
      </c>
      <c r="BS34" s="96">
        <f t="shared" si="24"/>
        <v>84.848765407419762</v>
      </c>
      <c r="BU34" s="10">
        <v>45050.833333333336</v>
      </c>
      <c r="BV34" s="119">
        <v>8.8426929012709696E-2</v>
      </c>
      <c r="BW34" s="21">
        <v>114.5134446</v>
      </c>
      <c r="BX34" s="120">
        <v>4533</v>
      </c>
      <c r="BY34" s="21">
        <f t="shared" si="25"/>
        <v>75.55</v>
      </c>
      <c r="BZ34" s="21">
        <f t="shared" si="26"/>
        <v>6.6806544869102176</v>
      </c>
      <c r="CA34" s="21">
        <f t="shared" si="27"/>
        <v>94.138540866410821</v>
      </c>
    </row>
    <row r="35" spans="1:79" x14ac:dyDescent="0.25">
      <c r="A35" s="10">
        <v>44776.334027777775</v>
      </c>
      <c r="B35" s="11">
        <v>2.0374389063300999E-3</v>
      </c>
      <c r="C35" s="12">
        <v>0.74230587949999904</v>
      </c>
      <c r="D35" s="9">
        <v>125</v>
      </c>
      <c r="E35" s="13">
        <f t="shared" si="8"/>
        <v>2.0833333333333335</v>
      </c>
      <c r="F35" s="12">
        <f t="shared" ref="F35:F66" si="30">E35*B35</f>
        <v>4.2446643881877081E-3</v>
      </c>
      <c r="G35" s="13">
        <f t="shared" si="28"/>
        <v>2.5598144420098592</v>
      </c>
      <c r="I35" s="25">
        <v>44781.334027777775</v>
      </c>
      <c r="J35" s="26">
        <v>3.8753167317763298E-3</v>
      </c>
      <c r="K35" s="27">
        <v>1.326867053</v>
      </c>
      <c r="L35" s="28">
        <v>897</v>
      </c>
      <c r="M35" s="29">
        <f t="shared" si="10"/>
        <v>14.95</v>
      </c>
      <c r="N35" s="26">
        <f t="shared" ref="N35:N66" si="31">M35*J35</f>
        <v>5.7935985140056129E-2</v>
      </c>
      <c r="O35" s="29">
        <f t="shared" si="11"/>
        <v>0</v>
      </c>
      <c r="Q35" s="35">
        <v>45136.333333333336</v>
      </c>
      <c r="R35" s="71">
        <v>8.2768553180524104E-3</v>
      </c>
      <c r="S35" s="70">
        <v>1.318149035</v>
      </c>
      <c r="T35" s="36">
        <v>5749</v>
      </c>
      <c r="U35" s="37">
        <f t="shared" si="12"/>
        <v>95.816666666666663</v>
      </c>
      <c r="V35" s="37">
        <f t="shared" ref="V35:V66" si="32">R35*U35</f>
        <v>0.7930606870580551</v>
      </c>
      <c r="W35" s="38">
        <f t="shared" si="13"/>
        <v>33.154611821964082</v>
      </c>
      <c r="Y35" s="45">
        <v>45151.333333333336</v>
      </c>
      <c r="Z35" s="4">
        <v>4.62743377795419E-3</v>
      </c>
      <c r="AA35" s="3">
        <v>0.50323377899999999</v>
      </c>
      <c r="AB35" s="4">
        <v>848</v>
      </c>
      <c r="AC35" s="46">
        <f t="shared" si="14"/>
        <v>14.133333333333333</v>
      </c>
      <c r="AD35" s="47">
        <f t="shared" ref="AD35:AD66" si="33">AC35*Z35</f>
        <v>6.5401064061752556E-2</v>
      </c>
      <c r="AE35" s="50">
        <f t="shared" si="15"/>
        <v>0</v>
      </c>
      <c r="AG35" s="51">
        <v>45166.333333333336</v>
      </c>
      <c r="AH35" s="72">
        <v>1.0682284256436201E-2</v>
      </c>
      <c r="AI35" s="73">
        <v>0.377160934</v>
      </c>
      <c r="AJ35" s="52">
        <v>4109</v>
      </c>
      <c r="AK35" s="53">
        <f t="shared" si="16"/>
        <v>68.483333333333334</v>
      </c>
      <c r="AL35" s="72">
        <f t="shared" ref="AL35:AL66" si="34">AK35*AH35</f>
        <v>0.7315584334949391</v>
      </c>
      <c r="AM35" s="54">
        <f t="shared" si="29"/>
        <v>31.869579878084458</v>
      </c>
      <c r="AO35" s="66">
        <v>45183.333333333336</v>
      </c>
      <c r="AP35" s="67">
        <v>5.6065254957764999E-3</v>
      </c>
      <c r="AQ35" s="68">
        <v>0.39953381599999999</v>
      </c>
      <c r="AR35" s="68">
        <v>1004</v>
      </c>
      <c r="AS35" s="68">
        <f t="shared" si="17"/>
        <v>16.733333333333334</v>
      </c>
      <c r="AT35" s="68">
        <f t="shared" ref="AT35:AT66" si="35">AS35*AP35</f>
        <v>9.3815859962660106E-2</v>
      </c>
      <c r="AU35" s="69">
        <f t="shared" si="18"/>
        <v>0</v>
      </c>
      <c r="AW35" s="82">
        <v>45046.666666666664</v>
      </c>
      <c r="AX35" s="121">
        <v>4.0242174999999998E-2</v>
      </c>
      <c r="AY35" s="83">
        <v>81.405228940000001</v>
      </c>
      <c r="AZ35" s="121">
        <v>7778</v>
      </c>
      <c r="BA35" s="83">
        <f t="shared" si="5"/>
        <v>129.63333333333333</v>
      </c>
      <c r="BB35" s="84">
        <f t="shared" si="6"/>
        <v>5.2167272858333327</v>
      </c>
      <c r="BC35" s="83">
        <f t="shared" si="7"/>
        <v>83.399502274836181</v>
      </c>
      <c r="BE35" s="87">
        <v>45047.541666666664</v>
      </c>
      <c r="BF35" s="118">
        <v>3.0628840007062799E-2</v>
      </c>
      <c r="BG35" s="88">
        <v>77.875916610000004</v>
      </c>
      <c r="BH35" s="89">
        <v>8590</v>
      </c>
      <c r="BI35" s="90">
        <f t="shared" si="19"/>
        <v>143.16666666666666</v>
      </c>
      <c r="BJ35" s="91">
        <f t="shared" si="20"/>
        <v>4.3850289276778236</v>
      </c>
      <c r="BK35" s="91">
        <f t="shared" si="21"/>
        <v>76.5997774199719</v>
      </c>
      <c r="BM35" s="93">
        <v>45049.583333333336</v>
      </c>
      <c r="BN35">
        <v>3.3177207640870301E-2</v>
      </c>
      <c r="BO35" s="95">
        <v>95.977802339999997</v>
      </c>
      <c r="BP35" s="4">
        <v>10113</v>
      </c>
      <c r="BQ35" s="95">
        <f t="shared" si="22"/>
        <v>168.55</v>
      </c>
      <c r="BR35" s="94">
        <f t="shared" si="23"/>
        <v>5.5920183478686898</v>
      </c>
      <c r="BS35" s="96">
        <f t="shared" si="24"/>
        <v>86.285521859634741</v>
      </c>
      <c r="BU35" s="10">
        <v>45050.84375</v>
      </c>
      <c r="BV35" s="119">
        <v>8.8293143982756797E-2</v>
      </c>
      <c r="BW35" s="21">
        <v>124.3675379</v>
      </c>
      <c r="BX35" s="120">
        <v>4355</v>
      </c>
      <c r="BY35" s="21">
        <f t="shared" si="25"/>
        <v>72.583333333333329</v>
      </c>
      <c r="BZ35" s="21">
        <f t="shared" si="26"/>
        <v>6.4086107007484303</v>
      </c>
      <c r="CA35" s="21">
        <f t="shared" si="27"/>
        <v>92.241396612746883</v>
      </c>
    </row>
    <row r="36" spans="1:79" x14ac:dyDescent="0.25">
      <c r="A36" s="10">
        <v>44776.344444444447</v>
      </c>
      <c r="B36" s="11">
        <v>1.78875307502596E-3</v>
      </c>
      <c r="C36" s="12">
        <v>0.76352864149999999</v>
      </c>
      <c r="D36" s="9">
        <v>171</v>
      </c>
      <c r="E36" s="13">
        <f t="shared" si="8"/>
        <v>2.85</v>
      </c>
      <c r="F36" s="12">
        <f t="shared" si="30"/>
        <v>5.097946263823986E-3</v>
      </c>
      <c r="G36" s="13">
        <f t="shared" si="28"/>
        <v>2.8000452401310367</v>
      </c>
      <c r="I36" s="25">
        <v>44781.344444444447</v>
      </c>
      <c r="J36" s="26">
        <v>4.1273201374424397E-3</v>
      </c>
      <c r="K36" s="27">
        <v>1.314942037</v>
      </c>
      <c r="L36" s="28">
        <v>945</v>
      </c>
      <c r="M36" s="29">
        <f t="shared" si="10"/>
        <v>15.75</v>
      </c>
      <c r="N36" s="26">
        <f t="shared" si="31"/>
        <v>6.5005292164718426E-2</v>
      </c>
      <c r="O36" s="29">
        <f t="shared" si="11"/>
        <v>0</v>
      </c>
      <c r="Q36" s="35">
        <v>45136.34375</v>
      </c>
      <c r="R36" s="71">
        <v>8.4345455036178903E-3</v>
      </c>
      <c r="S36" s="70">
        <v>1.318149035</v>
      </c>
      <c r="T36" s="36">
        <v>5692</v>
      </c>
      <c r="U36" s="37">
        <f t="shared" si="12"/>
        <v>94.86666666666666</v>
      </c>
      <c r="V36" s="37">
        <f t="shared" si="32"/>
        <v>0.8001572167765505</v>
      </c>
      <c r="W36" s="38">
        <f t="shared" si="13"/>
        <v>33.299564222719859</v>
      </c>
      <c r="Y36" s="45">
        <v>45151.34375</v>
      </c>
      <c r="Z36" s="4">
        <v>4.9781933895499796E-3</v>
      </c>
      <c r="AA36" s="3">
        <v>0.50323377899999999</v>
      </c>
      <c r="AB36" s="4">
        <v>801</v>
      </c>
      <c r="AC36" s="46">
        <f t="shared" si="14"/>
        <v>13.35</v>
      </c>
      <c r="AD36" s="47">
        <f t="shared" si="33"/>
        <v>6.6458881750492221E-2</v>
      </c>
      <c r="AE36" s="50">
        <f t="shared" si="15"/>
        <v>0</v>
      </c>
      <c r="AG36" s="51">
        <v>45166.34375</v>
      </c>
      <c r="AH36" s="72">
        <v>1.33179201904401E-2</v>
      </c>
      <c r="AI36" s="73">
        <v>0.44939223900000003</v>
      </c>
      <c r="AJ36" s="52">
        <v>5149</v>
      </c>
      <c r="AK36" s="53">
        <f t="shared" si="16"/>
        <v>85.816666666666663</v>
      </c>
      <c r="AL36" s="72">
        <f t="shared" si="34"/>
        <v>1.142899517676268</v>
      </c>
      <c r="AM36" s="54">
        <f t="shared" si="29"/>
        <v>39.651546869503818</v>
      </c>
      <c r="AO36" s="66">
        <v>45183.34375</v>
      </c>
      <c r="AP36" s="67">
        <v>6.3769622080516401E-3</v>
      </c>
      <c r="AQ36" s="68">
        <v>0.47522856800000002</v>
      </c>
      <c r="AR36" s="68">
        <v>1623</v>
      </c>
      <c r="AS36" s="68">
        <f t="shared" si="17"/>
        <v>27.05</v>
      </c>
      <c r="AT36" s="68">
        <f t="shared" si="35"/>
        <v>0.17249682772779687</v>
      </c>
      <c r="AU36" s="69">
        <f t="shared" si="18"/>
        <v>0</v>
      </c>
      <c r="AW36" s="82">
        <v>45046.677083333336</v>
      </c>
      <c r="AX36" s="121">
        <v>4.0290725999999999E-2</v>
      </c>
      <c r="AY36" s="83">
        <v>80.079324720000002</v>
      </c>
      <c r="AZ36" s="121">
        <v>7660</v>
      </c>
      <c r="BA36" s="83">
        <f t="shared" ref="BA36:BA87" si="36">AZ36/60</f>
        <v>127.66666666666667</v>
      </c>
      <c r="BB36" s="84">
        <f t="shared" ref="BB36:BB87" si="37">BA36*AX36</f>
        <v>5.1437826859999998</v>
      </c>
      <c r="BC36" s="83">
        <f t="shared" ref="BC36:BC87" si="38">IF(37.141*BB36^0.4897&gt;22.6, 37.141*BB36^0.4897, 0)</f>
        <v>82.826381405665046</v>
      </c>
      <c r="BE36" s="87">
        <v>45047.552083333336</v>
      </c>
      <c r="BF36" s="118">
        <v>3.3589711909543699E-2</v>
      </c>
      <c r="BG36" s="88">
        <v>75.659696060000002</v>
      </c>
      <c r="BH36" s="89">
        <v>8163</v>
      </c>
      <c r="BI36" s="90">
        <f t="shared" si="19"/>
        <v>136.05000000000001</v>
      </c>
      <c r="BJ36" s="91">
        <f t="shared" si="20"/>
        <v>4.5698803052934203</v>
      </c>
      <c r="BK36" s="91">
        <f t="shared" si="21"/>
        <v>78.164397664858541</v>
      </c>
      <c r="BM36" s="93">
        <v>45049.59375</v>
      </c>
      <c r="BN36">
        <v>3.5138969485248903E-2</v>
      </c>
      <c r="BO36" s="95">
        <v>97.229596529999995</v>
      </c>
      <c r="BP36" s="4">
        <v>9513</v>
      </c>
      <c r="BQ36" s="95">
        <f t="shared" si="22"/>
        <v>158.55000000000001</v>
      </c>
      <c r="BR36" s="94">
        <f t="shared" si="23"/>
        <v>5.5712836118862139</v>
      </c>
      <c r="BS36" s="96">
        <f t="shared" si="24"/>
        <v>86.128698986913051</v>
      </c>
      <c r="BU36" s="10">
        <v>45050.854166666664</v>
      </c>
      <c r="BV36" s="119">
        <v>8.9715870856291499E-2</v>
      </c>
      <c r="BW36" s="21">
        <v>113.3477233</v>
      </c>
      <c r="BX36" s="120">
        <v>4570</v>
      </c>
      <c r="BY36" s="21">
        <f t="shared" si="25"/>
        <v>76.166666666666671</v>
      </c>
      <c r="BZ36" s="21">
        <f t="shared" si="26"/>
        <v>6.8333588302208694</v>
      </c>
      <c r="CA36" s="21">
        <f t="shared" si="27"/>
        <v>95.186196533147893</v>
      </c>
    </row>
    <row r="37" spans="1:79" x14ac:dyDescent="0.25">
      <c r="A37" s="10">
        <v>44776.354861111111</v>
      </c>
      <c r="B37" s="11">
        <v>1.47752317105199E-3</v>
      </c>
      <c r="C37" s="12">
        <v>0.72191215399999997</v>
      </c>
      <c r="D37" s="9">
        <v>128</v>
      </c>
      <c r="E37" s="13">
        <f t="shared" si="8"/>
        <v>2.1333333333333333</v>
      </c>
      <c r="F37" s="12">
        <f t="shared" si="30"/>
        <v>3.1520494315775784E-3</v>
      </c>
      <c r="G37" s="13">
        <f t="shared" si="28"/>
        <v>2.2126595392400104</v>
      </c>
      <c r="I37" s="25">
        <v>44781.354861111111</v>
      </c>
      <c r="J37" s="26">
        <v>3.65665104705773E-3</v>
      </c>
      <c r="K37" s="27">
        <v>1.3033880545000001</v>
      </c>
      <c r="L37" s="28">
        <v>906</v>
      </c>
      <c r="M37" s="29">
        <f t="shared" si="10"/>
        <v>15.1</v>
      </c>
      <c r="N37" s="26">
        <f t="shared" si="31"/>
        <v>5.5215430810571724E-2</v>
      </c>
      <c r="O37" s="29">
        <f t="shared" si="11"/>
        <v>0</v>
      </c>
      <c r="Q37" s="35">
        <v>45136.354166666664</v>
      </c>
      <c r="R37" s="71">
        <v>7.46440744534044E-3</v>
      </c>
      <c r="S37" s="70">
        <v>1.145105356</v>
      </c>
      <c r="T37" s="36">
        <v>5375</v>
      </c>
      <c r="U37" s="37">
        <f t="shared" si="12"/>
        <v>89.583333333333329</v>
      </c>
      <c r="V37" s="37">
        <f t="shared" si="32"/>
        <v>0.6686865003117477</v>
      </c>
      <c r="W37" s="38">
        <f t="shared" si="13"/>
        <v>30.497558859900899</v>
      </c>
      <c r="Y37" s="45">
        <v>45151.354166666664</v>
      </c>
      <c r="Z37" s="4">
        <v>5.1923909126105504E-3</v>
      </c>
      <c r="AA37" s="3">
        <v>0.59425534599999996</v>
      </c>
      <c r="AB37" s="4">
        <v>1336</v>
      </c>
      <c r="AC37" s="46">
        <f t="shared" si="14"/>
        <v>22.266666666666666</v>
      </c>
      <c r="AD37" s="47">
        <f t="shared" si="33"/>
        <v>0.11561723765412825</v>
      </c>
      <c r="AE37" s="50">
        <f t="shared" si="15"/>
        <v>0</v>
      </c>
      <c r="AG37" s="51">
        <v>45166.354166666664</v>
      </c>
      <c r="AH37" s="72">
        <v>7.7398499161251202E-3</v>
      </c>
      <c r="AI37" s="73">
        <v>0.33439968599999997</v>
      </c>
      <c r="AJ37" s="52">
        <v>2591</v>
      </c>
      <c r="AK37" s="53">
        <f t="shared" si="16"/>
        <v>43.18333333333333</v>
      </c>
      <c r="AL37" s="72">
        <f t="shared" si="34"/>
        <v>0.33423251887800309</v>
      </c>
      <c r="AM37" s="54">
        <f t="shared" si="29"/>
        <v>0</v>
      </c>
      <c r="AO37" s="66">
        <v>45183.354166666664</v>
      </c>
      <c r="AP37" s="67">
        <v>8.7199350546054901E-3</v>
      </c>
      <c r="AQ37" s="68">
        <v>0.62723254799999995</v>
      </c>
      <c r="AR37" s="68">
        <v>2375</v>
      </c>
      <c r="AS37" s="68">
        <f t="shared" si="17"/>
        <v>39.583333333333336</v>
      </c>
      <c r="AT37" s="68">
        <f t="shared" si="35"/>
        <v>0.34516409591146735</v>
      </c>
      <c r="AU37" s="69">
        <f t="shared" si="18"/>
        <v>0</v>
      </c>
      <c r="AW37" s="82">
        <v>45046.6875</v>
      </c>
      <c r="AX37" s="121">
        <v>3.9351766000000003E-2</v>
      </c>
      <c r="AY37" s="83">
        <v>84.891986889999998</v>
      </c>
      <c r="AZ37" s="121">
        <v>7482</v>
      </c>
      <c r="BA37" s="83">
        <f t="shared" si="36"/>
        <v>124.7</v>
      </c>
      <c r="BB37" s="84">
        <f t="shared" si="37"/>
        <v>4.9071652202000005</v>
      </c>
      <c r="BC37" s="83">
        <f t="shared" si="38"/>
        <v>80.938169278524285</v>
      </c>
      <c r="BE37" s="87">
        <v>45047.5625</v>
      </c>
      <c r="BF37" s="118">
        <v>3.2626751827534099E-2</v>
      </c>
      <c r="BG37" s="88">
        <v>78.323104580000006</v>
      </c>
      <c r="BH37" s="89">
        <v>7950</v>
      </c>
      <c r="BI37" s="90">
        <f t="shared" si="19"/>
        <v>132.5</v>
      </c>
      <c r="BJ37" s="91">
        <f t="shared" si="20"/>
        <v>4.3230446171482679</v>
      </c>
      <c r="BK37" s="91">
        <f t="shared" si="21"/>
        <v>76.067618111558048</v>
      </c>
      <c r="BM37" s="93">
        <v>45049.604166666664</v>
      </c>
      <c r="BN37">
        <v>3.5127544457337803E-2</v>
      </c>
      <c r="BO37" s="95">
        <v>101.36348099999999</v>
      </c>
      <c r="BP37" s="4">
        <v>9419</v>
      </c>
      <c r="BQ37" s="95">
        <f t="shared" si="22"/>
        <v>156.98333333333332</v>
      </c>
      <c r="BR37" s="94">
        <f t="shared" si="23"/>
        <v>5.5144390207277461</v>
      </c>
      <c r="BS37" s="96">
        <f t="shared" si="24"/>
        <v>85.697232722978967</v>
      </c>
      <c r="BU37" s="10">
        <v>45050.864583333336</v>
      </c>
      <c r="BV37" s="119">
        <v>8.42019086997393E-2</v>
      </c>
      <c r="BW37" s="21">
        <v>114.1275401</v>
      </c>
      <c r="BX37" s="120">
        <v>4428</v>
      </c>
      <c r="BY37" s="21">
        <f t="shared" si="25"/>
        <v>73.8</v>
      </c>
      <c r="BZ37" s="21">
        <f t="shared" si="26"/>
        <v>6.2141008620407598</v>
      </c>
      <c r="CA37" s="21">
        <f t="shared" si="27"/>
        <v>90.859626091240912</v>
      </c>
    </row>
    <row r="38" spans="1:79" x14ac:dyDescent="0.25">
      <c r="A38" s="10">
        <v>44776.365277777775</v>
      </c>
      <c r="B38" s="11">
        <v>1.5269880596736601E-3</v>
      </c>
      <c r="C38" s="12">
        <v>0.72191215399999997</v>
      </c>
      <c r="D38" s="9">
        <v>147</v>
      </c>
      <c r="E38" s="13">
        <f t="shared" si="8"/>
        <v>2.4500000000000002</v>
      </c>
      <c r="F38" s="12">
        <f t="shared" si="30"/>
        <v>3.7411207462004674E-3</v>
      </c>
      <c r="G38" s="13">
        <f t="shared" si="28"/>
        <v>2.4063153288996197</v>
      </c>
      <c r="I38" s="25">
        <v>44781.365277777775</v>
      </c>
      <c r="J38" s="26">
        <v>3.4616339816976299E-3</v>
      </c>
      <c r="K38" s="27">
        <v>1.2281127095</v>
      </c>
      <c r="L38" s="28">
        <v>778</v>
      </c>
      <c r="M38" s="29">
        <f t="shared" si="10"/>
        <v>12.966666666666667</v>
      </c>
      <c r="N38" s="26">
        <f t="shared" si="31"/>
        <v>4.4885853962679266E-2</v>
      </c>
      <c r="O38" s="29">
        <f t="shared" si="11"/>
        <v>0</v>
      </c>
      <c r="Q38" s="35">
        <v>45136.364583333336</v>
      </c>
      <c r="R38" s="71">
        <v>8.4005436746933306E-3</v>
      </c>
      <c r="S38" s="70">
        <v>1.145105356</v>
      </c>
      <c r="T38" s="36">
        <v>4829</v>
      </c>
      <c r="U38" s="37">
        <f t="shared" si="12"/>
        <v>80.483333333333334</v>
      </c>
      <c r="V38" s="37">
        <f t="shared" si="32"/>
        <v>0.6761037567515682</v>
      </c>
      <c r="W38" s="38">
        <f t="shared" si="13"/>
        <v>30.662751949554721</v>
      </c>
      <c r="Y38" s="45">
        <v>45151.364583333336</v>
      </c>
      <c r="Z38" s="4">
        <v>5.9093812827711702E-3</v>
      </c>
      <c r="AA38" s="3">
        <v>0.66168135500000003</v>
      </c>
      <c r="AB38" s="4">
        <v>1316</v>
      </c>
      <c r="AC38" s="46">
        <f t="shared" si="14"/>
        <v>21.933333333333334</v>
      </c>
      <c r="AD38" s="47">
        <f t="shared" si="33"/>
        <v>0.12961242946878099</v>
      </c>
      <c r="AE38" s="50">
        <f t="shared" si="15"/>
        <v>0</v>
      </c>
      <c r="AG38" s="51">
        <v>45166.364583333336</v>
      </c>
      <c r="AH38" s="72">
        <v>9.8195732874963998E-3</v>
      </c>
      <c r="AI38" s="73">
        <v>0.377160934</v>
      </c>
      <c r="AJ38" s="52">
        <v>3651</v>
      </c>
      <c r="AK38" s="53">
        <f t="shared" si="16"/>
        <v>60.85</v>
      </c>
      <c r="AL38" s="72">
        <f t="shared" si="34"/>
        <v>0.59752103454415595</v>
      </c>
      <c r="AM38" s="54">
        <f t="shared" si="29"/>
        <v>28.862487240276568</v>
      </c>
      <c r="AO38" s="66">
        <v>45183.364583333336</v>
      </c>
      <c r="AP38" s="67">
        <v>5.6987856325918899E-3</v>
      </c>
      <c r="AQ38" s="68">
        <v>0.39953381599999999</v>
      </c>
      <c r="AR38" s="68">
        <v>1178</v>
      </c>
      <c r="AS38" s="68">
        <f t="shared" si="17"/>
        <v>19.633333333333333</v>
      </c>
      <c r="AT38" s="68">
        <f t="shared" si="35"/>
        <v>0.11188615791988743</v>
      </c>
      <c r="AU38" s="69">
        <f t="shared" si="18"/>
        <v>0</v>
      </c>
      <c r="AW38" s="82">
        <v>45046.697916666664</v>
      </c>
      <c r="AX38" s="121">
        <v>4.2582948000000002E-2</v>
      </c>
      <c r="AY38" s="83">
        <v>82.276892649999994</v>
      </c>
      <c r="AZ38" s="121">
        <v>7172</v>
      </c>
      <c r="BA38" s="83">
        <f t="shared" si="36"/>
        <v>119.53333333333333</v>
      </c>
      <c r="BB38" s="84">
        <f t="shared" si="37"/>
        <v>5.0900817176000004</v>
      </c>
      <c r="BC38" s="83">
        <f t="shared" si="38"/>
        <v>82.401801223161442</v>
      </c>
      <c r="BE38" s="87">
        <v>45047.572916666664</v>
      </c>
      <c r="BF38" s="118">
        <v>3.32721910181362E-2</v>
      </c>
      <c r="BG38" s="88">
        <v>76.101800600000004</v>
      </c>
      <c r="BH38" s="89">
        <v>7950</v>
      </c>
      <c r="BI38" s="90">
        <f t="shared" si="19"/>
        <v>132.5</v>
      </c>
      <c r="BJ38" s="91">
        <f t="shared" si="20"/>
        <v>4.4085653099030466</v>
      </c>
      <c r="BK38" s="91">
        <f t="shared" si="21"/>
        <v>76.800840016251428</v>
      </c>
      <c r="BM38" s="93">
        <v>45049.614583333336</v>
      </c>
      <c r="BN38">
        <v>3.6505486270541697E-2</v>
      </c>
      <c r="BO38" s="95">
        <v>99.714355679999997</v>
      </c>
      <c r="BP38" s="4">
        <v>9179</v>
      </c>
      <c r="BQ38" s="95">
        <f t="shared" si="22"/>
        <v>152.98333333333332</v>
      </c>
      <c r="BR38" s="94">
        <f t="shared" si="23"/>
        <v>5.5847309746217038</v>
      </c>
      <c r="BS38" s="96">
        <f t="shared" si="24"/>
        <v>86.230439195638269</v>
      </c>
      <c r="BU38" s="10">
        <v>45050.875</v>
      </c>
      <c r="BV38" s="119">
        <v>8.0155052990088502E-2</v>
      </c>
      <c r="BW38" s="21">
        <v>120.2525852</v>
      </c>
      <c r="BX38" s="120">
        <v>4351</v>
      </c>
      <c r="BY38" s="21">
        <f t="shared" si="25"/>
        <v>72.516666666666666</v>
      </c>
      <c r="BZ38" s="21">
        <f t="shared" si="26"/>
        <v>5.8125772593312508</v>
      </c>
      <c r="CA38" s="21">
        <f t="shared" si="27"/>
        <v>87.935647120621866</v>
      </c>
    </row>
    <row r="39" spans="1:79" x14ac:dyDescent="0.25">
      <c r="A39" s="10">
        <v>44776.375694444447</v>
      </c>
      <c r="B39" s="11">
        <v>1.6185400832467E-3</v>
      </c>
      <c r="C39" s="12">
        <v>0.77710206100000001</v>
      </c>
      <c r="D39" s="9">
        <v>150</v>
      </c>
      <c r="E39" s="13">
        <f t="shared" si="8"/>
        <v>2.5</v>
      </c>
      <c r="F39" s="12">
        <f t="shared" si="30"/>
        <v>4.0463502081167502E-3</v>
      </c>
      <c r="G39" s="13">
        <f t="shared" si="28"/>
        <v>2.5005328993596638</v>
      </c>
      <c r="I39" s="25">
        <v>44781.375694444447</v>
      </c>
      <c r="J39" s="26">
        <v>3.4131643147401001E-3</v>
      </c>
      <c r="K39" s="27">
        <v>1.1599344165000001</v>
      </c>
      <c r="L39" s="28">
        <v>810</v>
      </c>
      <c r="M39" s="29">
        <f t="shared" si="10"/>
        <v>13.5</v>
      </c>
      <c r="N39" s="26">
        <f t="shared" si="31"/>
        <v>4.6077718248991352E-2</v>
      </c>
      <c r="O39" s="29">
        <f t="shared" si="11"/>
        <v>0</v>
      </c>
      <c r="Q39" s="35">
        <v>45136.375</v>
      </c>
      <c r="R39" s="71">
        <v>7.0970964554372797E-3</v>
      </c>
      <c r="S39" s="70">
        <v>0.99150227300000005</v>
      </c>
      <c r="T39" s="36">
        <v>4215</v>
      </c>
      <c r="U39" s="37">
        <f t="shared" si="12"/>
        <v>70.25</v>
      </c>
      <c r="V39" s="37">
        <f t="shared" si="32"/>
        <v>0.4985710259944689</v>
      </c>
      <c r="W39" s="38">
        <f t="shared" si="13"/>
        <v>26.413777935966973</v>
      </c>
      <c r="Y39" s="45">
        <v>45151.375</v>
      </c>
      <c r="Z39" s="4">
        <v>5.9834434241630499E-3</v>
      </c>
      <c r="AA39" s="3">
        <v>0.81307424100000003</v>
      </c>
      <c r="AB39" s="4">
        <v>1925</v>
      </c>
      <c r="AC39" s="46">
        <f t="shared" si="14"/>
        <v>32.083333333333336</v>
      </c>
      <c r="AD39" s="47">
        <f t="shared" si="33"/>
        <v>0.19196880985856454</v>
      </c>
      <c r="AE39" s="50">
        <f t="shared" si="15"/>
        <v>0</v>
      </c>
      <c r="AG39" s="51">
        <v>45166.375</v>
      </c>
      <c r="AH39" s="72">
        <v>7.33101660789795E-3</v>
      </c>
      <c r="AI39" s="73">
        <v>0.33439968599999997</v>
      </c>
      <c r="AJ39" s="52">
        <v>2663</v>
      </c>
      <c r="AK39" s="53">
        <f t="shared" si="16"/>
        <v>44.383333333333333</v>
      </c>
      <c r="AL39" s="72">
        <f t="shared" si="34"/>
        <v>0.32537495378053732</v>
      </c>
      <c r="AM39" s="54">
        <f t="shared" si="29"/>
        <v>0</v>
      </c>
      <c r="AO39" s="66">
        <v>45183.375</v>
      </c>
      <c r="AP39" s="67">
        <v>4.0251710180752897E-3</v>
      </c>
      <c r="AQ39" s="68">
        <v>0.39953381599999999</v>
      </c>
      <c r="AR39" s="68">
        <v>1135</v>
      </c>
      <c r="AS39" s="68">
        <f t="shared" si="17"/>
        <v>18.916666666666668</v>
      </c>
      <c r="AT39" s="68">
        <f t="shared" si="35"/>
        <v>7.6142818425257566E-2</v>
      </c>
      <c r="AU39" s="69">
        <f t="shared" si="18"/>
        <v>0</v>
      </c>
      <c r="AW39" s="82">
        <v>45046.708333333336</v>
      </c>
      <c r="AX39" s="121">
        <v>4.1026825000000003E-2</v>
      </c>
      <c r="AY39" s="83">
        <v>82.276892649999994</v>
      </c>
      <c r="AZ39" s="121">
        <v>7408</v>
      </c>
      <c r="BA39" s="83">
        <f t="shared" si="36"/>
        <v>123.46666666666667</v>
      </c>
      <c r="BB39" s="84">
        <f t="shared" si="37"/>
        <v>5.0654453266666675</v>
      </c>
      <c r="BC39" s="83">
        <f t="shared" si="38"/>
        <v>82.206251840258588</v>
      </c>
      <c r="BE39" s="87">
        <v>45047.583333333336</v>
      </c>
      <c r="BF39" s="118">
        <v>3.49042020366623E-2</v>
      </c>
      <c r="BG39" s="88">
        <v>79.202259850000004</v>
      </c>
      <c r="BH39" s="89">
        <v>7478</v>
      </c>
      <c r="BI39" s="90">
        <f t="shared" si="19"/>
        <v>124.63333333333334</v>
      </c>
      <c r="BJ39" s="91">
        <f t="shared" si="20"/>
        <v>4.3502270471693452</v>
      </c>
      <c r="BK39" s="91">
        <f t="shared" si="21"/>
        <v>76.301465955937488</v>
      </c>
      <c r="BM39" s="93">
        <v>45049.625</v>
      </c>
      <c r="BN39">
        <v>3.6451717327375503E-2</v>
      </c>
      <c r="BO39" s="95">
        <v>103.8090014</v>
      </c>
      <c r="BP39" s="4">
        <v>8880</v>
      </c>
      <c r="BQ39" s="95">
        <f t="shared" si="22"/>
        <v>148</v>
      </c>
      <c r="BR39" s="94">
        <f t="shared" si="23"/>
        <v>5.3948541644515746</v>
      </c>
      <c r="BS39" s="96">
        <f t="shared" si="24"/>
        <v>84.782077882760689</v>
      </c>
      <c r="BU39" s="10">
        <v>45050.885416666664</v>
      </c>
      <c r="BV39" s="119">
        <v>8.2299462501231602E-2</v>
      </c>
      <c r="BW39" s="21">
        <v>114.8986831</v>
      </c>
      <c r="BX39" s="120">
        <v>4474</v>
      </c>
      <c r="BY39" s="21">
        <f t="shared" si="25"/>
        <v>74.566666666666663</v>
      </c>
      <c r="BZ39" s="21">
        <f t="shared" si="26"/>
        <v>6.1367965871751693</v>
      </c>
      <c r="CA39" s="21">
        <f t="shared" si="27"/>
        <v>90.304347094054023</v>
      </c>
    </row>
    <row r="40" spans="1:79" x14ac:dyDescent="0.25">
      <c r="A40" s="10">
        <v>44776.386111111111</v>
      </c>
      <c r="B40" s="11">
        <v>1.9699526705927099E-3</v>
      </c>
      <c r="C40" s="12">
        <v>0.73831050949999999</v>
      </c>
      <c r="D40" s="9">
        <v>154</v>
      </c>
      <c r="E40" s="13">
        <f t="shared" si="8"/>
        <v>2.5666666666666669</v>
      </c>
      <c r="F40" s="12">
        <f t="shared" si="30"/>
        <v>5.0562118545212894E-3</v>
      </c>
      <c r="G40" s="13">
        <f t="shared" si="28"/>
        <v>2.7887964937903398</v>
      </c>
      <c r="I40" s="25">
        <v>44781.386111111111</v>
      </c>
      <c r="J40" s="26">
        <v>3.8335622992210099E-3</v>
      </c>
      <c r="K40" s="27">
        <v>1.1715929684999999</v>
      </c>
      <c r="L40" s="28">
        <v>843</v>
      </c>
      <c r="M40" s="29">
        <f t="shared" si="10"/>
        <v>14.05</v>
      </c>
      <c r="N40" s="26">
        <f t="shared" si="31"/>
        <v>5.3861550304055192E-2</v>
      </c>
      <c r="O40" s="29">
        <f t="shared" si="11"/>
        <v>0</v>
      </c>
      <c r="Q40" s="35">
        <v>45136.385416666664</v>
      </c>
      <c r="R40" s="71">
        <v>9.7070100761388108E-3</v>
      </c>
      <c r="S40" s="70">
        <v>0.99150227300000005</v>
      </c>
      <c r="T40" s="36">
        <v>4458</v>
      </c>
      <c r="U40" s="37">
        <f t="shared" si="12"/>
        <v>74.3</v>
      </c>
      <c r="V40" s="37">
        <f t="shared" si="32"/>
        <v>0.72123084865711362</v>
      </c>
      <c r="W40" s="38">
        <f t="shared" si="13"/>
        <v>31.648459436364803</v>
      </c>
      <c r="Y40" s="45">
        <v>45151.385416666664</v>
      </c>
      <c r="Z40" s="4">
        <v>5.0464275926609698E-3</v>
      </c>
      <c r="AA40" s="3">
        <v>0.50323377899999999</v>
      </c>
      <c r="AB40" s="4">
        <v>999</v>
      </c>
      <c r="AC40" s="46">
        <f t="shared" si="14"/>
        <v>16.649999999999999</v>
      </c>
      <c r="AD40" s="47">
        <f t="shared" si="33"/>
        <v>8.4023019417805142E-2</v>
      </c>
      <c r="AE40" s="50">
        <f t="shared" si="15"/>
        <v>0</v>
      </c>
      <c r="AG40" s="51">
        <v>45166.385416666664</v>
      </c>
      <c r="AH40" s="72">
        <v>1.19769987878003E-2</v>
      </c>
      <c r="AI40" s="73">
        <v>0.44939223900000003</v>
      </c>
      <c r="AJ40" s="52">
        <v>4679</v>
      </c>
      <c r="AK40" s="53">
        <f t="shared" si="16"/>
        <v>77.983333333333334</v>
      </c>
      <c r="AL40" s="72">
        <f t="shared" si="34"/>
        <v>0.93400628880196002</v>
      </c>
      <c r="AM40" s="54">
        <f t="shared" si="29"/>
        <v>35.919798352605596</v>
      </c>
      <c r="AO40" s="66">
        <v>45183.385416666664</v>
      </c>
      <c r="AP40" s="67">
        <v>5.6592452129397199E-3</v>
      </c>
      <c r="AQ40" s="68">
        <v>0.44894941300000002</v>
      </c>
      <c r="AR40" s="68">
        <v>1330</v>
      </c>
      <c r="AS40" s="68">
        <f t="shared" si="17"/>
        <v>22.166666666666668</v>
      </c>
      <c r="AT40" s="68">
        <f t="shared" si="35"/>
        <v>0.12544660222016379</v>
      </c>
      <c r="AU40" s="69">
        <f t="shared" si="18"/>
        <v>0</v>
      </c>
      <c r="AW40" s="82">
        <v>45046.71875</v>
      </c>
      <c r="AX40" s="121">
        <v>3.9209519999999998E-2</v>
      </c>
      <c r="AY40" s="83">
        <v>79.202259850000004</v>
      </c>
      <c r="AZ40" s="121">
        <v>7428</v>
      </c>
      <c r="BA40" s="83">
        <f t="shared" si="36"/>
        <v>123.8</v>
      </c>
      <c r="BB40" s="84">
        <f t="shared" si="37"/>
        <v>4.8541385759999995</v>
      </c>
      <c r="BC40" s="83">
        <f t="shared" si="38"/>
        <v>80.508683044747798</v>
      </c>
      <c r="BE40" s="87">
        <v>45047.59375</v>
      </c>
      <c r="BF40" s="118">
        <v>3.6533401601040898E-2</v>
      </c>
      <c r="BG40" s="88">
        <v>80.523852189999999</v>
      </c>
      <c r="BH40" s="89">
        <v>7517</v>
      </c>
      <c r="BI40" s="90">
        <f t="shared" si="19"/>
        <v>125.28333333333333</v>
      </c>
      <c r="BJ40" s="91">
        <f t="shared" si="20"/>
        <v>4.57702633058374</v>
      </c>
      <c r="BK40" s="91">
        <f t="shared" si="21"/>
        <v>78.224228579029855</v>
      </c>
      <c r="BM40" s="93">
        <v>45049.635416666664</v>
      </c>
      <c r="BN40">
        <v>3.5982636997220797E-2</v>
      </c>
      <c r="BO40" s="95">
        <v>103.8090014</v>
      </c>
      <c r="BP40" s="4">
        <v>8922</v>
      </c>
      <c r="BQ40" s="95">
        <f t="shared" si="22"/>
        <v>148.69999999999999</v>
      </c>
      <c r="BR40" s="94">
        <f t="shared" si="23"/>
        <v>5.3506181214867325</v>
      </c>
      <c r="BS40" s="96">
        <f t="shared" si="24"/>
        <v>84.440930421910934</v>
      </c>
      <c r="BU40" s="10">
        <v>45050.895833333336</v>
      </c>
      <c r="BV40" s="119">
        <v>8.5582657254601596E-2</v>
      </c>
      <c r="BW40" s="21">
        <v>114.1275401</v>
      </c>
      <c r="BX40" s="120">
        <v>4573</v>
      </c>
      <c r="BY40" s="21">
        <f t="shared" si="25"/>
        <v>76.216666666666669</v>
      </c>
      <c r="BZ40" s="21">
        <f t="shared" si="26"/>
        <v>6.5228248604215517</v>
      </c>
      <c r="CA40" s="21">
        <f t="shared" si="27"/>
        <v>93.042798337528467</v>
      </c>
    </row>
    <row r="41" spans="1:79" x14ac:dyDescent="0.25">
      <c r="A41" s="10">
        <v>44776.396527777775</v>
      </c>
      <c r="B41" s="11">
        <v>1.67916379384027E-3</v>
      </c>
      <c r="C41" s="12">
        <v>0.65388842250000001</v>
      </c>
      <c r="D41" s="9">
        <v>115</v>
      </c>
      <c r="E41" s="13">
        <f t="shared" si="8"/>
        <v>1.9166666666666667</v>
      </c>
      <c r="F41" s="12">
        <f t="shared" si="30"/>
        <v>3.2183972715271844E-3</v>
      </c>
      <c r="G41" s="13">
        <f t="shared" si="28"/>
        <v>2.2353458694972441</v>
      </c>
      <c r="I41" s="25">
        <v>44781.396527777775</v>
      </c>
      <c r="J41" s="26">
        <v>3.15750563489481E-3</v>
      </c>
      <c r="K41" s="27">
        <v>1.142992303</v>
      </c>
      <c r="L41" s="28">
        <v>722</v>
      </c>
      <c r="M41" s="29">
        <f t="shared" si="10"/>
        <v>12.033333333333333</v>
      </c>
      <c r="N41" s="26">
        <f t="shared" si="31"/>
        <v>3.799531780656755E-2</v>
      </c>
      <c r="O41" s="29">
        <f t="shared" si="11"/>
        <v>0</v>
      </c>
      <c r="Q41" s="35">
        <v>45136.395833333336</v>
      </c>
      <c r="R41" s="71">
        <v>7.4884125662997396E-3</v>
      </c>
      <c r="S41" s="70">
        <v>0.99150227300000005</v>
      </c>
      <c r="T41" s="36">
        <v>4292</v>
      </c>
      <c r="U41" s="37">
        <f t="shared" si="12"/>
        <v>71.533333333333331</v>
      </c>
      <c r="V41" s="37">
        <f t="shared" si="32"/>
        <v>0.53567111224264141</v>
      </c>
      <c r="W41" s="38">
        <f t="shared" si="13"/>
        <v>27.358674605746323</v>
      </c>
      <c r="Y41" s="45">
        <v>45151.395833333336</v>
      </c>
      <c r="Z41" s="4">
        <v>4.7078887460927097E-3</v>
      </c>
      <c r="AA41" s="3">
        <v>0.59425534599999996</v>
      </c>
      <c r="AB41" s="4">
        <v>1204</v>
      </c>
      <c r="AC41" s="46">
        <f t="shared" si="14"/>
        <v>20.066666666666666</v>
      </c>
      <c r="AD41" s="47">
        <f t="shared" si="33"/>
        <v>9.447163417159371E-2</v>
      </c>
      <c r="AE41" s="50">
        <f t="shared" si="15"/>
        <v>0</v>
      </c>
      <c r="AG41" s="51">
        <v>45166.395833333336</v>
      </c>
      <c r="AH41" s="72">
        <v>1.0630397236378699E-2</v>
      </c>
      <c r="AI41" s="73">
        <v>0.377160934</v>
      </c>
      <c r="AJ41" s="52">
        <v>3588</v>
      </c>
      <c r="AK41" s="53">
        <f t="shared" si="16"/>
        <v>59.8</v>
      </c>
      <c r="AL41" s="72">
        <f t="shared" si="34"/>
        <v>0.63569775473544621</v>
      </c>
      <c r="AM41" s="54">
        <f t="shared" si="29"/>
        <v>29.751265901467569</v>
      </c>
      <c r="AO41" s="66">
        <v>45183.395833333336</v>
      </c>
      <c r="AP41" s="67">
        <v>2.7543519901081499E-3</v>
      </c>
      <c r="AQ41" s="68">
        <v>0.29572637699999998</v>
      </c>
      <c r="AR41" s="68">
        <v>284</v>
      </c>
      <c r="AS41" s="68">
        <f t="shared" si="17"/>
        <v>4.7333333333333334</v>
      </c>
      <c r="AT41" s="68">
        <f t="shared" si="35"/>
        <v>1.3037266086511909E-2</v>
      </c>
      <c r="AU41" s="69">
        <f t="shared" si="18"/>
        <v>0</v>
      </c>
      <c r="AW41" s="82">
        <v>45046.729166666664</v>
      </c>
      <c r="AX41" s="121">
        <v>3.7530854000000002E-2</v>
      </c>
      <c r="AY41" s="83">
        <v>80.523852189999999</v>
      </c>
      <c r="AZ41" s="121">
        <v>7748</v>
      </c>
      <c r="BA41" s="83">
        <f t="shared" si="36"/>
        <v>129.13333333333333</v>
      </c>
      <c r="BB41" s="84">
        <f t="shared" si="37"/>
        <v>4.846484279866667</v>
      </c>
      <c r="BC41" s="83">
        <f t="shared" si="38"/>
        <v>80.446490152713736</v>
      </c>
      <c r="BE41" s="87">
        <v>45047.604166666664</v>
      </c>
      <c r="BF41" s="118">
        <v>3.5234572837790398E-2</v>
      </c>
      <c r="BG41" s="88">
        <v>80.523852189999999</v>
      </c>
      <c r="BH41" s="89">
        <v>7270</v>
      </c>
      <c r="BI41" s="90">
        <f t="shared" si="19"/>
        <v>121.16666666666667</v>
      </c>
      <c r="BJ41" s="91">
        <f t="shared" si="20"/>
        <v>4.2692557421789363</v>
      </c>
      <c r="BK41" s="91">
        <f t="shared" si="21"/>
        <v>75.602655643266957</v>
      </c>
      <c r="BM41" s="93">
        <v>45049.645833333336</v>
      </c>
      <c r="BN41">
        <v>3.9406552442094199E-2</v>
      </c>
      <c r="BO41" s="95">
        <v>103.80204430000001</v>
      </c>
      <c r="BP41" s="4">
        <v>8863</v>
      </c>
      <c r="BQ41" s="95">
        <f t="shared" si="22"/>
        <v>147.71666666666667</v>
      </c>
      <c r="BR41" s="94">
        <f t="shared" si="23"/>
        <v>5.8210045715713479</v>
      </c>
      <c r="BS41" s="96">
        <f t="shared" si="24"/>
        <v>87.998057215811713</v>
      </c>
      <c r="BU41" s="10">
        <v>45050.90625</v>
      </c>
      <c r="BV41" s="119">
        <v>8.7378313416970804E-2</v>
      </c>
      <c r="BW41" s="21">
        <v>112.9598134</v>
      </c>
      <c r="BX41" s="120">
        <v>4425</v>
      </c>
      <c r="BY41" s="21">
        <f t="shared" si="25"/>
        <v>73.75</v>
      </c>
      <c r="BZ41" s="21">
        <f t="shared" si="26"/>
        <v>6.4441506145015968</v>
      </c>
      <c r="CA41" s="21">
        <f t="shared" si="27"/>
        <v>92.491543564485895</v>
      </c>
    </row>
    <row r="42" spans="1:79" x14ac:dyDescent="0.25">
      <c r="A42" s="10">
        <v>44776.406944444447</v>
      </c>
      <c r="B42" s="11">
        <v>1.52336149363826E-3</v>
      </c>
      <c r="C42" s="12">
        <v>0.66321230600000003</v>
      </c>
      <c r="D42" s="9">
        <v>116</v>
      </c>
      <c r="E42" s="13">
        <f t="shared" si="8"/>
        <v>1.9333333333333333</v>
      </c>
      <c r="F42" s="12">
        <f t="shared" si="30"/>
        <v>2.945165554367303E-3</v>
      </c>
      <c r="G42" s="13">
        <f t="shared" si="28"/>
        <v>2.1403096958246715</v>
      </c>
      <c r="I42" s="25">
        <v>44781.406944444447</v>
      </c>
      <c r="J42" s="26">
        <v>3.40619910451701E-3</v>
      </c>
      <c r="K42" s="27">
        <v>1.1391712730000001</v>
      </c>
      <c r="L42" s="28">
        <v>690</v>
      </c>
      <c r="M42" s="29">
        <f t="shared" si="10"/>
        <v>11.5</v>
      </c>
      <c r="N42" s="26">
        <f t="shared" si="31"/>
        <v>3.9171289701945618E-2</v>
      </c>
      <c r="O42" s="29">
        <f t="shared" si="11"/>
        <v>0</v>
      </c>
      <c r="Q42" s="35">
        <v>45136.40625</v>
      </c>
      <c r="R42" s="71">
        <v>7.8988869008013302E-3</v>
      </c>
      <c r="S42" s="70">
        <v>1.145105356</v>
      </c>
      <c r="T42" s="36">
        <v>5177</v>
      </c>
      <c r="U42" s="37">
        <f t="shared" si="12"/>
        <v>86.283333333333331</v>
      </c>
      <c r="V42" s="37">
        <f t="shared" si="32"/>
        <v>0.68154229142414147</v>
      </c>
      <c r="W42" s="38">
        <f t="shared" si="13"/>
        <v>30.783289155104974</v>
      </c>
      <c r="Y42" s="45">
        <v>45151.40625</v>
      </c>
      <c r="Z42" s="4">
        <v>5.3876873761773397E-3</v>
      </c>
      <c r="AA42" s="3">
        <v>0.59425534599999996</v>
      </c>
      <c r="AB42" s="4">
        <v>1203</v>
      </c>
      <c r="AC42" s="46">
        <f t="shared" si="14"/>
        <v>20.05</v>
      </c>
      <c r="AD42" s="47">
        <f t="shared" si="33"/>
        <v>0.10802313189235567</v>
      </c>
      <c r="AE42" s="50">
        <f t="shared" si="15"/>
        <v>0</v>
      </c>
      <c r="AG42" s="51">
        <v>45166.40625</v>
      </c>
      <c r="AH42" s="72">
        <v>5.9073109628511996E-3</v>
      </c>
      <c r="AI42" s="73">
        <v>0.314737561</v>
      </c>
      <c r="AJ42" s="52">
        <v>2163</v>
      </c>
      <c r="AK42" s="53">
        <f t="shared" si="16"/>
        <v>36.049999999999997</v>
      </c>
      <c r="AL42" s="72">
        <f t="shared" si="34"/>
        <v>0.21295856021078574</v>
      </c>
      <c r="AM42" s="54">
        <f t="shared" si="29"/>
        <v>0</v>
      </c>
      <c r="AO42" s="66">
        <v>45183.40625</v>
      </c>
      <c r="AP42" s="67">
        <v>5.2471403429525101E-3</v>
      </c>
      <c r="AQ42" s="68">
        <v>0.376777213</v>
      </c>
      <c r="AR42" s="68">
        <v>844</v>
      </c>
      <c r="AS42" s="68">
        <f t="shared" si="17"/>
        <v>14.066666666666666</v>
      </c>
      <c r="AT42" s="68">
        <f t="shared" si="35"/>
        <v>7.3809774157531968E-2</v>
      </c>
      <c r="AU42" s="69">
        <f t="shared" si="18"/>
        <v>0</v>
      </c>
      <c r="AW42" s="82">
        <v>45046.739583333336</v>
      </c>
      <c r="AX42" s="121">
        <v>3.6854618999999998E-2</v>
      </c>
      <c r="AY42" s="83">
        <v>80.523852189999999</v>
      </c>
      <c r="AZ42" s="121">
        <v>7972</v>
      </c>
      <c r="BA42" s="83">
        <f t="shared" si="36"/>
        <v>132.86666666666667</v>
      </c>
      <c r="BB42" s="84">
        <f t="shared" si="37"/>
        <v>4.8967503778000001</v>
      </c>
      <c r="BC42" s="83">
        <f t="shared" si="38"/>
        <v>80.854002467705754</v>
      </c>
      <c r="BE42" s="87">
        <v>45047.614583333336</v>
      </c>
      <c r="BF42" s="118">
        <v>3.9851719914284899E-2</v>
      </c>
      <c r="BG42" s="88">
        <v>82.718647970000006</v>
      </c>
      <c r="BH42" s="89">
        <v>7034</v>
      </c>
      <c r="BI42" s="90">
        <f t="shared" si="19"/>
        <v>117.23333333333333</v>
      </c>
      <c r="BJ42" s="91">
        <f t="shared" si="20"/>
        <v>4.6719499646179994</v>
      </c>
      <c r="BK42" s="91">
        <f t="shared" si="21"/>
        <v>79.014510302123043</v>
      </c>
      <c r="BM42" s="93">
        <v>45049.65625</v>
      </c>
      <c r="BN42">
        <v>3.6988797592521903E-2</v>
      </c>
      <c r="BO42" s="95">
        <v>102.9873886</v>
      </c>
      <c r="BP42" s="4">
        <v>8641</v>
      </c>
      <c r="BQ42" s="95">
        <f t="shared" si="22"/>
        <v>144.01666666666668</v>
      </c>
      <c r="BR42" s="94">
        <f t="shared" si="23"/>
        <v>5.32700333328303</v>
      </c>
      <c r="BS42" s="96">
        <f t="shared" si="24"/>
        <v>84.258224306674776</v>
      </c>
      <c r="BU42" s="10">
        <v>45050.916666666664</v>
      </c>
      <c r="BV42" s="119">
        <v>7.7941260938044196E-2</v>
      </c>
      <c r="BW42" s="21">
        <v>114.1275401</v>
      </c>
      <c r="BX42" s="120">
        <v>4530</v>
      </c>
      <c r="BY42" s="21">
        <f t="shared" si="25"/>
        <v>75.5</v>
      </c>
      <c r="BZ42" s="21">
        <f t="shared" si="26"/>
        <v>5.8845652008223368</v>
      </c>
      <c r="CA42" s="21">
        <f t="shared" si="27"/>
        <v>88.467290071766357</v>
      </c>
    </row>
    <row r="43" spans="1:79" x14ac:dyDescent="0.25">
      <c r="A43" s="10">
        <v>44776.417361111111</v>
      </c>
      <c r="B43" s="11">
        <v>1.83348655117861E-3</v>
      </c>
      <c r="C43" s="12">
        <v>0.73972780449999997</v>
      </c>
      <c r="D43" s="9">
        <v>134</v>
      </c>
      <c r="E43" s="13">
        <f t="shared" si="8"/>
        <v>2.2333333333333334</v>
      </c>
      <c r="F43" s="12">
        <f t="shared" si="30"/>
        <v>4.0947866309655623E-3</v>
      </c>
      <c r="G43" s="13">
        <f t="shared" si="28"/>
        <v>2.5151462820220147</v>
      </c>
      <c r="I43" s="25">
        <v>44781.417361111111</v>
      </c>
      <c r="J43" s="26">
        <v>3.65055506764743E-3</v>
      </c>
      <c r="K43" s="27">
        <v>1.126503907</v>
      </c>
      <c r="L43" s="28">
        <v>765</v>
      </c>
      <c r="M43" s="29">
        <f t="shared" si="10"/>
        <v>12.75</v>
      </c>
      <c r="N43" s="26">
        <f t="shared" si="31"/>
        <v>4.6544577112504731E-2</v>
      </c>
      <c r="O43" s="29">
        <f t="shared" si="11"/>
        <v>0</v>
      </c>
      <c r="Q43" s="35">
        <v>45136.416666666664</v>
      </c>
      <c r="R43" s="71">
        <v>7.0901273989394404E-3</v>
      </c>
      <c r="S43" s="70">
        <v>0.89859415399999998</v>
      </c>
      <c r="T43" s="36">
        <v>3761</v>
      </c>
      <c r="U43" s="37">
        <f t="shared" si="12"/>
        <v>62.68333333333333</v>
      </c>
      <c r="V43" s="37">
        <f t="shared" si="32"/>
        <v>0.44443281912352056</v>
      </c>
      <c r="W43" s="38">
        <f t="shared" si="13"/>
        <v>24.968028454143379</v>
      </c>
      <c r="Y43" s="45">
        <v>45151.416666666664</v>
      </c>
      <c r="Z43" s="4">
        <v>7.52203922405932E-3</v>
      </c>
      <c r="AA43" s="3">
        <v>0.69769667099999999</v>
      </c>
      <c r="AB43" s="4">
        <v>1564</v>
      </c>
      <c r="AC43" s="46">
        <f t="shared" si="14"/>
        <v>26.066666666666666</v>
      </c>
      <c r="AD43" s="47">
        <f t="shared" si="33"/>
        <v>0.19607448910714628</v>
      </c>
      <c r="AE43" s="50">
        <f t="shared" si="15"/>
        <v>0</v>
      </c>
      <c r="AG43" s="51">
        <v>45166.416666666664</v>
      </c>
      <c r="AH43" s="72">
        <v>1.0229736157172599E-2</v>
      </c>
      <c r="AI43" s="73">
        <v>0.377160934</v>
      </c>
      <c r="AJ43" s="52">
        <v>3795</v>
      </c>
      <c r="AK43" s="53">
        <f t="shared" si="16"/>
        <v>63.25</v>
      </c>
      <c r="AL43" s="72">
        <f t="shared" si="34"/>
        <v>0.64703081194116685</v>
      </c>
      <c r="AM43" s="54">
        <f t="shared" si="29"/>
        <v>30.009830800478195</v>
      </c>
      <c r="AO43" s="66">
        <v>45183.416666666664</v>
      </c>
      <c r="AP43" s="67">
        <v>5.4693397405303802E-3</v>
      </c>
      <c r="AQ43" s="68">
        <v>0.376777213</v>
      </c>
      <c r="AR43" s="68">
        <v>815</v>
      </c>
      <c r="AS43" s="68">
        <f t="shared" si="17"/>
        <v>13.583333333333334</v>
      </c>
      <c r="AT43" s="68">
        <f t="shared" si="35"/>
        <v>7.4291864808870997E-2</v>
      </c>
      <c r="AU43" s="69">
        <f t="shared" si="18"/>
        <v>0</v>
      </c>
      <c r="AW43" s="82">
        <v>45046.75</v>
      </c>
      <c r="AX43" s="121">
        <v>3.4144079000000001E-2</v>
      </c>
      <c r="AY43" s="83">
        <v>81.397704649999994</v>
      </c>
      <c r="AZ43" s="121">
        <v>8518</v>
      </c>
      <c r="BA43" s="83">
        <f t="shared" si="36"/>
        <v>141.96666666666667</v>
      </c>
      <c r="BB43" s="84">
        <f t="shared" si="37"/>
        <v>4.8473210820333339</v>
      </c>
      <c r="BC43" s="83">
        <f t="shared" si="38"/>
        <v>80.453291799280009</v>
      </c>
      <c r="BE43" s="87">
        <v>45047.625</v>
      </c>
      <c r="BF43" s="118">
        <v>4.0075093253381697E-2</v>
      </c>
      <c r="BG43" s="88">
        <v>81.405228940000001</v>
      </c>
      <c r="BH43" s="89">
        <v>7042</v>
      </c>
      <c r="BI43" s="90">
        <f t="shared" si="19"/>
        <v>117.36666666666666</v>
      </c>
      <c r="BJ43" s="91">
        <f t="shared" si="20"/>
        <v>4.7034801115052316</v>
      </c>
      <c r="BK43" s="91">
        <f t="shared" si="21"/>
        <v>79.275196969160135</v>
      </c>
      <c r="BM43" s="93">
        <v>45049.666666666664</v>
      </c>
      <c r="BN43">
        <v>3.7413065288139702E-2</v>
      </c>
      <c r="BO43" s="95">
        <v>104.61473460000001</v>
      </c>
      <c r="BP43" s="4">
        <v>8260</v>
      </c>
      <c r="BQ43" s="95">
        <f t="shared" si="22"/>
        <v>137.66666666666666</v>
      </c>
      <c r="BR43" s="94">
        <f t="shared" si="23"/>
        <v>5.1505319880005649</v>
      </c>
      <c r="BS43" s="96">
        <f t="shared" si="24"/>
        <v>82.879583620842681</v>
      </c>
      <c r="BU43" s="10">
        <v>45050.927083333336</v>
      </c>
      <c r="BV43" s="119">
        <v>8.8769036045406799E-2</v>
      </c>
      <c r="BW43" s="21">
        <v>113.74097140000001</v>
      </c>
      <c r="BX43" s="120">
        <v>4406</v>
      </c>
      <c r="BY43" s="21">
        <f t="shared" si="25"/>
        <v>73.433333333333337</v>
      </c>
      <c r="BZ43" s="21">
        <f t="shared" si="26"/>
        <v>6.5186062136010392</v>
      </c>
      <c r="CA43" s="21">
        <f t="shared" si="27"/>
        <v>93.013325496445361</v>
      </c>
    </row>
    <row r="44" spans="1:79" x14ac:dyDescent="0.25">
      <c r="A44" s="10">
        <v>44776.427777777775</v>
      </c>
      <c r="B44" s="11">
        <v>1.53863608572197E-3</v>
      </c>
      <c r="C44" s="12">
        <v>0.72333429699999996</v>
      </c>
      <c r="D44" s="9">
        <v>127</v>
      </c>
      <c r="E44" s="13">
        <f t="shared" si="8"/>
        <v>2.1166666666666667</v>
      </c>
      <c r="F44" s="12">
        <f t="shared" si="30"/>
        <v>3.2567797147781698E-3</v>
      </c>
      <c r="G44" s="13">
        <f t="shared" si="28"/>
        <v>2.2483611090648514</v>
      </c>
      <c r="I44" s="25">
        <v>44781.427777777775</v>
      </c>
      <c r="J44" s="26">
        <v>3.28949326496658E-3</v>
      </c>
      <c r="K44" s="27">
        <v>1.1902769595</v>
      </c>
      <c r="L44" s="28">
        <v>802</v>
      </c>
      <c r="M44" s="29">
        <f t="shared" si="10"/>
        <v>13.366666666666667</v>
      </c>
      <c r="N44" s="26">
        <f t="shared" si="31"/>
        <v>4.3969559975053286E-2</v>
      </c>
      <c r="O44" s="29">
        <f t="shared" si="11"/>
        <v>0</v>
      </c>
      <c r="Q44" s="35">
        <v>45136.427083333336</v>
      </c>
      <c r="R44" s="71">
        <v>9.9106306272953703E-3</v>
      </c>
      <c r="S44" s="70">
        <v>0.89859415399999998</v>
      </c>
      <c r="T44" s="36">
        <v>4471</v>
      </c>
      <c r="U44" s="37">
        <f t="shared" si="12"/>
        <v>74.516666666666666</v>
      </c>
      <c r="V44" s="37">
        <f t="shared" si="32"/>
        <v>0.73850715891062668</v>
      </c>
      <c r="W44" s="38">
        <f t="shared" si="13"/>
        <v>32.017461353840112</v>
      </c>
      <c r="Y44" s="45">
        <v>45151.427083333336</v>
      </c>
      <c r="Z44" s="4">
        <v>6.47636080442402E-3</v>
      </c>
      <c r="AA44" s="3">
        <v>0.59425534599999996</v>
      </c>
      <c r="AB44" s="4">
        <v>1210</v>
      </c>
      <c r="AC44" s="46">
        <f t="shared" si="14"/>
        <v>20.166666666666668</v>
      </c>
      <c r="AD44" s="47">
        <f t="shared" si="33"/>
        <v>0.13060660955588441</v>
      </c>
      <c r="AE44" s="50">
        <f t="shared" si="15"/>
        <v>0</v>
      </c>
      <c r="AG44" s="51">
        <v>45166.427083333336</v>
      </c>
      <c r="AH44" s="72">
        <v>1.0277800000538601E-2</v>
      </c>
      <c r="AI44" s="73">
        <v>0.377160934</v>
      </c>
      <c r="AJ44" s="52">
        <v>3981</v>
      </c>
      <c r="AK44" s="53">
        <f t="shared" si="16"/>
        <v>66.349999999999994</v>
      </c>
      <c r="AL44" s="72">
        <f t="shared" si="34"/>
        <v>0.6819320300357361</v>
      </c>
      <c r="AM44" s="54">
        <f t="shared" si="29"/>
        <v>30.791908264570221</v>
      </c>
      <c r="AO44" s="66">
        <v>45183.427083333336</v>
      </c>
      <c r="AP44" s="67">
        <v>3.0347529379728001E-3</v>
      </c>
      <c r="AQ44" s="68">
        <v>0.33439968599999997</v>
      </c>
      <c r="AR44" s="68">
        <v>556</v>
      </c>
      <c r="AS44" s="68">
        <f t="shared" si="17"/>
        <v>9.2666666666666675</v>
      </c>
      <c r="AT44" s="68">
        <f t="shared" si="35"/>
        <v>2.8122043891881283E-2</v>
      </c>
      <c r="AU44" s="69">
        <f t="shared" si="18"/>
        <v>0</v>
      </c>
      <c r="AW44" s="82">
        <v>45046.760416666664</v>
      </c>
      <c r="AX44" s="121">
        <v>3.7107438999999999E-2</v>
      </c>
      <c r="AY44" s="83">
        <v>82.276892649999994</v>
      </c>
      <c r="AZ44" s="121">
        <v>8202</v>
      </c>
      <c r="BA44" s="83">
        <f t="shared" si="36"/>
        <v>136.69999999999999</v>
      </c>
      <c r="BB44" s="84">
        <f t="shared" si="37"/>
        <v>5.0725869112999993</v>
      </c>
      <c r="BC44" s="83">
        <f t="shared" si="38"/>
        <v>82.262987454587801</v>
      </c>
      <c r="BE44" s="87">
        <v>45047.635416666664</v>
      </c>
      <c r="BF44" s="118">
        <v>3.8233092602070001E-2</v>
      </c>
      <c r="BG44" s="88">
        <v>84.027783200000002</v>
      </c>
      <c r="BH44" s="89">
        <v>6951</v>
      </c>
      <c r="BI44" s="90">
        <f t="shared" si="19"/>
        <v>115.85</v>
      </c>
      <c r="BJ44" s="91">
        <f t="shared" si="20"/>
        <v>4.4293037779498095</v>
      </c>
      <c r="BK44" s="91">
        <f t="shared" si="21"/>
        <v>76.977547572329826</v>
      </c>
      <c r="BM44" s="93">
        <v>45049.677083333336</v>
      </c>
      <c r="BN44">
        <v>3.8211726363623598E-2</v>
      </c>
      <c r="BO44" s="95">
        <v>106.2245245</v>
      </c>
      <c r="BP44" s="4">
        <v>8204</v>
      </c>
      <c r="BQ44" s="95">
        <f t="shared" si="22"/>
        <v>136.73333333333332</v>
      </c>
      <c r="BR44" s="94">
        <f t="shared" si="23"/>
        <v>5.2248167181194658</v>
      </c>
      <c r="BS44" s="96">
        <f t="shared" si="24"/>
        <v>83.462807818498561</v>
      </c>
      <c r="BU44" s="10">
        <v>45050.9375</v>
      </c>
      <c r="BV44" s="119">
        <v>7.8072902061341001E-2</v>
      </c>
      <c r="BW44" s="21">
        <v>114.1275401</v>
      </c>
      <c r="BX44" s="120">
        <v>4653</v>
      </c>
      <c r="BY44" s="21">
        <f t="shared" si="25"/>
        <v>77.55</v>
      </c>
      <c r="BZ44" s="21">
        <f t="shared" si="26"/>
        <v>6.0545535548569944</v>
      </c>
      <c r="CA44" s="21">
        <f t="shared" si="27"/>
        <v>89.709659716083408</v>
      </c>
    </row>
    <row r="45" spans="1:79" x14ac:dyDescent="0.25">
      <c r="A45" s="10">
        <v>44776.438194444447</v>
      </c>
      <c r="B45" s="11">
        <v>1.5323471590504799E-3</v>
      </c>
      <c r="C45" s="12">
        <v>0.71002781749999999</v>
      </c>
      <c r="D45" s="9">
        <v>100</v>
      </c>
      <c r="E45" s="13">
        <f t="shared" si="8"/>
        <v>1.6666666666666667</v>
      </c>
      <c r="F45" s="12">
        <f t="shared" si="30"/>
        <v>2.5539119317508001E-3</v>
      </c>
      <c r="G45" s="13">
        <f t="shared" si="28"/>
        <v>1.9960082421885208</v>
      </c>
      <c r="I45" s="25">
        <v>44781.438194444447</v>
      </c>
      <c r="J45" s="26">
        <v>3.6605450949931699E-3</v>
      </c>
      <c r="K45" s="27">
        <v>1.228492825</v>
      </c>
      <c r="L45" s="28">
        <v>827</v>
      </c>
      <c r="M45" s="29">
        <f t="shared" si="10"/>
        <v>13.783333333333333</v>
      </c>
      <c r="N45" s="26">
        <f t="shared" si="31"/>
        <v>5.0454513225989192E-2</v>
      </c>
      <c r="O45" s="29">
        <f t="shared" si="11"/>
        <v>0</v>
      </c>
      <c r="Q45" s="35">
        <v>45136.4375</v>
      </c>
      <c r="R45" s="71">
        <v>7.1914230595903801E-3</v>
      </c>
      <c r="S45" s="70">
        <v>0.85535298199999998</v>
      </c>
      <c r="T45" s="36">
        <v>3967</v>
      </c>
      <c r="U45" s="37">
        <f t="shared" si="12"/>
        <v>66.11666666666666</v>
      </c>
      <c r="V45" s="37">
        <f t="shared" si="32"/>
        <v>0.47547292128991725</v>
      </c>
      <c r="W45" s="38">
        <f t="shared" si="13"/>
        <v>25.807271531844108</v>
      </c>
      <c r="Y45" s="45">
        <v>45151.4375</v>
      </c>
      <c r="Z45" s="4">
        <v>5.0946192727216698E-3</v>
      </c>
      <c r="AA45" s="3">
        <v>0.59425534599999996</v>
      </c>
      <c r="AB45" s="4">
        <v>1076</v>
      </c>
      <c r="AC45" s="46">
        <f t="shared" si="14"/>
        <v>17.933333333333334</v>
      </c>
      <c r="AD45" s="47">
        <f t="shared" si="33"/>
        <v>9.1363505624141944E-2</v>
      </c>
      <c r="AE45" s="50">
        <f t="shared" si="15"/>
        <v>0</v>
      </c>
      <c r="AG45" s="51">
        <v>45166.4375</v>
      </c>
      <c r="AH45" s="72">
        <v>1.0536330408973499E-2</v>
      </c>
      <c r="AI45" s="73">
        <v>0.44939223900000003</v>
      </c>
      <c r="AJ45" s="52">
        <v>4954</v>
      </c>
      <c r="AK45" s="53">
        <f t="shared" si="16"/>
        <v>82.566666666666663</v>
      </c>
      <c r="AL45" s="72">
        <f t="shared" si="34"/>
        <v>0.8699496807675785</v>
      </c>
      <c r="AM45" s="54">
        <f t="shared" si="29"/>
        <v>34.691563207225272</v>
      </c>
      <c r="AO45" s="66">
        <v>45183.4375</v>
      </c>
      <c r="AP45" s="67">
        <v>4.3050076959034499E-3</v>
      </c>
      <c r="AQ45" s="68">
        <v>0.399936554</v>
      </c>
      <c r="AR45" s="68">
        <v>965</v>
      </c>
      <c r="AS45" s="68">
        <f t="shared" si="17"/>
        <v>16.083333333333332</v>
      </c>
      <c r="AT45" s="68">
        <f t="shared" si="35"/>
        <v>6.9238873775780474E-2</v>
      </c>
      <c r="AU45" s="69">
        <f t="shared" si="18"/>
        <v>0</v>
      </c>
      <c r="AW45" s="82">
        <v>45046.770833333336</v>
      </c>
      <c r="AX45" s="121">
        <v>4.1665016999999999E-2</v>
      </c>
      <c r="AY45" s="83">
        <v>85.762083380000007</v>
      </c>
      <c r="AZ45" s="121">
        <v>6389</v>
      </c>
      <c r="BA45" s="83">
        <f t="shared" si="36"/>
        <v>106.48333333333333</v>
      </c>
      <c r="BB45" s="84">
        <f t="shared" si="37"/>
        <v>4.4366298935500001</v>
      </c>
      <c r="BC45" s="83">
        <f t="shared" si="38"/>
        <v>77.039870709692963</v>
      </c>
      <c r="BE45" s="87">
        <v>45047.645833333336</v>
      </c>
      <c r="BF45" s="118">
        <v>4.1968666597743703E-2</v>
      </c>
      <c r="BG45" s="88">
        <v>82.718647970000006</v>
      </c>
      <c r="BH45" s="89">
        <v>6951</v>
      </c>
      <c r="BI45" s="90">
        <f t="shared" si="19"/>
        <v>115.85</v>
      </c>
      <c r="BJ45" s="91">
        <f t="shared" si="20"/>
        <v>4.8620700253486078</v>
      </c>
      <c r="BK45" s="91">
        <f t="shared" si="21"/>
        <v>80.573075096478703</v>
      </c>
      <c r="BM45" s="93">
        <v>45049.6875</v>
      </c>
      <c r="BN45">
        <v>8.6471916018175193E-2</v>
      </c>
      <c r="BO45" s="95">
        <v>101.7699069</v>
      </c>
      <c r="BP45" s="4">
        <v>5648</v>
      </c>
      <c r="BQ45" s="95">
        <f t="shared" si="22"/>
        <v>94.13333333333334</v>
      </c>
      <c r="BR45" s="94">
        <f t="shared" si="23"/>
        <v>8.1398896945108916</v>
      </c>
      <c r="BS45" s="96">
        <f t="shared" si="24"/>
        <v>103.70112832820597</v>
      </c>
      <c r="BU45" s="10">
        <v>45050.947916666664</v>
      </c>
      <c r="BV45" s="119">
        <v>7.6924984541036898E-2</v>
      </c>
      <c r="BW45" s="21">
        <v>107.0292163</v>
      </c>
      <c r="BX45" s="120">
        <v>4862</v>
      </c>
      <c r="BY45" s="21">
        <f t="shared" si="25"/>
        <v>81.033333333333331</v>
      </c>
      <c r="BZ45" s="21">
        <f t="shared" si="26"/>
        <v>6.2334879139753561</v>
      </c>
      <c r="CA45" s="21">
        <f t="shared" si="27"/>
        <v>90.998330165609516</v>
      </c>
    </row>
    <row r="46" spans="1:79" x14ac:dyDescent="0.25">
      <c r="A46" s="10">
        <v>44776.448611111111</v>
      </c>
      <c r="B46" s="11">
        <v>1.8349051903074399E-3</v>
      </c>
      <c r="C46" s="12">
        <v>0.72868923050000001</v>
      </c>
      <c r="D46" s="9">
        <v>121</v>
      </c>
      <c r="E46" s="13">
        <f t="shared" si="8"/>
        <v>2.0166666666666666</v>
      </c>
      <c r="F46" s="12">
        <f t="shared" si="30"/>
        <v>3.7003921337866704E-3</v>
      </c>
      <c r="G46" s="13">
        <f t="shared" si="28"/>
        <v>2.393450860062051</v>
      </c>
      <c r="I46" s="25">
        <v>44781.448611111111</v>
      </c>
      <c r="J46" s="26">
        <v>2.9920416967513302E-3</v>
      </c>
      <c r="K46" s="27">
        <v>1.212618097</v>
      </c>
      <c r="L46" s="28">
        <v>767</v>
      </c>
      <c r="M46" s="29">
        <f t="shared" si="10"/>
        <v>12.783333333333333</v>
      </c>
      <c r="N46" s="26">
        <f t="shared" si="31"/>
        <v>3.8248266356804506E-2</v>
      </c>
      <c r="O46" s="29">
        <f t="shared" si="11"/>
        <v>0</v>
      </c>
      <c r="Q46" s="35">
        <v>45136.447916666664</v>
      </c>
      <c r="R46" s="71">
        <v>5.5897858817166701E-3</v>
      </c>
      <c r="S46" s="70">
        <v>0.66228851600000005</v>
      </c>
      <c r="T46" s="36">
        <v>3144</v>
      </c>
      <c r="U46" s="37">
        <f t="shared" si="12"/>
        <v>52.4</v>
      </c>
      <c r="V46" s="37">
        <f t="shared" si="32"/>
        <v>0.29290478020195349</v>
      </c>
      <c r="W46" s="38">
        <f t="shared" si="13"/>
        <v>0</v>
      </c>
      <c r="Y46" s="45">
        <v>45151.447916666664</v>
      </c>
      <c r="Z46" s="4">
        <v>7.2259572661356403E-3</v>
      </c>
      <c r="AA46" s="3">
        <v>0.66228851600000005</v>
      </c>
      <c r="AB46" s="4">
        <v>1443</v>
      </c>
      <c r="AC46" s="46">
        <f t="shared" si="14"/>
        <v>24.05</v>
      </c>
      <c r="AD46" s="47">
        <f t="shared" si="33"/>
        <v>0.17378427225056214</v>
      </c>
      <c r="AE46" s="50">
        <f t="shared" si="15"/>
        <v>0</v>
      </c>
      <c r="AG46" s="51">
        <v>45166.447916666664</v>
      </c>
      <c r="AH46" s="72">
        <v>1.3016474451338101E-2</v>
      </c>
      <c r="AI46" s="73">
        <v>0.44939223900000003</v>
      </c>
      <c r="AJ46" s="52">
        <v>4748</v>
      </c>
      <c r="AK46" s="53">
        <f t="shared" si="16"/>
        <v>79.13333333333334</v>
      </c>
      <c r="AL46" s="72">
        <f t="shared" si="34"/>
        <v>1.0300370115825552</v>
      </c>
      <c r="AM46" s="54">
        <f t="shared" si="29"/>
        <v>37.683186838441159</v>
      </c>
      <c r="AO46" s="66">
        <v>45183.447916666664</v>
      </c>
      <c r="AP46" s="67">
        <v>5.0325801980003904E-3</v>
      </c>
      <c r="AQ46" s="68">
        <v>0.44894941300000002</v>
      </c>
      <c r="AR46" s="68">
        <v>1233</v>
      </c>
      <c r="AS46" s="68">
        <f t="shared" si="17"/>
        <v>20.55</v>
      </c>
      <c r="AT46" s="68">
        <f t="shared" si="35"/>
        <v>0.10341952306890803</v>
      </c>
      <c r="AU46" s="69">
        <f t="shared" si="18"/>
        <v>0</v>
      </c>
      <c r="AW46" s="82">
        <v>45046.78125</v>
      </c>
      <c r="AX46" s="121">
        <v>5.3859668999999999E-2</v>
      </c>
      <c r="AY46" s="83">
        <v>85.762083380000007</v>
      </c>
      <c r="AZ46" s="121">
        <v>6559</v>
      </c>
      <c r="BA46" s="83">
        <f t="shared" si="36"/>
        <v>109.31666666666666</v>
      </c>
      <c r="BB46" s="84">
        <f t="shared" si="37"/>
        <v>5.8877594828499999</v>
      </c>
      <c r="BC46" s="83">
        <f t="shared" si="38"/>
        <v>88.490803262610711</v>
      </c>
      <c r="BE46" s="87">
        <v>45047.65625</v>
      </c>
      <c r="BF46" s="118">
        <v>3.9625525231903901E-2</v>
      </c>
      <c r="BG46" s="88">
        <v>87.494480339999996</v>
      </c>
      <c r="BH46" s="89">
        <v>6813</v>
      </c>
      <c r="BI46" s="90">
        <f t="shared" si="19"/>
        <v>113.55</v>
      </c>
      <c r="BJ46" s="91">
        <f t="shared" si="20"/>
        <v>4.4994783900826878</v>
      </c>
      <c r="BK46" s="91">
        <f t="shared" si="21"/>
        <v>77.572378438807007</v>
      </c>
      <c r="BM46" s="93">
        <v>45049.697916666664</v>
      </c>
      <c r="BN46">
        <v>0.101483844069199</v>
      </c>
      <c r="BO46" s="95">
        <v>106.2245245</v>
      </c>
      <c r="BP46" s="4">
        <v>3395</v>
      </c>
      <c r="BQ46" s="95">
        <f t="shared" si="22"/>
        <v>56.583333333333336</v>
      </c>
      <c r="BR46" s="94">
        <f t="shared" si="23"/>
        <v>5.74229417691551</v>
      </c>
      <c r="BS46" s="96">
        <f t="shared" si="24"/>
        <v>87.413343389784544</v>
      </c>
      <c r="BU46" s="10">
        <v>45050.958333333336</v>
      </c>
      <c r="BV46" s="119">
        <v>8.0397566198641204E-2</v>
      </c>
      <c r="BW46" s="21">
        <v>112.9598134</v>
      </c>
      <c r="BX46" s="120">
        <v>4767</v>
      </c>
      <c r="BY46" s="21">
        <f t="shared" si="25"/>
        <v>79.45</v>
      </c>
      <c r="BZ46" s="21">
        <f t="shared" si="26"/>
        <v>6.3875866344820436</v>
      </c>
      <c r="CA46" s="21">
        <f t="shared" si="27"/>
        <v>92.09308581435441</v>
      </c>
    </row>
    <row r="47" spans="1:79" x14ac:dyDescent="0.25">
      <c r="A47" s="10">
        <v>44776.459027777775</v>
      </c>
      <c r="B47" s="11">
        <v>1.3362125891374899E-3</v>
      </c>
      <c r="C47" s="12">
        <v>0.66863318549999995</v>
      </c>
      <c r="D47" s="9">
        <v>95</v>
      </c>
      <c r="E47" s="13">
        <f t="shared" si="8"/>
        <v>1.5833333333333333</v>
      </c>
      <c r="F47" s="12">
        <f t="shared" si="30"/>
        <v>2.1156699328010258E-3</v>
      </c>
      <c r="G47" s="13">
        <f t="shared" si="28"/>
        <v>1.8202265142136964</v>
      </c>
      <c r="I47" s="25">
        <v>44781.459027777775</v>
      </c>
      <c r="J47" s="26">
        <v>3.6286534058963698E-3</v>
      </c>
      <c r="K47" s="27">
        <v>1.2029581084999901</v>
      </c>
      <c r="L47" s="28">
        <v>849</v>
      </c>
      <c r="M47" s="29">
        <f t="shared" si="10"/>
        <v>14.15</v>
      </c>
      <c r="N47" s="26">
        <f t="shared" si="31"/>
        <v>5.1345445693433633E-2</v>
      </c>
      <c r="O47" s="29">
        <f t="shared" si="11"/>
        <v>0</v>
      </c>
      <c r="Q47" s="35">
        <v>45136.458333333336</v>
      </c>
      <c r="R47" s="71">
        <v>3.7332386039585601E-3</v>
      </c>
      <c r="S47" s="70">
        <v>0.475692385</v>
      </c>
      <c r="T47" s="36">
        <v>1263</v>
      </c>
      <c r="U47" s="37">
        <f t="shared" si="12"/>
        <v>21.05</v>
      </c>
      <c r="V47" s="37">
        <f t="shared" si="32"/>
        <v>7.8584672613327688E-2</v>
      </c>
      <c r="W47" s="38">
        <f t="shared" si="13"/>
        <v>0</v>
      </c>
      <c r="Y47" s="45">
        <v>45151.458333333336</v>
      </c>
      <c r="Z47" s="4">
        <v>5.4511975980878697E-3</v>
      </c>
      <c r="AA47" s="3">
        <v>0.59425534599999996</v>
      </c>
      <c r="AB47" s="4">
        <v>1196</v>
      </c>
      <c r="AC47" s="46">
        <f t="shared" si="14"/>
        <v>19.933333333333334</v>
      </c>
      <c r="AD47" s="47">
        <f t="shared" si="33"/>
        <v>0.10866053878855153</v>
      </c>
      <c r="AE47" s="50">
        <f t="shared" si="15"/>
        <v>0</v>
      </c>
      <c r="AG47" s="51">
        <v>45166.458333333336</v>
      </c>
      <c r="AH47" s="72">
        <v>1.4131578061917701E-2</v>
      </c>
      <c r="AI47" s="73">
        <v>0.44939223900000003</v>
      </c>
      <c r="AJ47" s="52">
        <v>5180</v>
      </c>
      <c r="AK47" s="53">
        <f t="shared" si="16"/>
        <v>86.333333333333329</v>
      </c>
      <c r="AL47" s="72">
        <f t="shared" si="34"/>
        <v>1.2200262393455614</v>
      </c>
      <c r="AM47" s="54">
        <f t="shared" si="29"/>
        <v>40.94006952406091</v>
      </c>
      <c r="AO47" s="66">
        <v>45183.458333333336</v>
      </c>
      <c r="AP47" s="67">
        <v>4.59052443231848E-3</v>
      </c>
      <c r="AQ47" s="68">
        <v>0.376777213</v>
      </c>
      <c r="AR47" s="68">
        <v>858</v>
      </c>
      <c r="AS47" s="68">
        <f t="shared" si="17"/>
        <v>14.3</v>
      </c>
      <c r="AT47" s="68">
        <f t="shared" si="35"/>
        <v>6.5644499382154262E-2</v>
      </c>
      <c r="AU47" s="69">
        <f t="shared" si="18"/>
        <v>0</v>
      </c>
      <c r="AW47" s="82">
        <v>45046.791666666664</v>
      </c>
      <c r="AX47" s="121">
        <v>4.5875403000000002E-2</v>
      </c>
      <c r="AY47" s="83">
        <v>84.891986889999998</v>
      </c>
      <c r="AZ47" s="121">
        <v>6946</v>
      </c>
      <c r="BA47" s="83">
        <f t="shared" si="36"/>
        <v>115.76666666666667</v>
      </c>
      <c r="BB47" s="84">
        <f t="shared" si="37"/>
        <v>5.3108424873000004</v>
      </c>
      <c r="BC47" s="83">
        <f t="shared" si="38"/>
        <v>84.132950554715677</v>
      </c>
      <c r="BE47" s="87">
        <v>45047.708333333336</v>
      </c>
      <c r="BF47" s="118">
        <v>3.8100968407537003E-2</v>
      </c>
      <c r="BG47" s="88">
        <v>85.323607859999996</v>
      </c>
      <c r="BH47" s="89">
        <v>6843</v>
      </c>
      <c r="BI47" s="90">
        <f t="shared" si="19"/>
        <v>114.05</v>
      </c>
      <c r="BJ47" s="91">
        <f t="shared" si="20"/>
        <v>4.3454154468795947</v>
      </c>
      <c r="BK47" s="91">
        <f t="shared" si="21"/>
        <v>76.260126646499643</v>
      </c>
      <c r="BM47" s="93">
        <v>45049.708333333336</v>
      </c>
      <c r="BN47">
        <v>9.8266774819539798E-2</v>
      </c>
      <c r="BO47" s="95">
        <v>109.0251016</v>
      </c>
      <c r="BP47" s="4">
        <v>3609</v>
      </c>
      <c r="BQ47" s="95">
        <f t="shared" si="22"/>
        <v>60.15</v>
      </c>
      <c r="BR47" s="94">
        <f t="shared" si="23"/>
        <v>5.910746505395319</v>
      </c>
      <c r="BS47" s="96">
        <f t="shared" si="24"/>
        <v>88.659819687119949</v>
      </c>
      <c r="BU47" s="10">
        <v>45050.96875</v>
      </c>
      <c r="BV47" s="119">
        <v>7.9014152565006698E-2</v>
      </c>
      <c r="BW47" s="21">
        <v>110.9974619</v>
      </c>
      <c r="BX47" s="120">
        <v>4856</v>
      </c>
      <c r="BY47" s="21">
        <f t="shared" si="25"/>
        <v>80.933333333333337</v>
      </c>
      <c r="BZ47" s="21">
        <f t="shared" si="26"/>
        <v>6.3948787475945421</v>
      </c>
      <c r="CA47" s="21">
        <f t="shared" si="27"/>
        <v>92.144554997418936</v>
      </c>
    </row>
    <row r="48" spans="1:79" x14ac:dyDescent="0.25">
      <c r="A48" s="10">
        <v>44776.469444444447</v>
      </c>
      <c r="B48" s="11">
        <v>1.57749098484379E-3</v>
      </c>
      <c r="C48" s="12">
        <v>0.65794700399999995</v>
      </c>
      <c r="D48" s="9">
        <v>89</v>
      </c>
      <c r="E48" s="13">
        <f t="shared" si="8"/>
        <v>1.4833333333333334</v>
      </c>
      <c r="F48" s="12">
        <f t="shared" si="30"/>
        <v>2.3399449608516218E-3</v>
      </c>
      <c r="G48" s="13">
        <f t="shared" si="28"/>
        <v>1.9122893030964594</v>
      </c>
      <c r="I48" s="25">
        <v>44781.469444444447</v>
      </c>
      <c r="J48" s="26">
        <v>3.1493245660237702E-3</v>
      </c>
      <c r="K48" s="27">
        <v>1.1786703704999999</v>
      </c>
      <c r="L48" s="28">
        <v>801</v>
      </c>
      <c r="M48" s="29">
        <f t="shared" si="10"/>
        <v>13.35</v>
      </c>
      <c r="N48" s="26">
        <f t="shared" si="31"/>
        <v>4.2043482956417327E-2</v>
      </c>
      <c r="O48" s="29">
        <f t="shared" si="11"/>
        <v>0</v>
      </c>
      <c r="Q48" s="35">
        <v>45136.46875</v>
      </c>
      <c r="R48" s="71">
        <v>6.6261927688387101E-3</v>
      </c>
      <c r="S48" s="70">
        <v>0.77321039300000005</v>
      </c>
      <c r="T48" s="36">
        <v>3412</v>
      </c>
      <c r="U48" s="37">
        <f t="shared" si="12"/>
        <v>56.866666666666667</v>
      </c>
      <c r="V48" s="37">
        <f t="shared" si="32"/>
        <v>0.376809495454628</v>
      </c>
      <c r="W48" s="38">
        <f t="shared" si="13"/>
        <v>23.029285130619289</v>
      </c>
      <c r="Y48" s="45">
        <v>45151.46875</v>
      </c>
      <c r="Z48" s="4">
        <v>5.71809601586296E-3</v>
      </c>
      <c r="AA48" s="3">
        <v>0.59425534599999996</v>
      </c>
      <c r="AB48" s="4">
        <v>1299</v>
      </c>
      <c r="AC48" s="46">
        <f t="shared" si="14"/>
        <v>21.65</v>
      </c>
      <c r="AD48" s="47">
        <f t="shared" si="33"/>
        <v>0.12379677874343308</v>
      </c>
      <c r="AE48" s="50">
        <f t="shared" si="15"/>
        <v>0</v>
      </c>
      <c r="AG48" s="51">
        <v>45166.46875</v>
      </c>
      <c r="AH48" s="72">
        <v>8.1139714277344809E-3</v>
      </c>
      <c r="AI48" s="73">
        <v>0.377160934</v>
      </c>
      <c r="AJ48" s="52">
        <v>3712</v>
      </c>
      <c r="AK48" s="53">
        <f t="shared" si="16"/>
        <v>61.866666666666667</v>
      </c>
      <c r="AL48" s="72">
        <f t="shared" si="34"/>
        <v>0.50198436566250659</v>
      </c>
      <c r="AM48" s="54">
        <f t="shared" si="29"/>
        <v>26.502178779401593</v>
      </c>
      <c r="AO48" s="66">
        <v>45183.46875</v>
      </c>
      <c r="AP48" s="67">
        <v>5.43883589558097E-3</v>
      </c>
      <c r="AQ48" s="68">
        <v>0.44894941300000002</v>
      </c>
      <c r="AR48" s="68">
        <v>1260</v>
      </c>
      <c r="AS48" s="68">
        <f t="shared" si="17"/>
        <v>21</v>
      </c>
      <c r="AT48" s="68">
        <f t="shared" si="35"/>
        <v>0.11421555380720037</v>
      </c>
      <c r="AU48" s="69">
        <f t="shared" si="18"/>
        <v>0</v>
      </c>
      <c r="AW48" s="82">
        <v>45046.802083333336</v>
      </c>
      <c r="AX48" s="121">
        <v>4.8170641E-2</v>
      </c>
      <c r="AY48" s="83">
        <v>83.586986100000004</v>
      </c>
      <c r="AZ48" s="121">
        <v>6007</v>
      </c>
      <c r="BA48" s="83">
        <f t="shared" si="36"/>
        <v>100.11666666666666</v>
      </c>
      <c r="BB48" s="84">
        <f t="shared" si="37"/>
        <v>4.8226840081166662</v>
      </c>
      <c r="BC48" s="83">
        <f t="shared" si="38"/>
        <v>80.252786642949317</v>
      </c>
      <c r="BE48" s="87">
        <v>45047.71875</v>
      </c>
      <c r="BF48" s="118">
        <v>3.8870706739779902E-2</v>
      </c>
      <c r="BG48" s="88">
        <v>84.020316870000002</v>
      </c>
      <c r="BH48" s="89">
        <v>6747</v>
      </c>
      <c r="BI48" s="90">
        <f t="shared" si="19"/>
        <v>112.45</v>
      </c>
      <c r="BJ48" s="91">
        <f t="shared" si="20"/>
        <v>4.37101097288825</v>
      </c>
      <c r="BK48" s="91">
        <f t="shared" si="21"/>
        <v>76.479765477308888</v>
      </c>
      <c r="BM48" s="93">
        <v>45049.71875</v>
      </c>
      <c r="BN48">
        <v>0.116324421671541</v>
      </c>
      <c r="BO48" s="95">
        <v>112.18199679999999</v>
      </c>
      <c r="BP48" s="4">
        <v>3342</v>
      </c>
      <c r="BQ48" s="95">
        <f t="shared" si="22"/>
        <v>55.7</v>
      </c>
      <c r="BR48" s="94">
        <f t="shared" si="23"/>
        <v>6.4792702871048338</v>
      </c>
      <c r="BS48" s="96">
        <f t="shared" si="24"/>
        <v>92.738042042116604</v>
      </c>
      <c r="BU48" s="10">
        <v>45050.979166666664</v>
      </c>
      <c r="BV48" s="119">
        <v>7.8127255268186799E-2</v>
      </c>
      <c r="BW48" s="21">
        <v>107.8305381</v>
      </c>
      <c r="BX48" s="120">
        <v>4667</v>
      </c>
      <c r="BY48" s="21">
        <f t="shared" si="25"/>
        <v>77.783333333333331</v>
      </c>
      <c r="BZ48" s="21">
        <f t="shared" si="26"/>
        <v>6.0769983389437963</v>
      </c>
      <c r="CA48" s="21">
        <f t="shared" si="27"/>
        <v>89.872361534852587</v>
      </c>
    </row>
    <row r="49" spans="1:79" x14ac:dyDescent="0.25">
      <c r="A49" s="10">
        <v>44776.479861111111</v>
      </c>
      <c r="B49" s="11">
        <v>1.88072315721025E-3</v>
      </c>
      <c r="C49" s="12">
        <v>0.69552619199999999</v>
      </c>
      <c r="D49" s="9">
        <v>127</v>
      </c>
      <c r="E49" s="13">
        <f t="shared" si="8"/>
        <v>2.1166666666666667</v>
      </c>
      <c r="F49" s="12">
        <f t="shared" si="30"/>
        <v>3.9808640160950296E-3</v>
      </c>
      <c r="G49" s="13">
        <f t="shared" si="28"/>
        <v>2.4806328887058307</v>
      </c>
      <c r="I49" s="25">
        <v>44781.479861111111</v>
      </c>
      <c r="J49" s="26">
        <v>3.35735845027515E-3</v>
      </c>
      <c r="K49" s="27">
        <v>1.251653779</v>
      </c>
      <c r="L49" s="28">
        <v>837</v>
      </c>
      <c r="M49" s="29">
        <f t="shared" si="10"/>
        <v>13.95</v>
      </c>
      <c r="N49" s="26">
        <f t="shared" si="31"/>
        <v>4.6835150381338342E-2</v>
      </c>
      <c r="O49" s="29">
        <f t="shared" si="11"/>
        <v>0</v>
      </c>
      <c r="Q49" s="35">
        <v>45136.479166666664</v>
      </c>
      <c r="R49" s="71">
        <v>4.9496387641399797E-3</v>
      </c>
      <c r="S49" s="70">
        <v>0.56216848100000005</v>
      </c>
      <c r="T49" s="36">
        <v>2314</v>
      </c>
      <c r="U49" s="37">
        <f t="shared" si="12"/>
        <v>38.56666666666667</v>
      </c>
      <c r="V49" s="37">
        <f t="shared" si="32"/>
        <v>0.19089106833699857</v>
      </c>
      <c r="W49" s="38">
        <f t="shared" si="13"/>
        <v>0</v>
      </c>
      <c r="Y49" s="45">
        <v>45151.479166666664</v>
      </c>
      <c r="Z49" s="4">
        <v>3.59740281805622E-3</v>
      </c>
      <c r="AA49" s="3">
        <v>0.42386643899999998</v>
      </c>
      <c r="AB49" s="4">
        <v>602</v>
      </c>
      <c r="AC49" s="46">
        <f t="shared" si="14"/>
        <v>10.033333333333333</v>
      </c>
      <c r="AD49" s="47">
        <f t="shared" si="33"/>
        <v>3.6093941607830742E-2</v>
      </c>
      <c r="AE49" s="50">
        <f t="shared" si="15"/>
        <v>0</v>
      </c>
      <c r="AG49" s="51">
        <v>45166.479166666664</v>
      </c>
      <c r="AH49" s="72">
        <v>8.2288900462328396E-3</v>
      </c>
      <c r="AI49" s="73">
        <v>0.377160934</v>
      </c>
      <c r="AJ49" s="52">
        <v>4056</v>
      </c>
      <c r="AK49" s="53">
        <f t="shared" si="16"/>
        <v>67.599999999999994</v>
      </c>
      <c r="AL49" s="72">
        <f t="shared" si="34"/>
        <v>0.55627296712533991</v>
      </c>
      <c r="AM49" s="54">
        <f t="shared" si="29"/>
        <v>27.868981957172135</v>
      </c>
      <c r="AO49" s="66">
        <v>45183.479166666664</v>
      </c>
      <c r="AP49" s="67">
        <v>4.9756135295642096E-3</v>
      </c>
      <c r="AQ49" s="68">
        <v>0.44894941300000002</v>
      </c>
      <c r="AR49" s="68">
        <v>1271</v>
      </c>
      <c r="AS49" s="68">
        <f t="shared" si="17"/>
        <v>21.183333333333334</v>
      </c>
      <c r="AT49" s="68">
        <f t="shared" si="35"/>
        <v>0.10540007993460183</v>
      </c>
      <c r="AU49" s="69">
        <f t="shared" si="18"/>
        <v>0</v>
      </c>
      <c r="AW49" s="82">
        <v>45046.8125</v>
      </c>
      <c r="AX49" s="121">
        <v>4.5163926E-2</v>
      </c>
      <c r="AY49" s="83">
        <v>85.762083380000007</v>
      </c>
      <c r="AZ49" s="121">
        <v>6513</v>
      </c>
      <c r="BA49" s="83">
        <f t="shared" si="36"/>
        <v>108.55</v>
      </c>
      <c r="BB49" s="84">
        <f t="shared" si="37"/>
        <v>4.9025441673000003</v>
      </c>
      <c r="BC49" s="83">
        <f t="shared" si="38"/>
        <v>80.900835828363043</v>
      </c>
      <c r="BE49" s="87">
        <v>45047.729166666664</v>
      </c>
      <c r="BF49" s="118">
        <v>3.8969982262399602E-2</v>
      </c>
      <c r="BG49" s="88">
        <v>85.323607859999996</v>
      </c>
      <c r="BH49" s="89">
        <v>6626</v>
      </c>
      <c r="BI49" s="90">
        <f t="shared" si="19"/>
        <v>110.43333333333334</v>
      </c>
      <c r="BJ49" s="91">
        <f t="shared" si="20"/>
        <v>4.3035850411776631</v>
      </c>
      <c r="BK49" s="91">
        <f t="shared" si="21"/>
        <v>75.899748061847362</v>
      </c>
      <c r="BM49" s="93">
        <v>45049.729166666664</v>
      </c>
      <c r="BN49">
        <v>9.7484018750784399E-2</v>
      </c>
      <c r="BO49" s="95">
        <v>105.0166174</v>
      </c>
      <c r="BP49" s="4">
        <v>3590</v>
      </c>
      <c r="BQ49" s="95">
        <f t="shared" si="22"/>
        <v>59.833333333333336</v>
      </c>
      <c r="BR49" s="94">
        <f t="shared" si="23"/>
        <v>5.8327937885886003</v>
      </c>
      <c r="BS49" s="96">
        <f t="shared" si="24"/>
        <v>88.085287232976739</v>
      </c>
      <c r="BU49" s="10">
        <v>45050.989583333336</v>
      </c>
      <c r="BV49" s="119">
        <v>8.6189387700503398E-2</v>
      </c>
      <c r="BW49" s="21">
        <v>109.0251016</v>
      </c>
      <c r="BX49" s="120">
        <v>4667</v>
      </c>
      <c r="BY49" s="21">
        <f t="shared" si="25"/>
        <v>77.783333333333331</v>
      </c>
      <c r="BZ49" s="21">
        <f t="shared" si="26"/>
        <v>6.7040978733041561</v>
      </c>
      <c r="CA49" s="21">
        <f t="shared" si="27"/>
        <v>94.300166620277253</v>
      </c>
    </row>
    <row r="50" spans="1:79" x14ac:dyDescent="0.25">
      <c r="A50" s="10">
        <v>44776.490277777775</v>
      </c>
      <c r="B50" s="11">
        <v>1.49764535066663E-3</v>
      </c>
      <c r="C50" s="12">
        <v>0.73331566249999902</v>
      </c>
      <c r="D50" s="9">
        <v>110</v>
      </c>
      <c r="E50" s="13">
        <f t="shared" si="8"/>
        <v>1.8333333333333333</v>
      </c>
      <c r="F50" s="12">
        <f t="shared" si="30"/>
        <v>2.7456831428888215E-3</v>
      </c>
      <c r="G50" s="13">
        <f t="shared" si="28"/>
        <v>2.0680484163617989</v>
      </c>
      <c r="I50" s="25">
        <v>44781.490277777775</v>
      </c>
      <c r="J50" s="26">
        <v>3.3282184882447402E-3</v>
      </c>
      <c r="K50" s="27">
        <v>1.2937263295000001</v>
      </c>
      <c r="L50" s="28">
        <v>901</v>
      </c>
      <c r="M50" s="29">
        <f t="shared" si="10"/>
        <v>15.016666666666667</v>
      </c>
      <c r="N50" s="26">
        <f t="shared" si="31"/>
        <v>4.9978747631808519E-2</v>
      </c>
      <c r="O50" s="29">
        <f t="shared" si="11"/>
        <v>0</v>
      </c>
      <c r="Q50" s="35">
        <v>45136.489583333336</v>
      </c>
      <c r="R50" s="71">
        <v>7.5254533645734796E-3</v>
      </c>
      <c r="S50" s="70">
        <v>0.73432993800000002</v>
      </c>
      <c r="T50" s="36">
        <v>3094</v>
      </c>
      <c r="U50" s="37">
        <f t="shared" si="12"/>
        <v>51.56666666666667</v>
      </c>
      <c r="V50" s="37">
        <f t="shared" si="32"/>
        <v>0.38806254516650579</v>
      </c>
      <c r="W50" s="38">
        <f t="shared" si="13"/>
        <v>23.363546554934821</v>
      </c>
      <c r="Y50" s="45">
        <v>45151.489583333336</v>
      </c>
      <c r="Z50" s="4">
        <v>5.3495256449413702E-3</v>
      </c>
      <c r="AA50" s="3">
        <v>0.66228851600000005</v>
      </c>
      <c r="AB50" s="4">
        <v>1439</v>
      </c>
      <c r="AC50" s="46">
        <f t="shared" si="14"/>
        <v>23.983333333333334</v>
      </c>
      <c r="AD50" s="47">
        <f t="shared" si="33"/>
        <v>0.12829945671784387</v>
      </c>
      <c r="AE50" s="50">
        <f t="shared" si="15"/>
        <v>0</v>
      </c>
      <c r="AG50" s="51">
        <v>45166.489583333336</v>
      </c>
      <c r="AH50" s="72">
        <v>1.3045911178820599E-2</v>
      </c>
      <c r="AI50" s="73">
        <v>0.44939223900000003</v>
      </c>
      <c r="AJ50" s="52">
        <v>5197</v>
      </c>
      <c r="AK50" s="53">
        <f t="shared" si="16"/>
        <v>86.61666666666666</v>
      </c>
      <c r="AL50" s="72">
        <f t="shared" si="34"/>
        <v>1.1299933399388442</v>
      </c>
      <c r="AM50" s="54">
        <f t="shared" si="29"/>
        <v>39.431641163362293</v>
      </c>
      <c r="AO50" s="66">
        <v>45183.489583333336</v>
      </c>
      <c r="AP50" s="67">
        <v>4.7343069462729998E-3</v>
      </c>
      <c r="AQ50" s="68">
        <v>0.44894941300000002</v>
      </c>
      <c r="AR50" s="68">
        <v>1186</v>
      </c>
      <c r="AS50" s="68">
        <f t="shared" si="17"/>
        <v>19.766666666666666</v>
      </c>
      <c r="AT50" s="68">
        <f t="shared" si="35"/>
        <v>9.3581467304662963E-2</v>
      </c>
      <c r="AU50" s="69">
        <f t="shared" si="18"/>
        <v>0</v>
      </c>
      <c r="AW50" s="82">
        <v>45046.822916666664</v>
      </c>
      <c r="AX50" s="121">
        <v>3.8424170000000001E-2</v>
      </c>
      <c r="AY50" s="83">
        <v>84.891986889999998</v>
      </c>
      <c r="AZ50" s="121">
        <v>7559</v>
      </c>
      <c r="BA50" s="83">
        <f t="shared" si="36"/>
        <v>125.98333333333333</v>
      </c>
      <c r="BB50" s="84">
        <f t="shared" si="37"/>
        <v>4.8408050171666668</v>
      </c>
      <c r="BC50" s="83">
        <f t="shared" si="38"/>
        <v>80.400312456493324</v>
      </c>
      <c r="BE50" s="87">
        <v>45047.739583333336</v>
      </c>
      <c r="BF50" s="118">
        <v>4.0596798057392497E-2</v>
      </c>
      <c r="BG50" s="88">
        <v>85.323607859999996</v>
      </c>
      <c r="BH50" s="89">
        <v>6782</v>
      </c>
      <c r="BI50" s="90">
        <f t="shared" si="19"/>
        <v>113.03333333333333</v>
      </c>
      <c r="BJ50" s="91">
        <f t="shared" si="20"/>
        <v>4.5887914070872649</v>
      </c>
      <c r="BK50" s="91">
        <f t="shared" si="21"/>
        <v>78.322629276989787</v>
      </c>
      <c r="BM50" s="93">
        <v>45049.739583333336</v>
      </c>
      <c r="BN50">
        <v>9.1606533761781003E-2</v>
      </c>
      <c r="BO50" s="95">
        <v>105.0166174</v>
      </c>
      <c r="BP50" s="4">
        <v>3568</v>
      </c>
      <c r="BQ50" s="95">
        <f t="shared" si="22"/>
        <v>59.466666666666669</v>
      </c>
      <c r="BR50" s="94">
        <f t="shared" si="23"/>
        <v>5.447535207700577</v>
      </c>
      <c r="BS50" s="96">
        <f t="shared" si="24"/>
        <v>85.186496090273181</v>
      </c>
      <c r="BU50" s="10">
        <v>45051</v>
      </c>
      <c r="BV50" s="119">
        <v>8.5362383611256004E-2</v>
      </c>
      <c r="BW50" s="21">
        <v>115.2898797</v>
      </c>
      <c r="BX50" s="120">
        <v>4567</v>
      </c>
      <c r="BY50" s="21">
        <f t="shared" si="25"/>
        <v>76.11666666666666</v>
      </c>
      <c r="BZ50" s="21">
        <f t="shared" si="26"/>
        <v>6.497500099210102</v>
      </c>
      <c r="CA50" s="21">
        <f t="shared" si="27"/>
        <v>92.865724924964567</v>
      </c>
    </row>
    <row r="51" spans="1:79" x14ac:dyDescent="0.25">
      <c r="A51" s="10">
        <v>44776.500694444447</v>
      </c>
      <c r="B51" s="11">
        <v>1.44990757909898E-3</v>
      </c>
      <c r="C51" s="12">
        <v>0.74682702999999995</v>
      </c>
      <c r="D51" s="9">
        <v>128</v>
      </c>
      <c r="E51" s="13">
        <f t="shared" si="8"/>
        <v>2.1333333333333333</v>
      </c>
      <c r="F51" s="12">
        <f t="shared" si="30"/>
        <v>3.0931361687444904E-3</v>
      </c>
      <c r="G51" s="13">
        <f t="shared" si="28"/>
        <v>2.1923101887379342</v>
      </c>
      <c r="I51" s="25">
        <v>44781.500694444447</v>
      </c>
      <c r="J51" s="26">
        <v>3.0087789011748198E-3</v>
      </c>
      <c r="K51" s="27">
        <v>1.1877777380000001</v>
      </c>
      <c r="L51" s="28">
        <v>844</v>
      </c>
      <c r="M51" s="29">
        <f t="shared" si="10"/>
        <v>14.066666666666666</v>
      </c>
      <c r="N51" s="26">
        <f t="shared" si="31"/>
        <v>4.2323489876525795E-2</v>
      </c>
      <c r="O51" s="29">
        <f t="shared" si="11"/>
        <v>0</v>
      </c>
      <c r="Q51" s="35">
        <v>45136.5</v>
      </c>
      <c r="R51" s="71">
        <v>9.0030645332755295E-3</v>
      </c>
      <c r="S51" s="70">
        <v>0.85462156099999997</v>
      </c>
      <c r="T51" s="36">
        <v>3866</v>
      </c>
      <c r="U51" s="37">
        <f t="shared" si="12"/>
        <v>64.433333333333337</v>
      </c>
      <c r="V51" s="37">
        <f t="shared" si="32"/>
        <v>0.58009745809405333</v>
      </c>
      <c r="W51" s="38">
        <f t="shared" si="13"/>
        <v>28.447231957877804</v>
      </c>
      <c r="Y51" s="45">
        <v>45151.5</v>
      </c>
      <c r="Z51" s="4">
        <v>4.09028408030315E-3</v>
      </c>
      <c r="AA51" s="3">
        <v>0.53201108200000002</v>
      </c>
      <c r="AB51" s="4">
        <v>1006</v>
      </c>
      <c r="AC51" s="46">
        <f t="shared" si="14"/>
        <v>16.766666666666666</v>
      </c>
      <c r="AD51" s="47">
        <f t="shared" si="33"/>
        <v>6.8580429746416149E-2</v>
      </c>
      <c r="AE51" s="50">
        <f t="shared" si="15"/>
        <v>0</v>
      </c>
      <c r="AG51" s="51">
        <v>45166.5</v>
      </c>
      <c r="AH51" s="72">
        <v>8.9315088498678995E-3</v>
      </c>
      <c r="AI51" s="73">
        <v>0.33439968599999997</v>
      </c>
      <c r="AJ51" s="52">
        <v>3374</v>
      </c>
      <c r="AK51" s="53">
        <f t="shared" si="16"/>
        <v>56.233333333333334</v>
      </c>
      <c r="AL51" s="72">
        <f t="shared" si="34"/>
        <v>0.50224851432423823</v>
      </c>
      <c r="AM51" s="54">
        <f t="shared" si="29"/>
        <v>26.50900706392347</v>
      </c>
      <c r="AO51" s="66">
        <v>45183.5</v>
      </c>
      <c r="AP51" s="67">
        <v>4.7910827052805201E-3</v>
      </c>
      <c r="AQ51" s="68">
        <v>0.44894941300000002</v>
      </c>
      <c r="AR51" s="68">
        <v>1296</v>
      </c>
      <c r="AS51" s="68">
        <f t="shared" si="17"/>
        <v>21.6</v>
      </c>
      <c r="AT51" s="68">
        <f t="shared" si="35"/>
        <v>0.10348738643405923</v>
      </c>
      <c r="AU51" s="69">
        <f t="shared" si="18"/>
        <v>0</v>
      </c>
      <c r="AW51" s="82">
        <v>45046.833333333336</v>
      </c>
      <c r="AX51" s="121">
        <v>3.7696868000000001E-2</v>
      </c>
      <c r="AY51" s="83">
        <v>83.586986100000004</v>
      </c>
      <c r="AZ51" s="121">
        <v>7781</v>
      </c>
      <c r="BA51" s="83">
        <f t="shared" si="36"/>
        <v>129.68333333333334</v>
      </c>
      <c r="BB51" s="84">
        <f t="shared" si="37"/>
        <v>4.888655498466667</v>
      </c>
      <c r="BC51" s="83">
        <f t="shared" si="38"/>
        <v>80.788521161062619</v>
      </c>
      <c r="BE51" s="87">
        <v>45047.75</v>
      </c>
      <c r="BF51" s="118">
        <v>4.1567105547000299E-2</v>
      </c>
      <c r="BG51" s="88">
        <v>86.192545629999998</v>
      </c>
      <c r="BH51" s="89">
        <v>6764</v>
      </c>
      <c r="BI51" s="90">
        <f t="shared" si="19"/>
        <v>112.73333333333333</v>
      </c>
      <c r="BJ51" s="91">
        <f t="shared" si="20"/>
        <v>4.6859983653318338</v>
      </c>
      <c r="BK51" s="91">
        <f t="shared" si="21"/>
        <v>79.130770975385673</v>
      </c>
      <c r="BM51" s="93">
        <v>45049.75</v>
      </c>
      <c r="BN51">
        <v>0.104428712593764</v>
      </c>
      <c r="BO51" s="95">
        <v>109.0251016</v>
      </c>
      <c r="BP51" s="4">
        <v>3686</v>
      </c>
      <c r="BQ51" s="95">
        <f t="shared" si="22"/>
        <v>61.43333333333333</v>
      </c>
      <c r="BR51" s="94">
        <f t="shared" si="23"/>
        <v>6.4154039103435681</v>
      </c>
      <c r="BS51" s="96">
        <f t="shared" si="24"/>
        <v>92.289265097919056</v>
      </c>
      <c r="BU51" s="10">
        <v>45051.010416666664</v>
      </c>
      <c r="BV51" s="119">
        <v>9.1677339327990895E-2</v>
      </c>
      <c r="BW51" s="21">
        <v>104.61473460000001</v>
      </c>
      <c r="BX51" s="120">
        <v>4519</v>
      </c>
      <c r="BY51" s="21">
        <f t="shared" si="25"/>
        <v>75.316666666666663</v>
      </c>
      <c r="BZ51" s="21">
        <f t="shared" si="26"/>
        <v>6.9048316070531808</v>
      </c>
      <c r="CA51" s="21">
        <f t="shared" si="27"/>
        <v>95.672442518428866</v>
      </c>
    </row>
    <row r="52" spans="1:79" x14ac:dyDescent="0.25">
      <c r="A52" s="10">
        <v>44776.511111111111</v>
      </c>
      <c r="B52" s="11">
        <v>1.6445534406063201E-3</v>
      </c>
      <c r="C52" s="12">
        <v>0.76967573</v>
      </c>
      <c r="D52" s="9">
        <v>131</v>
      </c>
      <c r="E52" s="13">
        <f t="shared" si="8"/>
        <v>2.1833333333333331</v>
      </c>
      <c r="F52" s="12">
        <f t="shared" si="30"/>
        <v>3.5906083453237985E-3</v>
      </c>
      <c r="G52" s="13">
        <f t="shared" si="28"/>
        <v>2.3584103922725554</v>
      </c>
      <c r="I52" s="25">
        <v>44781.511111111111</v>
      </c>
      <c r="J52" s="26">
        <v>3.6192184068272399E-3</v>
      </c>
      <c r="K52" s="27">
        <v>1.141804142</v>
      </c>
      <c r="L52" s="28">
        <v>754</v>
      </c>
      <c r="M52" s="29">
        <f t="shared" si="10"/>
        <v>12.566666666666666</v>
      </c>
      <c r="N52" s="26">
        <f t="shared" si="31"/>
        <v>4.5481511312462315E-2</v>
      </c>
      <c r="O52" s="29">
        <f t="shared" si="11"/>
        <v>0</v>
      </c>
      <c r="Q52" s="35">
        <v>45136.510416666664</v>
      </c>
      <c r="R52" s="71">
        <v>5.9519933653504999E-3</v>
      </c>
      <c r="S52" s="70">
        <v>0.772537527</v>
      </c>
      <c r="T52" s="36">
        <v>3095</v>
      </c>
      <c r="U52" s="37">
        <f t="shared" si="12"/>
        <v>51.583333333333336</v>
      </c>
      <c r="V52" s="37">
        <f t="shared" si="32"/>
        <v>0.30702365776266333</v>
      </c>
      <c r="W52" s="38">
        <f t="shared" si="13"/>
        <v>0</v>
      </c>
      <c r="Y52" s="45">
        <v>45151.510416666664</v>
      </c>
      <c r="Z52" s="4">
        <v>4.6310378051022498E-3</v>
      </c>
      <c r="AA52" s="3">
        <v>0.53201108200000002</v>
      </c>
      <c r="AB52" s="4">
        <v>996</v>
      </c>
      <c r="AC52" s="46">
        <f t="shared" si="14"/>
        <v>16.600000000000001</v>
      </c>
      <c r="AD52" s="47">
        <f t="shared" si="33"/>
        <v>7.6875227564697349E-2</v>
      </c>
      <c r="AE52" s="50">
        <f t="shared" si="15"/>
        <v>0</v>
      </c>
      <c r="AG52" s="51">
        <v>45166.510416666664</v>
      </c>
      <c r="AH52" s="72">
        <v>5.6741231058604902E-2</v>
      </c>
      <c r="AI52" s="73">
        <v>2.247064306</v>
      </c>
      <c r="AJ52" s="52">
        <v>7302</v>
      </c>
      <c r="AK52" s="53">
        <f t="shared" si="16"/>
        <v>121.7</v>
      </c>
      <c r="AL52" s="72">
        <f t="shared" si="34"/>
        <v>6.9054078198322166</v>
      </c>
      <c r="AM52" s="54">
        <f t="shared" si="29"/>
        <v>95.676352165121884</v>
      </c>
      <c r="AO52" s="66">
        <v>45183.510416666664</v>
      </c>
      <c r="AP52" s="67">
        <v>7.2708837491915496E-3</v>
      </c>
      <c r="AQ52" s="68">
        <v>0.44894941300000002</v>
      </c>
      <c r="AR52" s="68">
        <v>1306</v>
      </c>
      <c r="AS52" s="68">
        <f t="shared" si="17"/>
        <v>21.766666666666666</v>
      </c>
      <c r="AT52" s="68">
        <f t="shared" si="35"/>
        <v>0.15826290294073606</v>
      </c>
      <c r="AU52" s="69">
        <f t="shared" si="18"/>
        <v>0</v>
      </c>
      <c r="AW52" s="82">
        <v>45046.84375</v>
      </c>
      <c r="AX52" s="121">
        <v>4.0805168000000003E-2</v>
      </c>
      <c r="AY52" s="83">
        <v>85.762083380000007</v>
      </c>
      <c r="AZ52" s="121">
        <v>7657</v>
      </c>
      <c r="BA52" s="83">
        <f t="shared" si="36"/>
        <v>127.61666666666666</v>
      </c>
      <c r="BB52" s="84">
        <f t="shared" si="37"/>
        <v>5.2074195229333338</v>
      </c>
      <c r="BC52" s="83">
        <f t="shared" si="38"/>
        <v>83.326600419213051</v>
      </c>
      <c r="BE52" s="87">
        <v>45047.760416666664</v>
      </c>
      <c r="BF52" s="118">
        <v>4.1827051271433102E-2</v>
      </c>
      <c r="BG52" s="88">
        <v>82.711152870000006</v>
      </c>
      <c r="BH52" s="89">
        <v>7136</v>
      </c>
      <c r="BI52" s="90">
        <f t="shared" si="19"/>
        <v>118.93333333333334</v>
      </c>
      <c r="BJ52" s="91">
        <f t="shared" si="20"/>
        <v>4.9746306312157769</v>
      </c>
      <c r="BK52" s="91">
        <f t="shared" si="21"/>
        <v>81.481192405152612</v>
      </c>
      <c r="BM52" s="93">
        <v>45049.760416666664</v>
      </c>
      <c r="BN52">
        <v>9.7533989993822706E-2</v>
      </c>
      <c r="BO52" s="95">
        <v>123.998997</v>
      </c>
      <c r="BP52" s="4">
        <v>3381</v>
      </c>
      <c r="BQ52" s="95">
        <f t="shared" si="22"/>
        <v>56.35</v>
      </c>
      <c r="BR52" s="94">
        <f t="shared" si="23"/>
        <v>5.4960403361519097</v>
      </c>
      <c r="BS52" s="96">
        <f t="shared" si="24"/>
        <v>85.557095819920633</v>
      </c>
      <c r="BU52" s="10">
        <v>45051.020833333336</v>
      </c>
      <c r="BV52" s="119">
        <v>7.8003327691375204E-2</v>
      </c>
      <c r="BW52" s="21">
        <v>110.9974619</v>
      </c>
      <c r="BX52" s="120">
        <v>4510</v>
      </c>
      <c r="BY52" s="21">
        <f t="shared" si="25"/>
        <v>75.166666666666671</v>
      </c>
      <c r="BZ52" s="21">
        <f t="shared" si="26"/>
        <v>5.8632501314683703</v>
      </c>
      <c r="CA52" s="21">
        <f t="shared" si="27"/>
        <v>88.310222285266121</v>
      </c>
    </row>
    <row r="53" spans="1:79" x14ac:dyDescent="0.25">
      <c r="A53" s="10">
        <v>44776.521527777775</v>
      </c>
      <c r="B53" s="11">
        <v>1.49849804631073E-3</v>
      </c>
      <c r="C53" s="12">
        <v>0.7477791265</v>
      </c>
      <c r="D53" s="9">
        <v>146</v>
      </c>
      <c r="E53" s="13">
        <f t="shared" si="8"/>
        <v>2.4333333333333331</v>
      </c>
      <c r="F53" s="12">
        <f t="shared" si="30"/>
        <v>3.646345246022776E-3</v>
      </c>
      <c r="G53" s="13">
        <f t="shared" si="28"/>
        <v>2.3762676229922564</v>
      </c>
      <c r="I53" s="25">
        <v>44781.521527777775</v>
      </c>
      <c r="J53" s="26">
        <v>3.45172323880017E-3</v>
      </c>
      <c r="K53" s="27">
        <v>1.2578480294999901</v>
      </c>
      <c r="L53" s="28">
        <v>769</v>
      </c>
      <c r="M53" s="29">
        <f t="shared" si="10"/>
        <v>12.816666666666666</v>
      </c>
      <c r="N53" s="26">
        <f t="shared" si="31"/>
        <v>4.4239586177288848E-2</v>
      </c>
      <c r="O53" s="29">
        <f t="shared" si="11"/>
        <v>0</v>
      </c>
      <c r="Q53" s="35">
        <v>45136.520833333336</v>
      </c>
      <c r="R53" s="71">
        <v>6.0874473409900402E-3</v>
      </c>
      <c r="S53" s="70">
        <v>0.85462156099999997</v>
      </c>
      <c r="T53" s="36">
        <v>3532</v>
      </c>
      <c r="U53" s="37">
        <f t="shared" si="12"/>
        <v>58.866666666666667</v>
      </c>
      <c r="V53" s="37">
        <f t="shared" si="32"/>
        <v>0.35834773347294702</v>
      </c>
      <c r="W53" s="38">
        <f t="shared" si="13"/>
        <v>0</v>
      </c>
      <c r="Y53" s="45">
        <v>45151.520833333336</v>
      </c>
      <c r="Z53" s="4">
        <v>5.4668184779477196E-3</v>
      </c>
      <c r="AA53" s="3">
        <v>0.59425534599999996</v>
      </c>
      <c r="AB53" s="4">
        <v>1349</v>
      </c>
      <c r="AC53" s="46">
        <f t="shared" si="14"/>
        <v>22.483333333333334</v>
      </c>
      <c r="AD53" s="47">
        <f t="shared" si="33"/>
        <v>0.12291230211252457</v>
      </c>
      <c r="AE53" s="50">
        <f t="shared" si="15"/>
        <v>0</v>
      </c>
      <c r="AG53" s="51">
        <v>45166.520833333336</v>
      </c>
      <c r="AH53" s="72">
        <v>2.7278545013558999E-2</v>
      </c>
      <c r="AI53" s="73">
        <v>2.0619739560000001</v>
      </c>
      <c r="AJ53" s="52">
        <v>10382</v>
      </c>
      <c r="AK53" s="53">
        <f t="shared" si="16"/>
        <v>173.03333333333333</v>
      </c>
      <c r="AL53" s="72">
        <f t="shared" si="34"/>
        <v>4.7200975721794922</v>
      </c>
      <c r="AM53" s="54">
        <f t="shared" si="29"/>
        <v>79.412228909168903</v>
      </c>
      <c r="AO53" s="66">
        <v>45183.520833333336</v>
      </c>
      <c r="AP53" s="67">
        <v>5.5277851148418404E-3</v>
      </c>
      <c r="AQ53" s="68">
        <v>0.376777213</v>
      </c>
      <c r="AR53" s="68">
        <v>1635</v>
      </c>
      <c r="AS53" s="68">
        <f t="shared" si="17"/>
        <v>27.25</v>
      </c>
      <c r="AT53" s="68">
        <f t="shared" si="35"/>
        <v>0.15063214437944014</v>
      </c>
      <c r="AU53" s="69">
        <f t="shared" si="18"/>
        <v>0</v>
      </c>
      <c r="AW53" s="82">
        <v>45046.854166666664</v>
      </c>
      <c r="AX53" s="121">
        <v>4.0073295000000002E-2</v>
      </c>
      <c r="AY53" s="83">
        <v>86.192545629999998</v>
      </c>
      <c r="AZ53" s="121">
        <v>7462</v>
      </c>
      <c r="BA53" s="83">
        <f t="shared" si="36"/>
        <v>124.36666666666666</v>
      </c>
      <c r="BB53" s="84">
        <f t="shared" si="37"/>
        <v>4.9837821215</v>
      </c>
      <c r="BC53" s="83">
        <f t="shared" si="38"/>
        <v>81.554561769067547</v>
      </c>
      <c r="BE53" s="87">
        <v>45047.770833333336</v>
      </c>
      <c r="BF53" s="118">
        <v>4.22807288036244E-2</v>
      </c>
      <c r="BG53" s="88">
        <v>90.484855949999996</v>
      </c>
      <c r="BH53" s="89">
        <v>7026</v>
      </c>
      <c r="BI53" s="90">
        <f t="shared" si="19"/>
        <v>117.1</v>
      </c>
      <c r="BJ53" s="91">
        <f t="shared" si="20"/>
        <v>4.9510733429044169</v>
      </c>
      <c r="BK53" s="91">
        <f t="shared" si="21"/>
        <v>81.29201136279157</v>
      </c>
      <c r="BM53" s="93">
        <v>45049.770833333336</v>
      </c>
      <c r="BN53">
        <v>0.105343227407854</v>
      </c>
      <c r="BO53" s="95">
        <v>126.9470365</v>
      </c>
      <c r="BP53" s="4">
        <v>3433</v>
      </c>
      <c r="BQ53" s="95">
        <f t="shared" si="22"/>
        <v>57.216666666666669</v>
      </c>
      <c r="BR53" s="94">
        <f t="shared" si="23"/>
        <v>6.0273883281860465</v>
      </c>
      <c r="BS53" s="96">
        <f t="shared" si="24"/>
        <v>89.512327251925768</v>
      </c>
      <c r="BU53" s="10">
        <v>45051.03125</v>
      </c>
      <c r="BV53" s="119">
        <v>7.6525678702842506E-2</v>
      </c>
      <c r="BW53" s="21">
        <v>103.80204430000001</v>
      </c>
      <c r="BX53" s="120">
        <v>4691</v>
      </c>
      <c r="BY53" s="21">
        <f t="shared" si="25"/>
        <v>78.183333333333337</v>
      </c>
      <c r="BZ53" s="21">
        <f t="shared" si="26"/>
        <v>5.9830326465839034</v>
      </c>
      <c r="CA53" s="21">
        <f t="shared" si="27"/>
        <v>89.189142578424537</v>
      </c>
    </row>
    <row r="54" spans="1:79" x14ac:dyDescent="0.25">
      <c r="A54" s="10">
        <v>44776.531944444447</v>
      </c>
      <c r="B54" s="11">
        <v>1.75272505335628E-3</v>
      </c>
      <c r="C54" s="12">
        <v>0.71824162000000003</v>
      </c>
      <c r="D54" s="9">
        <v>101</v>
      </c>
      <c r="E54" s="13">
        <f t="shared" si="8"/>
        <v>1.6833333333333333</v>
      </c>
      <c r="F54" s="12">
        <f t="shared" si="30"/>
        <v>2.9504205064830712E-3</v>
      </c>
      <c r="G54" s="13">
        <f t="shared" si="28"/>
        <v>2.1421789492760746</v>
      </c>
      <c r="I54" s="25">
        <v>44781.531944444447</v>
      </c>
      <c r="J54" s="26">
        <v>3.7018170829171801E-3</v>
      </c>
      <c r="K54" s="27">
        <v>1.3324552590000001</v>
      </c>
      <c r="L54" s="28">
        <v>828</v>
      </c>
      <c r="M54" s="29">
        <f t="shared" si="10"/>
        <v>13.8</v>
      </c>
      <c r="N54" s="26">
        <f t="shared" si="31"/>
        <v>5.1085075744257087E-2</v>
      </c>
      <c r="O54" s="29">
        <f t="shared" si="11"/>
        <v>0</v>
      </c>
      <c r="Q54" s="35">
        <v>45136.53125</v>
      </c>
      <c r="R54" s="71">
        <v>6.9240636557042099E-3</v>
      </c>
      <c r="S54" s="70">
        <v>0.89783227600000004</v>
      </c>
      <c r="T54" s="36">
        <v>4737</v>
      </c>
      <c r="U54" s="37">
        <f t="shared" si="12"/>
        <v>78.95</v>
      </c>
      <c r="V54" s="37">
        <f t="shared" si="32"/>
        <v>0.5466548256178474</v>
      </c>
      <c r="W54" s="38">
        <f t="shared" si="13"/>
        <v>27.631963081806077</v>
      </c>
      <c r="Y54" s="45">
        <v>45151.53125</v>
      </c>
      <c r="Z54" s="4">
        <v>6.2279021899720299E-3</v>
      </c>
      <c r="AA54" s="3">
        <v>0.59425534599999996</v>
      </c>
      <c r="AB54" s="4">
        <v>1323</v>
      </c>
      <c r="AC54" s="46">
        <f t="shared" si="14"/>
        <v>22.05</v>
      </c>
      <c r="AD54" s="47">
        <f t="shared" si="33"/>
        <v>0.13732524328888326</v>
      </c>
      <c r="AE54" s="50">
        <f t="shared" si="15"/>
        <v>0</v>
      </c>
      <c r="AG54" s="51">
        <v>45166.53125</v>
      </c>
      <c r="AH54" s="72">
        <v>3.3881498761867697E-2</v>
      </c>
      <c r="AI54" s="73">
        <v>1.8086265969999999</v>
      </c>
      <c r="AJ54" s="52">
        <v>10156</v>
      </c>
      <c r="AK54" s="53">
        <f t="shared" si="16"/>
        <v>169.26666666666668</v>
      </c>
      <c r="AL54" s="72">
        <f t="shared" si="34"/>
        <v>5.7350083570921395</v>
      </c>
      <c r="AM54" s="54">
        <f t="shared" si="29"/>
        <v>87.359013166733888</v>
      </c>
      <c r="AO54" s="66">
        <v>45183.53125</v>
      </c>
      <c r="AP54" s="67">
        <v>5.26403645332144E-3</v>
      </c>
      <c r="AQ54" s="68">
        <v>0.44894941300000002</v>
      </c>
      <c r="AR54" s="68">
        <v>1230</v>
      </c>
      <c r="AS54" s="68">
        <f t="shared" si="17"/>
        <v>20.5</v>
      </c>
      <c r="AT54" s="68">
        <f t="shared" si="35"/>
        <v>0.10791274729308951</v>
      </c>
      <c r="AU54" s="69">
        <f t="shared" si="18"/>
        <v>0</v>
      </c>
      <c r="AW54" s="82">
        <v>45046.864583333336</v>
      </c>
      <c r="AX54" s="121">
        <v>4.0686440999999997E-2</v>
      </c>
      <c r="AY54" s="83">
        <v>84.891986889999998</v>
      </c>
      <c r="AZ54" s="121">
        <v>7365</v>
      </c>
      <c r="BA54" s="83">
        <f t="shared" si="36"/>
        <v>122.75</v>
      </c>
      <c r="BB54" s="84">
        <f t="shared" si="37"/>
        <v>4.9942606327499997</v>
      </c>
      <c r="BC54" s="83">
        <f t="shared" si="38"/>
        <v>81.638485754857172</v>
      </c>
      <c r="BE54" s="87">
        <v>45047.78125</v>
      </c>
      <c r="BF54" s="118">
        <v>4.1297194147822402E-2</v>
      </c>
      <c r="BG54" s="88">
        <v>87.058386479999996</v>
      </c>
      <c r="BH54" s="89">
        <v>7093</v>
      </c>
      <c r="BI54" s="90">
        <f t="shared" si="19"/>
        <v>118.21666666666667</v>
      </c>
      <c r="BJ54" s="91">
        <f t="shared" si="20"/>
        <v>4.8820166348417384</v>
      </c>
      <c r="BK54" s="91">
        <f t="shared" si="21"/>
        <v>80.734776585821564</v>
      </c>
      <c r="BM54" s="93">
        <v>45049.78125</v>
      </c>
      <c r="BN54">
        <v>9.4440414737682707E-2</v>
      </c>
      <c r="BO54" s="95">
        <v>130.92322350000001</v>
      </c>
      <c r="BP54" s="4">
        <v>3620</v>
      </c>
      <c r="BQ54" s="95">
        <f t="shared" si="22"/>
        <v>60.333333333333336</v>
      </c>
      <c r="BR54" s="94">
        <f t="shared" si="23"/>
        <v>5.6979050225068573</v>
      </c>
      <c r="BS54" s="96">
        <f t="shared" si="24"/>
        <v>87.081786271634414</v>
      </c>
      <c r="BU54" s="10">
        <v>45051.041666666664</v>
      </c>
      <c r="BV54" s="119">
        <v>8.4832978381257196E-2</v>
      </c>
      <c r="BW54" s="21">
        <v>109.0251016</v>
      </c>
      <c r="BX54" s="120">
        <v>4477</v>
      </c>
      <c r="BY54" s="21">
        <f t="shared" si="25"/>
        <v>74.61666666666666</v>
      </c>
      <c r="BZ54" s="21">
        <f t="shared" si="26"/>
        <v>6.3299540702148072</v>
      </c>
      <c r="CA54" s="21">
        <f t="shared" si="27"/>
        <v>91.685244261298976</v>
      </c>
    </row>
    <row r="55" spans="1:79" x14ac:dyDescent="0.25">
      <c r="A55" s="10">
        <v>44776.542361111111</v>
      </c>
      <c r="B55" s="11">
        <v>1.7477777618441E-3</v>
      </c>
      <c r="C55" s="12">
        <v>0.72944691949999996</v>
      </c>
      <c r="D55" s="9">
        <v>127</v>
      </c>
      <c r="E55" s="13">
        <f t="shared" si="8"/>
        <v>2.1166666666666667</v>
      </c>
      <c r="F55" s="12">
        <f t="shared" si="30"/>
        <v>3.6994629292366782E-3</v>
      </c>
      <c r="G55" s="13">
        <f t="shared" si="28"/>
        <v>2.3931565222710121</v>
      </c>
      <c r="I55" s="25">
        <v>44781.542361111111</v>
      </c>
      <c r="J55" s="26">
        <v>4.65691285625332E-3</v>
      </c>
      <c r="K55" s="27">
        <v>1.5909838079999901</v>
      </c>
      <c r="L55" s="28">
        <v>1445</v>
      </c>
      <c r="M55" s="29">
        <f t="shared" si="10"/>
        <v>24.083333333333332</v>
      </c>
      <c r="N55" s="26">
        <f t="shared" si="31"/>
        <v>0.11215398462143412</v>
      </c>
      <c r="O55" s="29">
        <f t="shared" si="11"/>
        <v>0</v>
      </c>
      <c r="Q55" s="35">
        <v>45136.541666666664</v>
      </c>
      <c r="R55" s="71">
        <v>5.39412258391347E-3</v>
      </c>
      <c r="S55" s="70">
        <v>0.56216848100000005</v>
      </c>
      <c r="T55" s="36">
        <v>1520</v>
      </c>
      <c r="U55" s="37">
        <f t="shared" si="12"/>
        <v>25.333333333333332</v>
      </c>
      <c r="V55" s="37">
        <f t="shared" si="32"/>
        <v>0.13665110545914122</v>
      </c>
      <c r="W55" s="38">
        <f t="shared" si="13"/>
        <v>0</v>
      </c>
      <c r="Y55" s="45">
        <v>45151.541666666664</v>
      </c>
      <c r="Z55" s="4">
        <v>6.2470266960211601E-3</v>
      </c>
      <c r="AA55" s="3">
        <v>0.66168135500000003</v>
      </c>
      <c r="AB55" s="4">
        <v>1368</v>
      </c>
      <c r="AC55" s="46">
        <f t="shared" si="14"/>
        <v>22.8</v>
      </c>
      <c r="AD55" s="47">
        <f t="shared" si="33"/>
        <v>0.14243220866928247</v>
      </c>
      <c r="AE55" s="50">
        <f t="shared" si="15"/>
        <v>0</v>
      </c>
      <c r="AG55" s="51">
        <v>45166.541666666664</v>
      </c>
      <c r="AH55" s="72">
        <v>2.8678916831400399E-2</v>
      </c>
      <c r="AI55" s="73">
        <v>1.8086265969999999</v>
      </c>
      <c r="AJ55" s="52">
        <v>10077</v>
      </c>
      <c r="AK55" s="53">
        <f t="shared" si="16"/>
        <v>167.95</v>
      </c>
      <c r="AL55" s="72">
        <f t="shared" si="34"/>
        <v>4.8166240818336963</v>
      </c>
      <c r="AM55" s="54">
        <f t="shared" si="29"/>
        <v>80.203388791059325</v>
      </c>
      <c r="AO55" s="66">
        <v>45183.541666666664</v>
      </c>
      <c r="AP55" s="67">
        <v>5.3015390052096904E-3</v>
      </c>
      <c r="AQ55" s="68">
        <v>0.47522856800000002</v>
      </c>
      <c r="AR55" s="68">
        <v>1553</v>
      </c>
      <c r="AS55" s="68">
        <f t="shared" si="17"/>
        <v>25.883333333333333</v>
      </c>
      <c r="AT55" s="68">
        <f t="shared" si="35"/>
        <v>0.13722150125151081</v>
      </c>
      <c r="AU55" s="69">
        <f t="shared" si="18"/>
        <v>0</v>
      </c>
      <c r="AW55" s="82">
        <v>45046.875</v>
      </c>
      <c r="AX55" s="121">
        <v>4.1675717000000001E-2</v>
      </c>
      <c r="AY55" s="83">
        <v>87.058386479999996</v>
      </c>
      <c r="AZ55" s="121">
        <v>7319</v>
      </c>
      <c r="BA55" s="83">
        <f t="shared" si="36"/>
        <v>121.98333333333333</v>
      </c>
      <c r="BB55" s="84">
        <f t="shared" si="37"/>
        <v>5.0837428787166665</v>
      </c>
      <c r="BC55" s="83">
        <f t="shared" si="38"/>
        <v>82.351533429029573</v>
      </c>
      <c r="BE55" s="87">
        <v>45047.791666666664</v>
      </c>
      <c r="BF55" s="118">
        <v>4.2977337790364098E-2</v>
      </c>
      <c r="BG55" s="88">
        <v>86.192545629999998</v>
      </c>
      <c r="BH55" s="89">
        <v>6738</v>
      </c>
      <c r="BI55" s="90">
        <f t="shared" si="19"/>
        <v>112.3</v>
      </c>
      <c r="BJ55" s="91">
        <f t="shared" si="20"/>
        <v>4.8263550338578884</v>
      </c>
      <c r="BK55" s="91">
        <f t="shared" si="21"/>
        <v>80.282695824136809</v>
      </c>
      <c r="BM55" s="93">
        <v>45049.791666666664</v>
      </c>
      <c r="BN55">
        <v>9.9291992445538199E-2</v>
      </c>
      <c r="BO55" s="95">
        <v>129.12778700000001</v>
      </c>
      <c r="BP55" s="4">
        <v>3533</v>
      </c>
      <c r="BQ55" s="95">
        <f t="shared" si="22"/>
        <v>58.883333333333333</v>
      </c>
      <c r="BR55" s="94">
        <f t="shared" si="23"/>
        <v>5.8466434885014413</v>
      </c>
      <c r="BS55" s="96">
        <f t="shared" si="24"/>
        <v>88.187648190619555</v>
      </c>
      <c r="BU55" s="10">
        <v>45051.052083333336</v>
      </c>
      <c r="BV55" s="119">
        <v>8.0148569824657803E-2</v>
      </c>
      <c r="BW55" s="21">
        <v>109.8129265</v>
      </c>
      <c r="BX55" s="120">
        <v>4556</v>
      </c>
      <c r="BY55" s="21">
        <f t="shared" si="25"/>
        <v>75.933333333333337</v>
      </c>
      <c r="BZ55" s="21">
        <f t="shared" si="26"/>
        <v>6.0859480686856831</v>
      </c>
      <c r="CA55" s="21">
        <f t="shared" si="27"/>
        <v>89.937152426769686</v>
      </c>
    </row>
    <row r="56" spans="1:79" x14ac:dyDescent="0.25">
      <c r="A56" s="10">
        <v>44776.552777777775</v>
      </c>
      <c r="B56" s="11">
        <v>1.4017038497322401E-3</v>
      </c>
      <c r="C56" s="12">
        <v>0.68032893350000001</v>
      </c>
      <c r="D56" s="9">
        <v>102</v>
      </c>
      <c r="E56" s="13">
        <f t="shared" si="8"/>
        <v>1.7</v>
      </c>
      <c r="F56" s="12">
        <f t="shared" si="30"/>
        <v>2.3828965445448079E-3</v>
      </c>
      <c r="G56" s="13">
        <f t="shared" si="28"/>
        <v>1.929398795245691</v>
      </c>
      <c r="I56" s="25">
        <v>44781.552777777775</v>
      </c>
      <c r="J56" s="26">
        <v>5.2679225855420701E-3</v>
      </c>
      <c r="K56" s="27">
        <v>2.1687506614999998</v>
      </c>
      <c r="L56" s="28">
        <v>1853</v>
      </c>
      <c r="M56" s="29">
        <f t="shared" si="10"/>
        <v>30.883333333333333</v>
      </c>
      <c r="N56" s="26">
        <f t="shared" si="31"/>
        <v>0.16269100918349094</v>
      </c>
      <c r="O56" s="29">
        <f t="shared" si="11"/>
        <v>0</v>
      </c>
      <c r="Q56" s="35">
        <v>45136.552083333336</v>
      </c>
      <c r="R56" s="71">
        <v>7.4800171752494897E-3</v>
      </c>
      <c r="S56" s="70">
        <v>0.77321039300000005</v>
      </c>
      <c r="T56" s="36">
        <v>3102</v>
      </c>
      <c r="U56" s="37">
        <f t="shared" si="12"/>
        <v>51.7</v>
      </c>
      <c r="V56" s="37">
        <f t="shared" si="32"/>
        <v>0.38671688796039866</v>
      </c>
      <c r="W56" s="38">
        <f t="shared" si="13"/>
        <v>23.323837793864588</v>
      </c>
      <c r="Y56" s="45">
        <v>45151.552083333336</v>
      </c>
      <c r="Z56" s="4">
        <v>5.5351229738632704E-3</v>
      </c>
      <c r="AA56" s="3">
        <v>0.59425534599999996</v>
      </c>
      <c r="AB56" s="4">
        <v>1279</v>
      </c>
      <c r="AC56" s="46">
        <f t="shared" si="14"/>
        <v>21.316666666666666</v>
      </c>
      <c r="AD56" s="47">
        <f t="shared" si="33"/>
        <v>0.11799037139285204</v>
      </c>
      <c r="AE56" s="50">
        <f t="shared" si="15"/>
        <v>0</v>
      </c>
      <c r="AG56" s="51">
        <v>45166.552083333336</v>
      </c>
      <c r="AH56" s="72">
        <v>2.3825918833108702E-2</v>
      </c>
      <c r="AI56" s="73">
        <v>1.5821856839999999</v>
      </c>
      <c r="AJ56" s="52">
        <v>10151</v>
      </c>
      <c r="AK56" s="53">
        <f t="shared" si="16"/>
        <v>169.18333333333334</v>
      </c>
      <c r="AL56" s="72">
        <f t="shared" si="34"/>
        <v>4.0309483679147737</v>
      </c>
      <c r="AM56" s="54">
        <f t="shared" si="29"/>
        <v>73.505784301683235</v>
      </c>
      <c r="AO56" s="66">
        <v>45183.552083333336</v>
      </c>
      <c r="AP56" s="67">
        <v>5.8778806381355004E-3</v>
      </c>
      <c r="AQ56" s="68">
        <v>0.47522856800000002</v>
      </c>
      <c r="AR56" s="68">
        <v>1282</v>
      </c>
      <c r="AS56" s="68">
        <f t="shared" si="17"/>
        <v>21.366666666666667</v>
      </c>
      <c r="AT56" s="68">
        <f t="shared" si="35"/>
        <v>0.12559071630149521</v>
      </c>
      <c r="AU56" s="69">
        <f t="shared" si="18"/>
        <v>0</v>
      </c>
      <c r="AW56" s="82">
        <v>45046.885416666664</v>
      </c>
      <c r="AX56" s="121">
        <v>4.1552093999999998E-2</v>
      </c>
      <c r="AY56" s="83">
        <v>82.276892649999994</v>
      </c>
      <c r="AZ56" s="121">
        <v>7415</v>
      </c>
      <c r="BA56" s="83">
        <f t="shared" si="36"/>
        <v>123.58333333333333</v>
      </c>
      <c r="BB56" s="84">
        <f t="shared" si="37"/>
        <v>5.1351462834999992</v>
      </c>
      <c r="BC56" s="83">
        <f t="shared" si="38"/>
        <v>82.75825190250282</v>
      </c>
      <c r="BE56" s="87">
        <v>45047.802083333336</v>
      </c>
      <c r="BF56" s="118">
        <v>4.2030558323456001E-2</v>
      </c>
      <c r="BG56" s="88">
        <v>87.487093729999998</v>
      </c>
      <c r="BH56" s="89">
        <v>7177</v>
      </c>
      <c r="BI56" s="90">
        <f t="shared" si="19"/>
        <v>119.61666666666666</v>
      </c>
      <c r="BJ56" s="91">
        <f t="shared" si="20"/>
        <v>5.0275552847907283</v>
      </c>
      <c r="BK56" s="91">
        <f t="shared" si="21"/>
        <v>81.90455301712359</v>
      </c>
      <c r="BM56" s="93">
        <v>45049.802083333336</v>
      </c>
      <c r="BN56">
        <v>0.109468007984158</v>
      </c>
      <c r="BO56" s="95">
        <v>133.7707528</v>
      </c>
      <c r="BP56" s="4">
        <v>3395</v>
      </c>
      <c r="BQ56" s="95">
        <f t="shared" si="22"/>
        <v>56.583333333333336</v>
      </c>
      <c r="BR56" s="94">
        <f t="shared" si="23"/>
        <v>6.194064785103607</v>
      </c>
      <c r="BS56" s="96">
        <f t="shared" si="24"/>
        <v>90.716046352012157</v>
      </c>
      <c r="BU56" s="10">
        <v>45051.0625</v>
      </c>
      <c r="BV56" s="119">
        <v>8.2132847963435507E-2</v>
      </c>
      <c r="BW56" s="21">
        <v>111.0042136</v>
      </c>
      <c r="BX56" s="120">
        <v>4655</v>
      </c>
      <c r="BY56" s="21">
        <f t="shared" si="25"/>
        <v>77.583333333333329</v>
      </c>
      <c r="BZ56" s="21">
        <f t="shared" si="26"/>
        <v>6.3721401211632047</v>
      </c>
      <c r="CA56" s="21">
        <f t="shared" si="27"/>
        <v>91.983962136406006</v>
      </c>
    </row>
    <row r="57" spans="1:79" x14ac:dyDescent="0.25">
      <c r="A57" s="10">
        <v>44776.563194444447</v>
      </c>
      <c r="B57" s="11">
        <v>1.3574561634927399E-3</v>
      </c>
      <c r="C57" s="12">
        <v>0.62184915699999999</v>
      </c>
      <c r="D57" s="9">
        <v>89</v>
      </c>
      <c r="E57" s="13">
        <f t="shared" si="8"/>
        <v>1.4833333333333334</v>
      </c>
      <c r="F57" s="12">
        <f t="shared" si="30"/>
        <v>2.0135599758475645E-3</v>
      </c>
      <c r="G57" s="13">
        <f t="shared" si="28"/>
        <v>1.7766629370625679</v>
      </c>
      <c r="I57" s="25">
        <v>44781.563194444447</v>
      </c>
      <c r="J57" s="26">
        <v>4.70751967541648E-3</v>
      </c>
      <c r="K57" s="27">
        <v>2.3007473825</v>
      </c>
      <c r="L57" s="28">
        <v>1713</v>
      </c>
      <c r="M57" s="29">
        <f t="shared" si="10"/>
        <v>28.55</v>
      </c>
      <c r="N57" s="26">
        <f t="shared" si="31"/>
        <v>0.13439968673314051</v>
      </c>
      <c r="O57" s="29">
        <f t="shared" si="11"/>
        <v>0</v>
      </c>
      <c r="Q57" s="35">
        <v>45136.5625</v>
      </c>
      <c r="R57" s="71">
        <v>8.05563591415266E-3</v>
      </c>
      <c r="S57" s="70">
        <v>0.89859415399999998</v>
      </c>
      <c r="T57" s="36">
        <v>4973</v>
      </c>
      <c r="U57" s="37">
        <f t="shared" si="12"/>
        <v>82.88333333333334</v>
      </c>
      <c r="V57" s="37">
        <f t="shared" si="32"/>
        <v>0.66767795668468632</v>
      </c>
      <c r="W57" s="38">
        <f t="shared" si="13"/>
        <v>30.475025054476774</v>
      </c>
      <c r="Y57" s="45">
        <v>45151.5625</v>
      </c>
      <c r="Z57" s="4">
        <v>3.5668797659729099E-3</v>
      </c>
      <c r="AA57" s="3">
        <v>0.42386643899999998</v>
      </c>
      <c r="AB57" s="4">
        <v>644</v>
      </c>
      <c r="AC57" s="46">
        <f t="shared" si="14"/>
        <v>10.733333333333333</v>
      </c>
      <c r="AD57" s="47">
        <f t="shared" si="33"/>
        <v>3.8284509488109228E-2</v>
      </c>
      <c r="AE57" s="50">
        <f t="shared" si="15"/>
        <v>0</v>
      </c>
      <c r="AG57" s="51">
        <v>45166.5625</v>
      </c>
      <c r="AH57" s="72">
        <v>2.76358389955462E-2</v>
      </c>
      <c r="AI57" s="73">
        <v>2.5487565000000001</v>
      </c>
      <c r="AJ57" s="52">
        <v>9877</v>
      </c>
      <c r="AK57" s="53">
        <f t="shared" si="16"/>
        <v>164.61666666666667</v>
      </c>
      <c r="AL57" s="72">
        <f t="shared" si="34"/>
        <v>4.5493196959834972</v>
      </c>
      <c r="AM57" s="54">
        <f t="shared" si="29"/>
        <v>77.991984810012738</v>
      </c>
      <c r="AO57" s="66">
        <v>45183.5625</v>
      </c>
      <c r="AP57" s="67">
        <v>6.1503624604552004E-3</v>
      </c>
      <c r="AQ57" s="68">
        <v>0.47522856800000002</v>
      </c>
      <c r="AR57" s="68">
        <v>1568</v>
      </c>
      <c r="AS57" s="68">
        <f t="shared" si="17"/>
        <v>26.133333333333333</v>
      </c>
      <c r="AT57" s="68">
        <f t="shared" si="35"/>
        <v>0.1607294722998959</v>
      </c>
      <c r="AU57" s="69">
        <f t="shared" si="18"/>
        <v>0</v>
      </c>
      <c r="AW57" s="82">
        <v>45046.895833333336</v>
      </c>
      <c r="AX57" s="121">
        <v>4.5688235000000001E-2</v>
      </c>
      <c r="AY57" s="83">
        <v>84.891986889999998</v>
      </c>
      <c r="AZ57" s="121">
        <v>7191</v>
      </c>
      <c r="BA57" s="83">
        <f t="shared" si="36"/>
        <v>119.85</v>
      </c>
      <c r="BB57" s="84">
        <f t="shared" si="37"/>
        <v>5.47573496475</v>
      </c>
      <c r="BC57" s="83">
        <f t="shared" si="38"/>
        <v>85.402158111773815</v>
      </c>
      <c r="BE57" s="87">
        <v>45047.8125</v>
      </c>
      <c r="BF57" s="118">
        <v>3.9062694222419501E-2</v>
      </c>
      <c r="BG57" s="88">
        <v>89.635700749999998</v>
      </c>
      <c r="BH57" s="89">
        <v>7262</v>
      </c>
      <c r="BI57" s="90">
        <f t="shared" si="19"/>
        <v>121.03333333333333</v>
      </c>
      <c r="BJ57" s="91">
        <f t="shared" si="20"/>
        <v>4.7278880907201737</v>
      </c>
      <c r="BK57" s="91">
        <f t="shared" si="21"/>
        <v>79.476386803231208</v>
      </c>
      <c r="BM57" s="93">
        <v>45049.8125</v>
      </c>
      <c r="BN57">
        <v>9.7935716007026594E-2</v>
      </c>
      <c r="BO57" s="95">
        <v>131.64072830000001</v>
      </c>
      <c r="BP57" s="4">
        <v>3488</v>
      </c>
      <c r="BQ57" s="95">
        <f t="shared" si="22"/>
        <v>58.133333333333333</v>
      </c>
      <c r="BR57" s="94">
        <f t="shared" si="23"/>
        <v>5.6933296238751456</v>
      </c>
      <c r="BS57" s="96">
        <f t="shared" si="24"/>
        <v>87.047536303459367</v>
      </c>
      <c r="BU57" s="10">
        <v>45051.072916666664</v>
      </c>
      <c r="BV57" s="119">
        <v>8.5258105110943602E-2</v>
      </c>
      <c r="BW57" s="21">
        <v>112.9598134</v>
      </c>
      <c r="BX57" s="120">
        <v>4623</v>
      </c>
      <c r="BY57" s="21">
        <f t="shared" si="25"/>
        <v>77.05</v>
      </c>
      <c r="BZ57" s="21">
        <f t="shared" si="26"/>
        <v>6.5691369987982045</v>
      </c>
      <c r="CA57" s="21">
        <f t="shared" si="27"/>
        <v>93.365712669876572</v>
      </c>
    </row>
    <row r="58" spans="1:79" x14ac:dyDescent="0.25">
      <c r="A58" s="10">
        <v>44776.573611111111</v>
      </c>
      <c r="B58" s="11">
        <v>1.81593059069755E-3</v>
      </c>
      <c r="C58" s="12">
        <v>0.63156217000000003</v>
      </c>
      <c r="D58" s="9">
        <v>83</v>
      </c>
      <c r="E58" s="13">
        <f t="shared" si="8"/>
        <v>1.3833333333333333</v>
      </c>
      <c r="F58" s="12">
        <f t="shared" si="30"/>
        <v>2.5120373171316109E-3</v>
      </c>
      <c r="G58" s="13">
        <f t="shared" si="28"/>
        <v>1.9799141859576828</v>
      </c>
      <c r="I58" s="25">
        <v>44781.573611111111</v>
      </c>
      <c r="J58" s="26">
        <v>4.7535558655237703E-3</v>
      </c>
      <c r="K58" s="27">
        <v>3.2652481369999999</v>
      </c>
      <c r="L58" s="28">
        <v>1191</v>
      </c>
      <c r="M58" s="29">
        <f t="shared" si="10"/>
        <v>19.850000000000001</v>
      </c>
      <c r="N58" s="26">
        <f t="shared" si="31"/>
        <v>9.4358083930646847E-2</v>
      </c>
      <c r="O58" s="29">
        <f t="shared" si="11"/>
        <v>0</v>
      </c>
      <c r="Q58" s="35">
        <v>45136.572916666664</v>
      </c>
      <c r="R58" s="71">
        <v>9.9370329282074607E-3</v>
      </c>
      <c r="S58" s="70">
        <v>1.5125919880000001</v>
      </c>
      <c r="T58" s="36">
        <v>7017</v>
      </c>
      <c r="U58" s="37">
        <f t="shared" si="12"/>
        <v>116.95</v>
      </c>
      <c r="V58" s="37">
        <f t="shared" si="32"/>
        <v>1.1621360009538626</v>
      </c>
      <c r="W58" s="38">
        <f t="shared" si="13"/>
        <v>39.976974540218343</v>
      </c>
      <c r="Y58" s="45">
        <v>45151.572916666664</v>
      </c>
      <c r="Z58" s="4">
        <v>4.2656587944937003E-3</v>
      </c>
      <c r="AA58" s="3">
        <v>0.42386643899999998</v>
      </c>
      <c r="AB58" s="4">
        <v>653</v>
      </c>
      <c r="AC58" s="46">
        <f t="shared" si="14"/>
        <v>10.883333333333333</v>
      </c>
      <c r="AD58" s="47">
        <f t="shared" si="33"/>
        <v>4.6424586546739768E-2</v>
      </c>
      <c r="AE58" s="50">
        <f t="shared" si="15"/>
        <v>0</v>
      </c>
      <c r="AG58" s="51">
        <v>45166.572916666664</v>
      </c>
      <c r="AH58" s="72">
        <v>2.4532591637448999E-2</v>
      </c>
      <c r="AI58" s="73">
        <v>1.729502407</v>
      </c>
      <c r="AJ58" s="52">
        <v>10114</v>
      </c>
      <c r="AK58" s="53">
        <f t="shared" si="16"/>
        <v>168.56666666666666</v>
      </c>
      <c r="AL58" s="72">
        <f t="shared" si="34"/>
        <v>4.1353771970193192</v>
      </c>
      <c r="AM58" s="54">
        <f t="shared" si="29"/>
        <v>74.43223351140314</v>
      </c>
      <c r="AO58" s="66">
        <v>45183.572916666664</v>
      </c>
      <c r="AP58" s="67">
        <v>5.4259374162804203E-3</v>
      </c>
      <c r="AQ58" s="68">
        <v>0.44894941300000002</v>
      </c>
      <c r="AR58" s="68">
        <v>1036</v>
      </c>
      <c r="AS58" s="68">
        <f t="shared" si="17"/>
        <v>17.266666666666666</v>
      </c>
      <c r="AT58" s="68">
        <f t="shared" si="35"/>
        <v>9.3687852721108592E-2</v>
      </c>
      <c r="AU58" s="69">
        <f t="shared" si="18"/>
        <v>0</v>
      </c>
      <c r="AW58" s="82">
        <v>45046.90625</v>
      </c>
      <c r="AX58" s="121">
        <v>4.1664949E-2</v>
      </c>
      <c r="AY58" s="83">
        <v>82.276892649999994</v>
      </c>
      <c r="AZ58" s="121">
        <v>6992</v>
      </c>
      <c r="BA58" s="83">
        <f t="shared" si="36"/>
        <v>116.53333333333333</v>
      </c>
      <c r="BB58" s="84">
        <f t="shared" si="37"/>
        <v>4.8553553901333331</v>
      </c>
      <c r="BC58" s="83">
        <f t="shared" si="38"/>
        <v>80.518565324109005</v>
      </c>
      <c r="BE58" s="87">
        <v>45047.822916666664</v>
      </c>
      <c r="BF58" s="118">
        <v>3.8536164133510999E-2</v>
      </c>
      <c r="BG58" s="88">
        <v>84.891986889999998</v>
      </c>
      <c r="BH58" s="89">
        <v>7012</v>
      </c>
      <c r="BI58" s="90">
        <f t="shared" si="19"/>
        <v>116.86666666666666</v>
      </c>
      <c r="BJ58" s="91">
        <f t="shared" si="20"/>
        <v>4.5035930484029851</v>
      </c>
      <c r="BK58" s="91">
        <f t="shared" si="21"/>
        <v>77.607108657677202</v>
      </c>
      <c r="BM58" s="93">
        <v>45049.822916666664</v>
      </c>
      <c r="BN58">
        <v>9.58163406468307E-2</v>
      </c>
      <c r="BO58" s="95">
        <v>126.9470365</v>
      </c>
      <c r="BP58" s="4">
        <v>3599</v>
      </c>
      <c r="BQ58" s="95">
        <f t="shared" si="22"/>
        <v>59.983333333333334</v>
      </c>
      <c r="BR58" s="94">
        <f t="shared" si="23"/>
        <v>5.7473834997990618</v>
      </c>
      <c r="BS58" s="96">
        <f t="shared" si="24"/>
        <v>87.451273510574211</v>
      </c>
      <c r="BU58" s="10">
        <v>45051.083333333336</v>
      </c>
      <c r="BV58" s="119">
        <v>8.1827298970184204E-2</v>
      </c>
      <c r="BW58" s="21">
        <v>109.0251016</v>
      </c>
      <c r="BX58" s="120">
        <v>4557</v>
      </c>
      <c r="BY58" s="21">
        <f t="shared" si="25"/>
        <v>75.95</v>
      </c>
      <c r="BZ58" s="21">
        <f t="shared" si="26"/>
        <v>6.2147833567854907</v>
      </c>
      <c r="CA58" s="21">
        <f t="shared" si="27"/>
        <v>90.864512726148405</v>
      </c>
    </row>
    <row r="59" spans="1:79" x14ac:dyDescent="0.25">
      <c r="A59" s="10">
        <v>44776.584027777775</v>
      </c>
      <c r="B59" s="11">
        <v>1.4856138179010099E-3</v>
      </c>
      <c r="C59" s="12">
        <v>0.66496995749999999</v>
      </c>
      <c r="D59" s="9">
        <v>102</v>
      </c>
      <c r="E59" s="13">
        <f t="shared" si="8"/>
        <v>1.7</v>
      </c>
      <c r="F59" s="12">
        <f t="shared" si="30"/>
        <v>2.5255434904317168E-3</v>
      </c>
      <c r="G59" s="13">
        <f t="shared" si="28"/>
        <v>1.9851199936728641</v>
      </c>
      <c r="I59" s="25">
        <v>44781.584027777775</v>
      </c>
      <c r="J59" s="26">
        <v>4.8194943991620798E-3</v>
      </c>
      <c r="K59" s="27">
        <v>7.0573823745000004</v>
      </c>
      <c r="L59" s="28">
        <v>2122</v>
      </c>
      <c r="M59" s="29">
        <f t="shared" si="10"/>
        <v>35.366666666666667</v>
      </c>
      <c r="N59" s="26">
        <f t="shared" si="31"/>
        <v>0.17044945191703223</v>
      </c>
      <c r="O59" s="29">
        <f t="shared" si="11"/>
        <v>0</v>
      </c>
      <c r="Q59" s="35">
        <v>45136.583333333336</v>
      </c>
      <c r="R59" s="71">
        <v>1.15829784004414E-2</v>
      </c>
      <c r="S59" s="70">
        <v>1.654461261</v>
      </c>
      <c r="T59" s="36">
        <v>7444</v>
      </c>
      <c r="U59" s="37">
        <f t="shared" si="12"/>
        <v>124.06666666666666</v>
      </c>
      <c r="V59" s="37">
        <f t="shared" si="32"/>
        <v>1.437061520214763</v>
      </c>
      <c r="W59" s="38">
        <f t="shared" si="13"/>
        <v>44.357726288728202</v>
      </c>
      <c r="Y59" s="45">
        <v>45151.583333333336</v>
      </c>
      <c r="Z59" s="4">
        <v>4.9476959212309398E-3</v>
      </c>
      <c r="AA59" s="3">
        <v>0.50323377899999999</v>
      </c>
      <c r="AB59" s="4">
        <v>958</v>
      </c>
      <c r="AC59" s="46">
        <f t="shared" si="14"/>
        <v>15.966666666666667</v>
      </c>
      <c r="AD59" s="47">
        <f t="shared" si="33"/>
        <v>7.8998211542320673E-2</v>
      </c>
      <c r="AE59" s="50">
        <f t="shared" si="15"/>
        <v>0</v>
      </c>
      <c r="AG59" s="51">
        <v>45166.583333333336</v>
      </c>
      <c r="AH59" s="72">
        <v>2.3355203318128601E-2</v>
      </c>
      <c r="AI59" s="73">
        <v>1.9734137430000001</v>
      </c>
      <c r="AJ59" s="52">
        <v>9975</v>
      </c>
      <c r="AK59" s="53">
        <f t="shared" si="16"/>
        <v>166.25</v>
      </c>
      <c r="AL59" s="72">
        <f t="shared" si="34"/>
        <v>3.8828025516388798</v>
      </c>
      <c r="AM59" s="54">
        <f t="shared" si="29"/>
        <v>72.170223328675746</v>
      </c>
      <c r="AO59" s="66">
        <v>45183.583333333336</v>
      </c>
      <c r="AP59" s="67">
        <v>9.00687876097752E-3</v>
      </c>
      <c r="AQ59" s="68">
        <v>0.44894941300000002</v>
      </c>
      <c r="AR59" s="68">
        <v>3109</v>
      </c>
      <c r="AS59" s="68">
        <f t="shared" si="17"/>
        <v>51.81666666666667</v>
      </c>
      <c r="AT59" s="68">
        <f t="shared" si="35"/>
        <v>0.46670643446465188</v>
      </c>
      <c r="AU59" s="69">
        <f t="shared" si="18"/>
        <v>25.573156472879504</v>
      </c>
      <c r="AW59" s="82">
        <v>45046.916666666664</v>
      </c>
      <c r="AX59" s="121">
        <v>4.1718362000000002E-2</v>
      </c>
      <c r="AY59" s="83">
        <v>82.711152870000006</v>
      </c>
      <c r="AZ59" s="121">
        <v>6831</v>
      </c>
      <c r="BA59" s="83">
        <f t="shared" si="36"/>
        <v>113.85</v>
      </c>
      <c r="BB59" s="84">
        <f t="shared" si="37"/>
        <v>4.7496355137000004</v>
      </c>
      <c r="BC59" s="83">
        <f t="shared" si="38"/>
        <v>79.655200179778632</v>
      </c>
      <c r="BE59" s="87">
        <v>45047.833333333336</v>
      </c>
      <c r="BF59" s="118">
        <v>4.0978694463015601E-2</v>
      </c>
      <c r="BG59" s="88">
        <v>87.494480339999996</v>
      </c>
      <c r="BH59" s="89">
        <v>7191</v>
      </c>
      <c r="BI59" s="90">
        <f t="shared" si="19"/>
        <v>119.85</v>
      </c>
      <c r="BJ59" s="91">
        <f t="shared" si="20"/>
        <v>4.91129653139242</v>
      </c>
      <c r="BK59" s="91">
        <f t="shared" si="21"/>
        <v>80.971530922935756</v>
      </c>
      <c r="BM59" s="93">
        <v>45049.833333333336</v>
      </c>
      <c r="BN59">
        <v>9.8648435043626803E-2</v>
      </c>
      <c r="BO59" s="95">
        <v>126.9470365</v>
      </c>
      <c r="BP59" s="4">
        <v>3632</v>
      </c>
      <c r="BQ59" s="95">
        <f t="shared" si="22"/>
        <v>60.533333333333331</v>
      </c>
      <c r="BR59" s="94">
        <f t="shared" si="23"/>
        <v>5.9715186013075421</v>
      </c>
      <c r="BS59" s="96">
        <f t="shared" si="24"/>
        <v>89.105049150463373</v>
      </c>
      <c r="BU59" s="10">
        <v>45051.09375</v>
      </c>
      <c r="BV59" s="119">
        <v>8.2153614031987302E-2</v>
      </c>
      <c r="BW59" s="21">
        <v>107.8305381</v>
      </c>
      <c r="BX59" s="120">
        <v>4645</v>
      </c>
      <c r="BY59" s="21">
        <f t="shared" si="25"/>
        <v>77.416666666666671</v>
      </c>
      <c r="BZ59" s="21">
        <f t="shared" si="26"/>
        <v>6.3600589529763507</v>
      </c>
      <c r="CA59" s="21">
        <f t="shared" si="27"/>
        <v>91.898519219011916</v>
      </c>
    </row>
    <row r="60" spans="1:79" x14ac:dyDescent="0.25">
      <c r="A60" s="10">
        <v>44776.594444444447</v>
      </c>
      <c r="B60" s="11">
        <v>1.5163016537163899E-3</v>
      </c>
      <c r="C60" s="12">
        <v>0.67182250649999997</v>
      </c>
      <c r="D60" s="9">
        <v>183</v>
      </c>
      <c r="E60" s="13">
        <f t="shared" si="8"/>
        <v>3.05</v>
      </c>
      <c r="F60" s="12">
        <f t="shared" si="30"/>
        <v>4.6247200438349892E-3</v>
      </c>
      <c r="G60" s="13">
        <f t="shared" si="28"/>
        <v>2.6695984197047946</v>
      </c>
      <c r="I60" s="25">
        <v>44781.594444444447</v>
      </c>
      <c r="J60" s="26">
        <v>6.5819226188078197E-3</v>
      </c>
      <c r="K60" s="27">
        <v>13.5126390895</v>
      </c>
      <c r="L60" s="28">
        <v>6566</v>
      </c>
      <c r="M60" s="29">
        <f t="shared" si="10"/>
        <v>109.43333333333334</v>
      </c>
      <c r="N60" s="26">
        <f t="shared" si="31"/>
        <v>0.72028173191820244</v>
      </c>
      <c r="O60" s="29">
        <f t="shared" si="11"/>
        <v>31.628057381454148</v>
      </c>
      <c r="Q60" s="35">
        <v>45136.59375</v>
      </c>
      <c r="R60" s="71">
        <v>8.2986986919222194E-3</v>
      </c>
      <c r="S60" s="70">
        <v>1.5125919880000001</v>
      </c>
      <c r="T60" s="36">
        <v>6600</v>
      </c>
      <c r="U60" s="37">
        <f t="shared" si="12"/>
        <v>110</v>
      </c>
      <c r="V60" s="37">
        <f t="shared" si="32"/>
        <v>0.91285685611144418</v>
      </c>
      <c r="W60" s="38">
        <f t="shared" si="13"/>
        <v>35.519168131343648</v>
      </c>
      <c r="Y60" s="45">
        <v>45151.59375</v>
      </c>
      <c r="Z60" s="4">
        <v>4.5164095459671602E-3</v>
      </c>
      <c r="AA60" s="3">
        <v>0.42386643899999998</v>
      </c>
      <c r="AB60" s="4">
        <v>703</v>
      </c>
      <c r="AC60" s="46">
        <f t="shared" si="14"/>
        <v>11.716666666666667</v>
      </c>
      <c r="AD60" s="47">
        <f t="shared" si="33"/>
        <v>5.2917265180248564E-2</v>
      </c>
      <c r="AE60" s="50">
        <f t="shared" si="15"/>
        <v>0</v>
      </c>
      <c r="AG60" s="51">
        <v>45166.59375</v>
      </c>
      <c r="AH60" s="72">
        <v>2.39173471155559E-2</v>
      </c>
      <c r="AI60" s="73">
        <v>1.9734137430000001</v>
      </c>
      <c r="AJ60" s="52">
        <v>10302</v>
      </c>
      <c r="AK60" s="53">
        <f t="shared" si="16"/>
        <v>171.7</v>
      </c>
      <c r="AL60" s="72">
        <f t="shared" si="34"/>
        <v>4.1066084997409478</v>
      </c>
      <c r="AM60" s="54">
        <f t="shared" si="29"/>
        <v>74.178212802820894</v>
      </c>
      <c r="AO60" s="66">
        <v>45183.59375</v>
      </c>
      <c r="AP60" s="67">
        <v>2.4100971767564601E-2</v>
      </c>
      <c r="AQ60" s="68">
        <v>0.53201108200000002</v>
      </c>
      <c r="AR60" s="68">
        <v>8466</v>
      </c>
      <c r="AS60" s="68">
        <f t="shared" si="17"/>
        <v>141.1</v>
      </c>
      <c r="AT60" s="68">
        <f t="shared" si="35"/>
        <v>3.4006471164033649</v>
      </c>
      <c r="AU60" s="69">
        <f t="shared" si="18"/>
        <v>67.633099751080081</v>
      </c>
      <c r="AW60" s="82">
        <v>45046.927083333336</v>
      </c>
      <c r="AX60" s="121">
        <v>4.0310358999999997E-2</v>
      </c>
      <c r="AY60" s="83">
        <v>81.397704649999994</v>
      </c>
      <c r="AZ60" s="121">
        <v>7179</v>
      </c>
      <c r="BA60" s="83">
        <f t="shared" si="36"/>
        <v>119.65</v>
      </c>
      <c r="BB60" s="84">
        <f t="shared" si="37"/>
        <v>4.8231344543499999</v>
      </c>
      <c r="BC60" s="83">
        <f t="shared" si="38"/>
        <v>80.256457217326698</v>
      </c>
      <c r="BE60" s="87">
        <v>45047.84375</v>
      </c>
      <c r="BF60" s="118">
        <v>4.0495214245331798E-2</v>
      </c>
      <c r="BG60" s="88">
        <v>84.891986889999998</v>
      </c>
      <c r="BH60" s="89">
        <v>7442</v>
      </c>
      <c r="BI60" s="90">
        <f t="shared" si="19"/>
        <v>124.03333333333333</v>
      </c>
      <c r="BJ60" s="91">
        <f t="shared" si="20"/>
        <v>5.0227564068959873</v>
      </c>
      <c r="BK60" s="91">
        <f t="shared" si="21"/>
        <v>81.866259363796459</v>
      </c>
      <c r="BM60" s="93">
        <v>45049.84375</v>
      </c>
      <c r="BN60">
        <v>9.6052802079416702E-2</v>
      </c>
      <c r="BO60" s="95">
        <v>119.87671349999999</v>
      </c>
      <c r="BP60" s="4">
        <v>3741</v>
      </c>
      <c r="BQ60" s="95">
        <f t="shared" si="22"/>
        <v>62.35</v>
      </c>
      <c r="BR60" s="94">
        <f t="shared" si="23"/>
        <v>5.9888922096516319</v>
      </c>
      <c r="BS60" s="96">
        <f t="shared" si="24"/>
        <v>89.231906494615046</v>
      </c>
      <c r="BU60" s="10">
        <v>45051.104166666664</v>
      </c>
      <c r="BV60" s="119">
        <v>8.9957711384563294E-2</v>
      </c>
      <c r="BW60" s="21">
        <v>122.1341827</v>
      </c>
      <c r="BX60" s="120">
        <v>4512</v>
      </c>
      <c r="BY60" s="21">
        <f t="shared" si="25"/>
        <v>75.2</v>
      </c>
      <c r="BZ60" s="21">
        <f t="shared" si="26"/>
        <v>6.7648198961191603</v>
      </c>
      <c r="CA60" s="21">
        <f t="shared" si="27"/>
        <v>94.717466433600109</v>
      </c>
    </row>
    <row r="61" spans="1:79" x14ac:dyDescent="0.25">
      <c r="A61" s="10">
        <v>44776.604861111111</v>
      </c>
      <c r="B61" s="11">
        <v>2.1448380105844999E-3</v>
      </c>
      <c r="C61" s="12">
        <v>0.69815132099999999</v>
      </c>
      <c r="D61" s="9">
        <v>217</v>
      </c>
      <c r="E61" s="13">
        <f t="shared" si="8"/>
        <v>3.6166666666666667</v>
      </c>
      <c r="F61" s="12">
        <f t="shared" si="30"/>
        <v>7.7571641382806079E-3</v>
      </c>
      <c r="G61" s="13">
        <f t="shared" si="28"/>
        <v>3.4390710041697061</v>
      </c>
      <c r="I61" s="25">
        <v>44781.604861111111</v>
      </c>
      <c r="J61" s="26">
        <v>7.6504738912046904E-3</v>
      </c>
      <c r="K61" s="27">
        <v>21.08342828</v>
      </c>
      <c r="L61" s="28">
        <v>8903</v>
      </c>
      <c r="M61" s="29">
        <f t="shared" si="10"/>
        <v>148.38333333333333</v>
      </c>
      <c r="N61" s="26">
        <f t="shared" si="31"/>
        <v>1.1352028175565894</v>
      </c>
      <c r="O61" s="29">
        <f t="shared" si="11"/>
        <v>39.520557851236589</v>
      </c>
      <c r="Q61" s="35">
        <v>45136.604166666664</v>
      </c>
      <c r="R61" s="71">
        <v>1.14772214194534E-2</v>
      </c>
      <c r="S61" s="70">
        <v>1.88950475</v>
      </c>
      <c r="T61" s="36">
        <v>7854</v>
      </c>
      <c r="U61" s="37">
        <f t="shared" si="12"/>
        <v>130.9</v>
      </c>
      <c r="V61" s="37">
        <f t="shared" si="32"/>
        <v>1.50236828380645</v>
      </c>
      <c r="W61" s="38">
        <f t="shared" si="13"/>
        <v>45.33368254123814</v>
      </c>
      <c r="Y61" s="45">
        <v>45151.604166666664</v>
      </c>
      <c r="Z61" s="4">
        <v>6.4941977104702496E-3</v>
      </c>
      <c r="AA61" s="3">
        <v>0.59425534599999996</v>
      </c>
      <c r="AB61" s="4">
        <v>1297</v>
      </c>
      <c r="AC61" s="46">
        <f t="shared" si="14"/>
        <v>21.616666666666667</v>
      </c>
      <c r="AD61" s="47">
        <f t="shared" si="33"/>
        <v>0.14038290717466523</v>
      </c>
      <c r="AE61" s="50">
        <f t="shared" si="15"/>
        <v>0</v>
      </c>
      <c r="AG61" s="51">
        <v>45166.604166666664</v>
      </c>
      <c r="AH61" s="72">
        <v>2.6806143579513199E-2</v>
      </c>
      <c r="AI61" s="73">
        <v>2.1522282119999998</v>
      </c>
      <c r="AJ61" s="52">
        <v>9901</v>
      </c>
      <c r="AK61" s="53">
        <f t="shared" si="16"/>
        <v>165.01666666666668</v>
      </c>
      <c r="AL61" s="72">
        <f t="shared" si="34"/>
        <v>4.4234604596793368</v>
      </c>
      <c r="AM61" s="54">
        <f t="shared" si="29"/>
        <v>76.927800845856368</v>
      </c>
      <c r="AO61" s="66">
        <v>45183.604166666664</v>
      </c>
      <c r="AP61" s="67">
        <v>1.7258350457656599E-2</v>
      </c>
      <c r="AQ61" s="68">
        <v>0.81307424100000003</v>
      </c>
      <c r="AR61" s="68">
        <v>7471</v>
      </c>
      <c r="AS61" s="68">
        <f t="shared" si="17"/>
        <v>124.51666666666667</v>
      </c>
      <c r="AT61" s="68">
        <f t="shared" si="35"/>
        <v>2.1489522711525408</v>
      </c>
      <c r="AU61" s="69">
        <f t="shared" si="18"/>
        <v>54.018813623467587</v>
      </c>
      <c r="AW61" s="82">
        <v>45046.9375</v>
      </c>
      <c r="AX61" s="121">
        <v>4.9174943999999998E-2</v>
      </c>
      <c r="AY61" s="83">
        <v>85.762083380000007</v>
      </c>
      <c r="AZ61" s="121">
        <v>7179</v>
      </c>
      <c r="BA61" s="83">
        <f t="shared" si="36"/>
        <v>119.65</v>
      </c>
      <c r="BB61" s="84">
        <f t="shared" si="37"/>
        <v>5.8837820495999997</v>
      </c>
      <c r="BC61" s="83">
        <f t="shared" si="38"/>
        <v>88.461524281679715</v>
      </c>
      <c r="BE61" s="87">
        <v>45047.854166666664</v>
      </c>
      <c r="BF61" s="118">
        <v>3.96494890590572E-2</v>
      </c>
      <c r="BG61" s="88">
        <v>84.027783200000002</v>
      </c>
      <c r="BH61" s="89">
        <v>7441</v>
      </c>
      <c r="BI61" s="90">
        <f t="shared" si="19"/>
        <v>124.01666666666667</v>
      </c>
      <c r="BJ61" s="91">
        <f t="shared" si="20"/>
        <v>4.9171974681407438</v>
      </c>
      <c r="BK61" s="91">
        <f t="shared" si="21"/>
        <v>81.019158027383341</v>
      </c>
      <c r="BM61" s="93">
        <v>45049.854166666664</v>
      </c>
      <c r="BN61">
        <v>9.3097577309588106E-2</v>
      </c>
      <c r="BO61" s="95">
        <v>132.70838019999999</v>
      </c>
      <c r="BP61" s="4">
        <v>3627</v>
      </c>
      <c r="BQ61" s="95">
        <f t="shared" si="22"/>
        <v>60.45</v>
      </c>
      <c r="BR61" s="94">
        <f t="shared" si="23"/>
        <v>5.6277485483646013</v>
      </c>
      <c r="BS61" s="96">
        <f t="shared" si="24"/>
        <v>86.555065178774925</v>
      </c>
      <c r="BU61" s="10">
        <v>45051.114583333336</v>
      </c>
      <c r="BV61" s="119">
        <v>8.4573478519595804E-2</v>
      </c>
      <c r="BW61" s="21">
        <v>105.42475589999999</v>
      </c>
      <c r="BX61" s="120">
        <v>4531</v>
      </c>
      <c r="BY61" s="21">
        <f t="shared" si="25"/>
        <v>75.516666666666666</v>
      </c>
      <c r="BZ61" s="21">
        <f t="shared" si="26"/>
        <v>6.3867071862048101</v>
      </c>
      <c r="CA61" s="21">
        <f t="shared" si="27"/>
        <v>92.086876467994969</v>
      </c>
    </row>
    <row r="62" spans="1:79" x14ac:dyDescent="0.25">
      <c r="A62" s="10">
        <v>44776.615277777775</v>
      </c>
      <c r="B62" s="11">
        <v>6.3360207758395102E-3</v>
      </c>
      <c r="C62" s="12">
        <v>1.3141996124999999</v>
      </c>
      <c r="D62" s="9">
        <v>1822</v>
      </c>
      <c r="E62" s="13">
        <f t="shared" si="8"/>
        <v>30.366666666666667</v>
      </c>
      <c r="F62" s="12">
        <f t="shared" si="30"/>
        <v>0.19240383089299312</v>
      </c>
      <c r="G62" s="13">
        <f t="shared" si="28"/>
        <v>16.570402163552938</v>
      </c>
      <c r="I62" s="25">
        <v>44781.615277777775</v>
      </c>
      <c r="J62" s="26">
        <v>9.6643334557268094E-3</v>
      </c>
      <c r="K62" s="27">
        <v>28.119352749999901</v>
      </c>
      <c r="L62" s="28">
        <v>10574</v>
      </c>
      <c r="M62" s="29">
        <f t="shared" si="10"/>
        <v>176.23333333333332</v>
      </c>
      <c r="N62" s="26">
        <f t="shared" si="31"/>
        <v>1.703177699347588</v>
      </c>
      <c r="O62" s="29">
        <f t="shared" si="11"/>
        <v>48.206055461172006</v>
      </c>
      <c r="Q62" s="35">
        <v>45136.614583333336</v>
      </c>
      <c r="R62" s="71">
        <v>1.30097885776974E-2</v>
      </c>
      <c r="S62" s="70">
        <v>4.4021109559999996</v>
      </c>
      <c r="T62" s="36">
        <v>10081</v>
      </c>
      <c r="U62" s="37">
        <f t="shared" si="12"/>
        <v>168.01666666666668</v>
      </c>
      <c r="V62" s="37">
        <f t="shared" si="32"/>
        <v>2.1858613108627916</v>
      </c>
      <c r="W62" s="38">
        <f t="shared" si="13"/>
        <v>54.471179758949042</v>
      </c>
      <c r="Y62" s="45">
        <v>45151.614583333336</v>
      </c>
      <c r="Z62" s="4">
        <v>5.0241242592723896E-3</v>
      </c>
      <c r="AA62" s="3">
        <v>0.50323377899999999</v>
      </c>
      <c r="AB62" s="4">
        <v>905</v>
      </c>
      <c r="AC62" s="46">
        <f t="shared" si="14"/>
        <v>15.083333333333334</v>
      </c>
      <c r="AD62" s="47">
        <f t="shared" si="33"/>
        <v>7.5780540910691876E-2</v>
      </c>
      <c r="AE62" s="50">
        <f t="shared" si="15"/>
        <v>0</v>
      </c>
      <c r="AG62" s="51">
        <v>45166.614583333336</v>
      </c>
      <c r="AH62" s="72">
        <v>2.26472397089727E-2</v>
      </c>
      <c r="AI62" s="73">
        <v>1.729502407</v>
      </c>
      <c r="AJ62" s="52">
        <v>10038</v>
      </c>
      <c r="AK62" s="53">
        <f t="shared" si="16"/>
        <v>167.3</v>
      </c>
      <c r="AL62" s="72">
        <f t="shared" si="34"/>
        <v>3.788883203311133</v>
      </c>
      <c r="AM62" s="54">
        <f t="shared" si="29"/>
        <v>71.310016358111767</v>
      </c>
      <c r="AO62" s="66">
        <v>45183.614583333336</v>
      </c>
      <c r="AP62" s="67">
        <v>5.6744170912803898E-2</v>
      </c>
      <c r="AQ62" s="68">
        <v>1.200201638</v>
      </c>
      <c r="AR62" s="68">
        <v>9147</v>
      </c>
      <c r="AS62" s="68">
        <f t="shared" si="17"/>
        <v>152.44999999999999</v>
      </c>
      <c r="AT62" s="68">
        <f t="shared" si="35"/>
        <v>8.6506488556569536</v>
      </c>
      <c r="AU62" s="69">
        <f t="shared" si="18"/>
        <v>106.83814356839687</v>
      </c>
      <c r="AW62" s="82">
        <v>45046.947916666664</v>
      </c>
      <c r="AX62" s="121">
        <v>4.2629045999999997E-2</v>
      </c>
      <c r="AY62" s="83">
        <v>82.276892649999994</v>
      </c>
      <c r="AZ62" s="121">
        <v>6271</v>
      </c>
      <c r="BA62" s="83">
        <f t="shared" si="36"/>
        <v>104.51666666666667</v>
      </c>
      <c r="BB62" s="84">
        <f t="shared" si="37"/>
        <v>4.4554457910999998</v>
      </c>
      <c r="BC62" s="83">
        <f t="shared" si="38"/>
        <v>77.199696987500261</v>
      </c>
      <c r="BE62" s="87">
        <v>45047.864583333336</v>
      </c>
      <c r="BF62" s="118">
        <v>4.2526514183503797E-2</v>
      </c>
      <c r="BG62" s="88">
        <v>84.027783200000002</v>
      </c>
      <c r="BH62" s="89">
        <v>7317</v>
      </c>
      <c r="BI62" s="90">
        <f t="shared" si="19"/>
        <v>121.95</v>
      </c>
      <c r="BJ62" s="91">
        <f t="shared" si="20"/>
        <v>5.1861084046782882</v>
      </c>
      <c r="BK62" s="91">
        <f t="shared" si="21"/>
        <v>83.15943300506575</v>
      </c>
      <c r="BM62" s="93">
        <v>45049.864583333336</v>
      </c>
      <c r="BN62">
        <v>9.2480545026010996E-2</v>
      </c>
      <c r="BO62" s="95">
        <v>133.7707528</v>
      </c>
      <c r="BP62" s="4">
        <v>3560</v>
      </c>
      <c r="BQ62" s="95">
        <f t="shared" si="22"/>
        <v>59.333333333333336</v>
      </c>
      <c r="BR62" s="94">
        <f t="shared" si="23"/>
        <v>5.4871790048766522</v>
      </c>
      <c r="BS62" s="96">
        <f t="shared" si="24"/>
        <v>85.489516476400496</v>
      </c>
      <c r="BU62" s="10">
        <v>45051.125</v>
      </c>
      <c r="BV62" s="119">
        <v>8.9204004774220705E-2</v>
      </c>
      <c r="BW62" s="21">
        <v>109.8197124</v>
      </c>
      <c r="BX62" s="120">
        <v>4358</v>
      </c>
      <c r="BY62" s="21">
        <f t="shared" si="25"/>
        <v>72.63333333333334</v>
      </c>
      <c r="BZ62" s="21">
        <f t="shared" si="26"/>
        <v>6.4791842134342312</v>
      </c>
      <c r="CA62" s="21">
        <f t="shared" si="27"/>
        <v>92.737438741561135</v>
      </c>
    </row>
    <row r="63" spans="1:79" x14ac:dyDescent="0.25">
      <c r="A63" s="10">
        <v>44776.625694444447</v>
      </c>
      <c r="B63" s="11">
        <v>2.7100659833378001E-2</v>
      </c>
      <c r="C63" s="12">
        <v>12.6789259225</v>
      </c>
      <c r="D63" s="9">
        <v>10683</v>
      </c>
      <c r="E63" s="13">
        <f t="shared" si="8"/>
        <v>178.05</v>
      </c>
      <c r="F63" s="12">
        <f t="shared" si="30"/>
        <v>4.8252724833329532</v>
      </c>
      <c r="G63" s="13">
        <f t="shared" si="28"/>
        <v>80.273877098790663</v>
      </c>
      <c r="I63" s="25">
        <v>44781.625694444447</v>
      </c>
      <c r="J63" s="26">
        <v>1.03130225848837E-2</v>
      </c>
      <c r="K63" s="27">
        <v>32.007500319999998</v>
      </c>
      <c r="L63" s="28">
        <v>11744</v>
      </c>
      <c r="M63" s="29">
        <f t="shared" si="10"/>
        <v>195.73333333333332</v>
      </c>
      <c r="N63" s="26">
        <f t="shared" si="31"/>
        <v>2.0186022872812361</v>
      </c>
      <c r="O63" s="29">
        <f t="shared" si="11"/>
        <v>52.388619007464662</v>
      </c>
      <c r="Q63" s="35">
        <v>45136.625</v>
      </c>
      <c r="R63" s="71">
        <v>1.91440093988796E-2</v>
      </c>
      <c r="S63" s="70">
        <v>14.6021538</v>
      </c>
      <c r="T63" s="36">
        <v>10289</v>
      </c>
      <c r="U63" s="37">
        <f t="shared" si="12"/>
        <v>171.48333333333332</v>
      </c>
      <c r="V63" s="37">
        <f t="shared" si="32"/>
        <v>3.2828785450845364</v>
      </c>
      <c r="W63" s="38">
        <f t="shared" si="13"/>
        <v>66.475800518584137</v>
      </c>
      <c r="Y63" s="45">
        <v>45151.625</v>
      </c>
      <c r="Z63" s="4">
        <v>6.1805829942155003E-3</v>
      </c>
      <c r="AA63" s="3">
        <v>0.59425534599999996</v>
      </c>
      <c r="AB63" s="4">
        <v>1267</v>
      </c>
      <c r="AC63" s="46">
        <f t="shared" si="14"/>
        <v>21.116666666666667</v>
      </c>
      <c r="AD63" s="47">
        <f t="shared" si="33"/>
        <v>0.13051331089451731</v>
      </c>
      <c r="AE63" s="50">
        <f t="shared" si="15"/>
        <v>0</v>
      </c>
      <c r="AG63" s="51">
        <v>45166.625</v>
      </c>
      <c r="AH63" s="72">
        <v>2.02472921111106E-2</v>
      </c>
      <c r="AI63" s="73">
        <v>1.317101139</v>
      </c>
      <c r="AJ63" s="52">
        <v>9938</v>
      </c>
      <c r="AK63" s="53">
        <f t="shared" si="16"/>
        <v>165.63333333333333</v>
      </c>
      <c r="AL63" s="72">
        <f t="shared" si="34"/>
        <v>3.353626483336952</v>
      </c>
      <c r="AM63" s="54">
        <f t="shared" si="29"/>
        <v>67.173524646610915</v>
      </c>
      <c r="AO63" s="66">
        <v>45183.625</v>
      </c>
      <c r="AP63" s="67">
        <v>5.1852698622373301E-2</v>
      </c>
      <c r="AQ63" s="68">
        <v>1.9748874890000001</v>
      </c>
      <c r="AR63" s="68">
        <v>8687</v>
      </c>
      <c r="AS63" s="68">
        <f t="shared" si="17"/>
        <v>144.78333333333333</v>
      </c>
      <c r="AT63" s="68">
        <f t="shared" si="35"/>
        <v>7.5074065488759478</v>
      </c>
      <c r="AU63" s="69">
        <f t="shared" si="18"/>
        <v>99.673799545223744</v>
      </c>
      <c r="AW63" s="82">
        <v>45046.958333333336</v>
      </c>
      <c r="AX63" s="121">
        <v>4.4217264999999999E-2</v>
      </c>
      <c r="AY63" s="83">
        <v>81.405228940000001</v>
      </c>
      <c r="AZ63" s="121">
        <v>6313</v>
      </c>
      <c r="BA63" s="83">
        <f t="shared" si="36"/>
        <v>105.21666666666667</v>
      </c>
      <c r="BB63" s="84">
        <f t="shared" si="37"/>
        <v>4.6523932324166664</v>
      </c>
      <c r="BC63" s="83">
        <f t="shared" si="38"/>
        <v>78.852366764286216</v>
      </c>
      <c r="BE63" s="87">
        <v>45047.875</v>
      </c>
      <c r="BF63" s="118">
        <v>4.3113848719199301E-2</v>
      </c>
      <c r="BG63" s="88">
        <v>84.899432570000002</v>
      </c>
      <c r="BH63" s="89">
        <v>6957</v>
      </c>
      <c r="BI63" s="90">
        <f t="shared" si="19"/>
        <v>115.95</v>
      </c>
      <c r="BJ63" s="91">
        <f t="shared" si="20"/>
        <v>4.9990507589911592</v>
      </c>
      <c r="BK63" s="91">
        <f t="shared" si="21"/>
        <v>81.6768206745962</v>
      </c>
      <c r="BM63" s="93">
        <v>45049.875</v>
      </c>
      <c r="BN63">
        <v>0.106073387474772</v>
      </c>
      <c r="BO63" s="95">
        <v>135.52973059999999</v>
      </c>
      <c r="BP63" s="4">
        <v>3917</v>
      </c>
      <c r="BQ63" s="95">
        <f t="shared" si="22"/>
        <v>65.283333333333331</v>
      </c>
      <c r="BR63" s="94">
        <f t="shared" si="23"/>
        <v>6.9248243123113653</v>
      </c>
      <c r="BS63" s="96">
        <f t="shared" si="24"/>
        <v>95.8079973303809</v>
      </c>
      <c r="BU63" s="10">
        <v>45051.135416666664</v>
      </c>
      <c r="BV63" s="119">
        <v>8.7461120174415097E-2</v>
      </c>
      <c r="BW63" s="21">
        <v>99.304680700000006</v>
      </c>
      <c r="BX63" s="120">
        <v>4576</v>
      </c>
      <c r="BY63" s="21">
        <f t="shared" si="25"/>
        <v>76.266666666666666</v>
      </c>
      <c r="BZ63" s="21">
        <f t="shared" si="26"/>
        <v>6.6703680986353913</v>
      </c>
      <c r="CA63" s="21">
        <f t="shared" si="27"/>
        <v>94.067532064514893</v>
      </c>
    </row>
    <row r="64" spans="1:79" x14ac:dyDescent="0.25">
      <c r="A64" s="10">
        <v>44776.636111111111</v>
      </c>
      <c r="B64" s="11">
        <v>1.24645744986261E-2</v>
      </c>
      <c r="C64" s="12">
        <v>22.620213794999898</v>
      </c>
      <c r="D64" s="9">
        <v>11852</v>
      </c>
      <c r="E64" s="13">
        <f t="shared" si="8"/>
        <v>197.53333333333333</v>
      </c>
      <c r="F64" s="12">
        <f t="shared" si="30"/>
        <v>2.4621689492952754</v>
      </c>
      <c r="G64" s="13">
        <f t="shared" si="28"/>
        <v>57.74068660746331</v>
      </c>
      <c r="I64" s="25">
        <v>44781.636111111111</v>
      </c>
      <c r="J64" s="26">
        <v>9.1361670131292396E-3</v>
      </c>
      <c r="K64" s="27">
        <v>31.620971515000001</v>
      </c>
      <c r="L64" s="28">
        <v>9639</v>
      </c>
      <c r="M64" s="29">
        <f t="shared" si="10"/>
        <v>160.65</v>
      </c>
      <c r="N64" s="26">
        <f t="shared" si="31"/>
        <v>1.4677252306592123</v>
      </c>
      <c r="O64" s="29">
        <f t="shared" si="11"/>
        <v>44.818728513329802</v>
      </c>
      <c r="Q64" s="35">
        <v>45136.635416666664</v>
      </c>
      <c r="R64" s="71">
        <v>2.2161578187086601E-2</v>
      </c>
      <c r="S64" s="70">
        <v>13.238676509999999</v>
      </c>
      <c r="T64" s="36">
        <v>9280</v>
      </c>
      <c r="U64" s="37">
        <f t="shared" si="12"/>
        <v>154.66666666666666</v>
      </c>
      <c r="V64" s="37">
        <f t="shared" si="32"/>
        <v>3.427657426269394</v>
      </c>
      <c r="W64" s="38">
        <f t="shared" si="13"/>
        <v>67.895630319562855</v>
      </c>
      <c r="Y64" s="45">
        <v>45151.635416666664</v>
      </c>
      <c r="Z64" s="4">
        <v>6.3237965110980602E-3</v>
      </c>
      <c r="AA64" s="3">
        <v>0.69769667099999999</v>
      </c>
      <c r="AB64" s="4">
        <v>1633</v>
      </c>
      <c r="AC64" s="46">
        <f t="shared" si="14"/>
        <v>27.216666666666665</v>
      </c>
      <c r="AD64" s="47">
        <f t="shared" si="33"/>
        <v>0.17211266171038553</v>
      </c>
      <c r="AE64" s="50">
        <f t="shared" si="15"/>
        <v>0</v>
      </c>
      <c r="AG64" s="51">
        <v>45166.635416666664</v>
      </c>
      <c r="AH64" s="72">
        <v>1.9758487775732199E-2</v>
      </c>
      <c r="AI64" s="73">
        <v>1.200201638</v>
      </c>
      <c r="AJ64" s="52">
        <v>9561</v>
      </c>
      <c r="AK64" s="53">
        <f t="shared" si="16"/>
        <v>159.35</v>
      </c>
      <c r="AL64" s="72">
        <f t="shared" si="34"/>
        <v>3.1485150270629259</v>
      </c>
      <c r="AM64" s="54">
        <f t="shared" si="29"/>
        <v>65.129236714115137</v>
      </c>
      <c r="AO64" s="66">
        <v>45183.635416666664</v>
      </c>
      <c r="AP64" s="67">
        <v>5.3260935853835997E-2</v>
      </c>
      <c r="AQ64" s="68">
        <v>1.5125919880000001</v>
      </c>
      <c r="AR64" s="68">
        <v>8011</v>
      </c>
      <c r="AS64" s="68">
        <f t="shared" si="17"/>
        <v>133.51666666666668</v>
      </c>
      <c r="AT64" s="68">
        <f t="shared" si="35"/>
        <v>7.111222618751337</v>
      </c>
      <c r="AU64" s="69">
        <f t="shared" si="18"/>
        <v>97.062328103421052</v>
      </c>
      <c r="AW64" s="82">
        <v>45046.96875</v>
      </c>
      <c r="AX64" s="121">
        <v>4.4653986999999999E-2</v>
      </c>
      <c r="AY64" s="83">
        <v>77.875916610000004</v>
      </c>
      <c r="AZ64" s="121">
        <v>6250</v>
      </c>
      <c r="BA64" s="83">
        <f t="shared" si="36"/>
        <v>104.16666666666667</v>
      </c>
      <c r="BB64" s="84">
        <f t="shared" si="37"/>
        <v>4.6514569791666664</v>
      </c>
      <c r="BC64" s="83">
        <f t="shared" si="38"/>
        <v>78.844595636301676</v>
      </c>
      <c r="BE64" s="87">
        <v>45047.885416666664</v>
      </c>
      <c r="BF64" s="118">
        <v>4.4601137040666199E-2</v>
      </c>
      <c r="BG64" s="88">
        <v>82.718647970000006</v>
      </c>
      <c r="BH64" s="89">
        <v>6997</v>
      </c>
      <c r="BI64" s="90">
        <f t="shared" si="19"/>
        <v>116.61666666666666</v>
      </c>
      <c r="BJ64" s="91">
        <f t="shared" si="20"/>
        <v>5.2012359312256899</v>
      </c>
      <c r="BK64" s="91">
        <f t="shared" si="21"/>
        <v>83.278131465126677</v>
      </c>
      <c r="BM64" s="93">
        <v>45049.885416666664</v>
      </c>
      <c r="BN64">
        <v>9.5922141710424999E-2</v>
      </c>
      <c r="BO64" s="95">
        <v>129.12778700000001</v>
      </c>
      <c r="BP64" s="4">
        <v>3623</v>
      </c>
      <c r="BQ64" s="95">
        <f t="shared" si="22"/>
        <v>60.383333333333333</v>
      </c>
      <c r="BR64" s="94">
        <f t="shared" si="23"/>
        <v>5.7920986569478297</v>
      </c>
      <c r="BS64" s="96">
        <f t="shared" si="24"/>
        <v>87.783796153347112</v>
      </c>
      <c r="BU64" s="10">
        <v>45051.145833333336</v>
      </c>
      <c r="BV64" s="119">
        <v>7.9281719070325898E-2</v>
      </c>
      <c r="BW64" s="21">
        <v>98.474887140000007</v>
      </c>
      <c r="BX64" s="120">
        <v>4606</v>
      </c>
      <c r="BY64" s="21">
        <f t="shared" si="25"/>
        <v>76.766666666666666</v>
      </c>
      <c r="BZ64" s="21">
        <f t="shared" si="26"/>
        <v>6.0861933006320177</v>
      </c>
      <c r="CA64" s="21">
        <f t="shared" si="27"/>
        <v>89.938927080289218</v>
      </c>
    </row>
    <row r="65" spans="1:79" x14ac:dyDescent="0.25">
      <c r="A65" s="10">
        <v>44776.646527777775</v>
      </c>
      <c r="B65" s="11">
        <v>1.0060327126060999E-2</v>
      </c>
      <c r="C65" s="12">
        <v>19.508647905</v>
      </c>
      <c r="D65" s="9">
        <v>9885</v>
      </c>
      <c r="E65" s="13">
        <f t="shared" si="8"/>
        <v>164.75</v>
      </c>
      <c r="F65" s="12">
        <f t="shared" si="30"/>
        <v>1.6574388940185496</v>
      </c>
      <c r="G65" s="13">
        <f t="shared" si="28"/>
        <v>47.567699592066525</v>
      </c>
      <c r="I65" s="25">
        <v>44781.646527777775</v>
      </c>
      <c r="J65" s="26">
        <v>8.4765582589645706E-3</v>
      </c>
      <c r="K65" s="27">
        <v>30.826982135000002</v>
      </c>
      <c r="L65" s="28">
        <v>9640</v>
      </c>
      <c r="M65" s="29">
        <f t="shared" si="10"/>
        <v>160.66666666666666</v>
      </c>
      <c r="N65" s="26">
        <f t="shared" si="31"/>
        <v>1.361900360273641</v>
      </c>
      <c r="O65" s="29">
        <f t="shared" si="11"/>
        <v>43.206049923903961</v>
      </c>
      <c r="Q65" s="35">
        <v>45136.645833333336</v>
      </c>
      <c r="R65" s="71">
        <v>2.74909315822277E-2</v>
      </c>
      <c r="S65" s="70">
        <v>14.6021538</v>
      </c>
      <c r="T65" s="36">
        <v>9010</v>
      </c>
      <c r="U65" s="37">
        <f t="shared" si="12"/>
        <v>150.16666666666666</v>
      </c>
      <c r="V65" s="37">
        <f t="shared" si="32"/>
        <v>4.1282215592645262</v>
      </c>
      <c r="W65" s="38">
        <f t="shared" si="13"/>
        <v>74.369135417746435</v>
      </c>
      <c r="Y65" s="45">
        <v>45151.645833333336</v>
      </c>
      <c r="Z65" s="4">
        <v>4.28503411207875E-3</v>
      </c>
      <c r="AA65" s="3">
        <v>0.50323377899999999</v>
      </c>
      <c r="AB65" s="4">
        <v>999</v>
      </c>
      <c r="AC65" s="46">
        <f t="shared" si="14"/>
        <v>16.649999999999999</v>
      </c>
      <c r="AD65" s="47">
        <f t="shared" si="33"/>
        <v>7.1345817966111183E-2</v>
      </c>
      <c r="AE65" s="50">
        <f t="shared" si="15"/>
        <v>0</v>
      </c>
      <c r="AG65" s="51">
        <v>45166.645833333336</v>
      </c>
      <c r="AH65" s="72">
        <v>2.1139988783839998E-2</v>
      </c>
      <c r="AI65" s="73">
        <v>1.511415151</v>
      </c>
      <c r="AJ65" s="52">
        <v>9841</v>
      </c>
      <c r="AK65" s="53">
        <f t="shared" si="16"/>
        <v>164.01666666666668</v>
      </c>
      <c r="AL65" s="72">
        <f t="shared" si="34"/>
        <v>3.4673104936961572</v>
      </c>
      <c r="AM65" s="54">
        <f t="shared" si="29"/>
        <v>68.27913876301389</v>
      </c>
      <c r="AO65" s="66">
        <v>45183.645833333336</v>
      </c>
      <c r="AP65" s="67">
        <v>4.0899762043143599E-2</v>
      </c>
      <c r="AQ65" s="68">
        <v>1.0404225359999999</v>
      </c>
      <c r="AR65" s="68">
        <v>8770</v>
      </c>
      <c r="AS65" s="68">
        <f t="shared" si="17"/>
        <v>146.16666666666666</v>
      </c>
      <c r="AT65" s="68">
        <f t="shared" si="35"/>
        <v>5.9781818853061557</v>
      </c>
      <c r="AU65" s="69">
        <f t="shared" si="18"/>
        <v>89.15372486745953</v>
      </c>
      <c r="AW65" s="82">
        <v>45046.979166666664</v>
      </c>
      <c r="AX65" s="121">
        <v>4.6686294000000003E-2</v>
      </c>
      <c r="AY65" s="83">
        <v>77.875916610000004</v>
      </c>
      <c r="AZ65" s="121">
        <v>6465</v>
      </c>
      <c r="BA65" s="83">
        <f t="shared" si="36"/>
        <v>107.75</v>
      </c>
      <c r="BB65" s="84">
        <f t="shared" si="37"/>
        <v>5.0304481785000004</v>
      </c>
      <c r="BC65" s="83">
        <f t="shared" si="38"/>
        <v>81.927628458854997</v>
      </c>
      <c r="BE65" s="87">
        <v>45047.895833333336</v>
      </c>
      <c r="BF65" s="118">
        <v>4.4362627564106201E-2</v>
      </c>
      <c r="BG65" s="88">
        <v>86.199962600000006</v>
      </c>
      <c r="BH65" s="89">
        <v>7226</v>
      </c>
      <c r="BI65" s="90">
        <f t="shared" si="19"/>
        <v>120.43333333333334</v>
      </c>
      <c r="BJ65" s="91">
        <f t="shared" si="20"/>
        <v>5.3427391129705235</v>
      </c>
      <c r="BK65" s="91">
        <f t="shared" si="21"/>
        <v>84.380016860651793</v>
      </c>
      <c r="BM65" s="93">
        <v>45049.895833333336</v>
      </c>
      <c r="BN65">
        <v>8.6829775335143702E-2</v>
      </c>
      <c r="BO65" s="95">
        <v>119.87671349999999</v>
      </c>
      <c r="BP65" s="4">
        <v>3767</v>
      </c>
      <c r="BQ65" s="95">
        <f t="shared" si="22"/>
        <v>62.783333333333331</v>
      </c>
      <c r="BR65" s="94">
        <f t="shared" si="23"/>
        <v>5.4514627281247723</v>
      </c>
      <c r="BS65" s="96">
        <f t="shared" si="24"/>
        <v>85.216566503490611</v>
      </c>
      <c r="BU65" s="10">
        <v>45051.15625</v>
      </c>
      <c r="BV65" s="119">
        <v>8.1649983623313396E-2</v>
      </c>
      <c r="BW65" s="21">
        <v>109.0251016</v>
      </c>
      <c r="BX65" s="120">
        <v>4530</v>
      </c>
      <c r="BY65" s="21">
        <f t="shared" si="25"/>
        <v>75.5</v>
      </c>
      <c r="BZ65" s="21">
        <f t="shared" si="26"/>
        <v>6.1645737635601616</v>
      </c>
      <c r="CA65" s="21">
        <f t="shared" si="27"/>
        <v>90.504280063681136</v>
      </c>
    </row>
    <row r="66" spans="1:79" x14ac:dyDescent="0.25">
      <c r="A66" s="10">
        <v>44776.656944444447</v>
      </c>
      <c r="B66" s="11">
        <v>8.5108884807833796E-3</v>
      </c>
      <c r="C66" s="12">
        <v>15.20489341</v>
      </c>
      <c r="D66" s="9">
        <v>7309</v>
      </c>
      <c r="E66" s="13">
        <f t="shared" si="8"/>
        <v>121.81666666666666</v>
      </c>
      <c r="F66" s="12">
        <f t="shared" si="30"/>
        <v>1.036768065100762</v>
      </c>
      <c r="G66" s="13">
        <f t="shared" si="28"/>
        <v>37.803575502160662</v>
      </c>
      <c r="I66" s="25">
        <v>44781.656944444447</v>
      </c>
      <c r="J66" s="26">
        <v>9.0524697506822703E-3</v>
      </c>
      <c r="K66" s="27">
        <v>30.790400730000002</v>
      </c>
      <c r="L66" s="28">
        <v>9073</v>
      </c>
      <c r="M66" s="29">
        <f t="shared" si="10"/>
        <v>151.21666666666667</v>
      </c>
      <c r="N66" s="26">
        <f t="shared" si="31"/>
        <v>1.3688843007990039</v>
      </c>
      <c r="O66" s="29">
        <f t="shared" si="11"/>
        <v>43.31440835604613</v>
      </c>
      <c r="Q66" s="35">
        <v>45136.65625</v>
      </c>
      <c r="R66" s="71">
        <v>3.3894640450781402E-2</v>
      </c>
      <c r="S66" s="70">
        <v>20.131538750000001</v>
      </c>
      <c r="T66" s="36">
        <v>7529</v>
      </c>
      <c r="U66" s="37">
        <f t="shared" si="12"/>
        <v>125.48333333333333</v>
      </c>
      <c r="V66" s="37">
        <f t="shared" si="32"/>
        <v>4.2532124658988861</v>
      </c>
      <c r="W66" s="38">
        <f t="shared" si="13"/>
        <v>75.463396074733694</v>
      </c>
      <c r="Y66" s="45">
        <v>45151.65625</v>
      </c>
      <c r="Z66" s="4">
        <v>5.3342621805738399E-3</v>
      </c>
      <c r="AA66" s="3">
        <v>0.59425534599999996</v>
      </c>
      <c r="AB66" s="4">
        <v>1215</v>
      </c>
      <c r="AC66" s="46">
        <f t="shared" si="14"/>
        <v>20.25</v>
      </c>
      <c r="AD66" s="47">
        <f t="shared" si="33"/>
        <v>0.10801880915662027</v>
      </c>
      <c r="AE66" s="50">
        <f t="shared" si="15"/>
        <v>0</v>
      </c>
      <c r="AG66" s="51">
        <v>45166.65625</v>
      </c>
      <c r="AH66" s="72">
        <v>2.1083112129099899E-2</v>
      </c>
      <c r="AI66" s="73">
        <v>1.200201638</v>
      </c>
      <c r="AJ66" s="52">
        <v>9102</v>
      </c>
      <c r="AK66" s="53">
        <f t="shared" si="16"/>
        <v>151.69999999999999</v>
      </c>
      <c r="AL66" s="72">
        <f t="shared" si="34"/>
        <v>3.1983081099844544</v>
      </c>
      <c r="AM66" s="54">
        <f t="shared" si="29"/>
        <v>65.631610794766416</v>
      </c>
      <c r="AO66" s="66">
        <v>45183.65625</v>
      </c>
      <c r="AP66" s="67">
        <v>6.2147021210142303E-2</v>
      </c>
      <c r="AQ66" s="68">
        <v>1.8086265969999999</v>
      </c>
      <c r="AR66" s="68">
        <v>7627</v>
      </c>
      <c r="AS66" s="68">
        <f t="shared" si="17"/>
        <v>127.11666666666666</v>
      </c>
      <c r="AT66" s="68">
        <f t="shared" si="35"/>
        <v>7.8999221794959222</v>
      </c>
      <c r="AU66" s="69">
        <f t="shared" si="18"/>
        <v>102.1926083809247</v>
      </c>
      <c r="AW66" s="82">
        <v>45046.989583333336</v>
      </c>
      <c r="AX66" s="121">
        <v>4.7387278999999997E-2</v>
      </c>
      <c r="AY66" s="83">
        <v>80.961047410000006</v>
      </c>
      <c r="AZ66" s="121">
        <v>6049</v>
      </c>
      <c r="BA66" s="83">
        <f t="shared" si="36"/>
        <v>100.81666666666666</v>
      </c>
      <c r="BB66" s="84">
        <f t="shared" si="37"/>
        <v>4.7774275111833333</v>
      </c>
      <c r="BC66" s="83">
        <f t="shared" si="38"/>
        <v>79.883106696123889</v>
      </c>
      <c r="BE66" s="87">
        <v>45047.90625</v>
      </c>
      <c r="BF66" s="118">
        <v>4.1361693243066398E-2</v>
      </c>
      <c r="BG66" s="88">
        <v>86.199962600000006</v>
      </c>
      <c r="BH66" s="89">
        <v>7198</v>
      </c>
      <c r="BI66" s="90">
        <f t="shared" si="19"/>
        <v>119.96666666666667</v>
      </c>
      <c r="BJ66" s="91">
        <f t="shared" si="20"/>
        <v>4.9620244660598658</v>
      </c>
      <c r="BK66" s="91">
        <f t="shared" si="21"/>
        <v>81.380013330349172</v>
      </c>
      <c r="BM66" s="93">
        <v>45049.90625</v>
      </c>
      <c r="BN66">
        <v>0.10483621117073399</v>
      </c>
      <c r="BO66" s="95">
        <v>130.567172</v>
      </c>
      <c r="BP66" s="4">
        <v>3699</v>
      </c>
      <c r="BQ66" s="95">
        <f t="shared" si="22"/>
        <v>61.65</v>
      </c>
      <c r="BR66" s="94">
        <f t="shared" si="23"/>
        <v>6.463152418675751</v>
      </c>
      <c r="BS66" s="96">
        <f t="shared" si="24"/>
        <v>92.624998581066876</v>
      </c>
      <c r="BU66" s="10">
        <v>45051.166666666664</v>
      </c>
      <c r="BV66" s="119">
        <v>9.0325333527084301E-2</v>
      </c>
      <c r="BW66" s="21">
        <v>107.0292163</v>
      </c>
      <c r="BX66" s="120">
        <v>4675</v>
      </c>
      <c r="BY66" s="21">
        <f t="shared" si="25"/>
        <v>77.916666666666671</v>
      </c>
      <c r="BZ66" s="21">
        <f t="shared" si="26"/>
        <v>7.0378489039853189</v>
      </c>
      <c r="CA66" s="21">
        <f t="shared" si="27"/>
        <v>96.570600212764106</v>
      </c>
    </row>
    <row r="67" spans="1:79" x14ac:dyDescent="0.25">
      <c r="A67" s="10">
        <v>44776.667361111111</v>
      </c>
      <c r="B67" s="11">
        <v>8.7778912773804098E-3</v>
      </c>
      <c r="C67" s="12">
        <v>17.173613769999999</v>
      </c>
      <c r="D67" s="9">
        <v>8052</v>
      </c>
      <c r="E67" s="13">
        <f t="shared" si="8"/>
        <v>134.19999999999999</v>
      </c>
      <c r="F67" s="12">
        <f t="shared" ref="F67:F94" si="39">E67*B67</f>
        <v>1.1779930094244508</v>
      </c>
      <c r="G67" s="13">
        <f t="shared" si="28"/>
        <v>40.243169637786821</v>
      </c>
      <c r="I67" s="25">
        <v>44781.667361111111</v>
      </c>
      <c r="J67" s="26">
        <v>7.8646514729987498E-3</v>
      </c>
      <c r="K67" s="27">
        <v>28.530895780000002</v>
      </c>
      <c r="L67" s="28">
        <v>7779</v>
      </c>
      <c r="M67" s="29">
        <f t="shared" si="10"/>
        <v>129.65</v>
      </c>
      <c r="N67" s="26">
        <f t="shared" ref="N67:N98" si="40">M67*J67</f>
        <v>1.0196520634742881</v>
      </c>
      <c r="O67" s="29">
        <f t="shared" si="11"/>
        <v>37.496655980859039</v>
      </c>
      <c r="Q67" s="35">
        <v>45136.666666666664</v>
      </c>
      <c r="R67" s="71">
        <v>2.8544689536798101E-2</v>
      </c>
      <c r="S67" s="70">
        <v>10.529934320000001</v>
      </c>
      <c r="T67" s="36">
        <v>8328</v>
      </c>
      <c r="U67" s="37">
        <f t="shared" si="12"/>
        <v>138.80000000000001</v>
      </c>
      <c r="V67" s="37">
        <f t="shared" ref="V67:V100" si="41">R67*U67</f>
        <v>3.9620029077075767</v>
      </c>
      <c r="W67" s="38">
        <f t="shared" si="13"/>
        <v>72.887401129850275</v>
      </c>
      <c r="Y67" s="45">
        <v>45151.666666666664</v>
      </c>
      <c r="Z67" s="4">
        <v>4.94110435991711E-3</v>
      </c>
      <c r="AA67" s="3">
        <v>0.59425534599999996</v>
      </c>
      <c r="AB67" s="4">
        <v>1160</v>
      </c>
      <c r="AC67" s="46">
        <f t="shared" si="14"/>
        <v>19.333333333333332</v>
      </c>
      <c r="AD67" s="47">
        <f t="shared" ref="AD67:AD98" si="42">AC67*Z67</f>
        <v>9.5528017625064118E-2</v>
      </c>
      <c r="AE67" s="50">
        <f t="shared" si="15"/>
        <v>0</v>
      </c>
      <c r="AG67" s="51">
        <v>45166.666666666664</v>
      </c>
      <c r="AH67" s="72">
        <v>1.64349425586818E-2</v>
      </c>
      <c r="AI67" s="73">
        <v>0.89859415399999998</v>
      </c>
      <c r="AJ67" s="52">
        <v>8363</v>
      </c>
      <c r="AK67" s="53">
        <f t="shared" si="16"/>
        <v>139.38333333333333</v>
      </c>
      <c r="AL67" s="72">
        <f t="shared" ref="AL67:AL98" si="43">AK67*AH67</f>
        <v>2.2907570769709316</v>
      </c>
      <c r="AM67" s="54">
        <f t="shared" si="29"/>
        <v>55.735939623692062</v>
      </c>
      <c r="AO67" s="66">
        <v>45183.666666666664</v>
      </c>
      <c r="AP67" s="67">
        <v>6.7195709589701405E-2</v>
      </c>
      <c r="AQ67" s="68">
        <v>1.9734137430000001</v>
      </c>
      <c r="AR67" s="68">
        <v>6705</v>
      </c>
      <c r="AS67" s="68">
        <f t="shared" si="17"/>
        <v>111.75</v>
      </c>
      <c r="AT67" s="68">
        <f t="shared" ref="AT67:AT98" si="44">AS67*AP67</f>
        <v>7.5091205466491324</v>
      </c>
      <c r="AU67" s="69">
        <f t="shared" si="18"/>
        <v>99.684942648089418</v>
      </c>
      <c r="AW67" s="82">
        <v>45047</v>
      </c>
      <c r="AX67" s="121">
        <v>4.7906320000000002E-2</v>
      </c>
      <c r="AY67" s="83">
        <v>82.276892649999994</v>
      </c>
      <c r="AZ67" s="121">
        <v>6026</v>
      </c>
      <c r="BA67" s="83">
        <f t="shared" si="36"/>
        <v>100.43333333333334</v>
      </c>
      <c r="BB67" s="84">
        <f t="shared" si="37"/>
        <v>4.8113914053333335</v>
      </c>
      <c r="BC67" s="83">
        <f t="shared" si="38"/>
        <v>80.160708793370546</v>
      </c>
      <c r="BE67" s="87">
        <v>45047.916666666664</v>
      </c>
      <c r="BF67" s="118">
        <v>5.7988092370202797E-2</v>
      </c>
      <c r="BG67" s="88">
        <v>87.494480339999996</v>
      </c>
      <c r="BH67" s="89">
        <v>4784</v>
      </c>
      <c r="BI67" s="90">
        <f t="shared" si="19"/>
        <v>79.733333333333334</v>
      </c>
      <c r="BJ67" s="91">
        <f t="shared" si="20"/>
        <v>4.623583898317503</v>
      </c>
      <c r="BK67" s="91">
        <f t="shared" si="21"/>
        <v>78.612875640169861</v>
      </c>
      <c r="BM67" s="93">
        <v>45049.916666666664</v>
      </c>
      <c r="BN67">
        <v>9.3491647134785097E-2</v>
      </c>
      <c r="BO67" s="95">
        <v>122.1341827</v>
      </c>
      <c r="BP67" s="4">
        <v>3729</v>
      </c>
      <c r="BQ67" s="95">
        <f t="shared" si="22"/>
        <v>62.15</v>
      </c>
      <c r="BR67" s="94">
        <f t="shared" si="23"/>
        <v>5.8105058694268941</v>
      </c>
      <c r="BS67" s="96">
        <f t="shared" si="24"/>
        <v>87.920299972711945</v>
      </c>
      <c r="BU67" s="10">
        <v>45051.177083333336</v>
      </c>
      <c r="BV67" s="119">
        <v>7.9954241189571798E-2</v>
      </c>
      <c r="BW67" s="21">
        <v>101.7699069</v>
      </c>
      <c r="BX67" s="120">
        <v>4481</v>
      </c>
      <c r="BY67" s="21">
        <f t="shared" si="25"/>
        <v>74.683333333333337</v>
      </c>
      <c r="BZ67" s="21">
        <f t="shared" si="26"/>
        <v>5.971249246174521</v>
      </c>
      <c r="CA67" s="21">
        <f t="shared" si="27"/>
        <v>89.103080911235722</v>
      </c>
    </row>
    <row r="68" spans="1:79" x14ac:dyDescent="0.25">
      <c r="A68" s="10">
        <v>44776.677777777775</v>
      </c>
      <c r="B68" s="11">
        <v>8.7982744717244495E-3</v>
      </c>
      <c r="C68" s="12">
        <v>19.879890565</v>
      </c>
      <c r="D68" s="9">
        <v>9082</v>
      </c>
      <c r="E68" s="13">
        <f t="shared" ref="E68:E94" si="45">D68/60</f>
        <v>151.36666666666667</v>
      </c>
      <c r="F68" s="12">
        <f t="shared" si="39"/>
        <v>1.3317654792033575</v>
      </c>
      <c r="G68" s="13">
        <f t="shared" si="28"/>
        <v>42.735212073900847</v>
      </c>
      <c r="I68" s="25">
        <v>44781.677777777775</v>
      </c>
      <c r="J68" s="26">
        <v>7.7673222083756502E-3</v>
      </c>
      <c r="K68" s="27">
        <v>25.756546825000001</v>
      </c>
      <c r="L68" s="28">
        <v>6901</v>
      </c>
      <c r="M68" s="29">
        <f t="shared" ref="M68:M99" si="46">L68/60</f>
        <v>115.01666666666667</v>
      </c>
      <c r="N68" s="26">
        <f t="shared" si="40"/>
        <v>0.89337150933333931</v>
      </c>
      <c r="O68" s="29">
        <f t="shared" ref="O68:O99" si="47">IF(37.141*N68^0.4897&gt;22.6, 37.141*N68^0.4897, 0)</f>
        <v>35.145846764055413</v>
      </c>
      <c r="Q68" s="35">
        <v>45136.677083333336</v>
      </c>
      <c r="R68" s="71">
        <v>1.9428027849175401E-2</v>
      </c>
      <c r="S68" s="70">
        <v>5.509495866</v>
      </c>
      <c r="T68" s="36">
        <v>9064</v>
      </c>
      <c r="U68" s="37">
        <f t="shared" ref="U68:U100" si="48">T68/60</f>
        <v>151.06666666666666</v>
      </c>
      <c r="V68" s="37">
        <f t="shared" si="41"/>
        <v>2.934927407082097</v>
      </c>
      <c r="W68" s="38">
        <f t="shared" ref="W68:W100" si="49">IF(37.141*V68^0.4897&gt;22.6, 37.141*V68^0.4897, 0)</f>
        <v>62.926854263426122</v>
      </c>
      <c r="Y68" s="45">
        <v>45151.677083333336</v>
      </c>
      <c r="Z68" s="4">
        <v>6.99976730464526E-3</v>
      </c>
      <c r="AA68" s="3">
        <v>0.89783227600000004</v>
      </c>
      <c r="AB68" s="4">
        <v>2164</v>
      </c>
      <c r="AC68" s="46">
        <f t="shared" ref="AC68:AC99" si="50">AB68/60</f>
        <v>36.06666666666667</v>
      </c>
      <c r="AD68" s="47">
        <f t="shared" si="42"/>
        <v>0.25245827412087241</v>
      </c>
      <c r="AE68" s="50">
        <f t="shared" ref="AE68:AE99" si="51">IF(37.141*AD68^0.4897&gt;22.6, 37.141*AD68^0.4897, 0)</f>
        <v>0</v>
      </c>
      <c r="AG68" s="51">
        <v>45166.677083333336</v>
      </c>
      <c r="AH68" s="72">
        <v>1.59233748664541E-2</v>
      </c>
      <c r="AI68" s="73">
        <v>0.77321039300000005</v>
      </c>
      <c r="AJ68" s="52">
        <v>7242</v>
      </c>
      <c r="AK68" s="53">
        <f t="shared" ref="AK68:AK99" si="52">AJ68/60</f>
        <v>120.7</v>
      </c>
      <c r="AL68" s="72">
        <f t="shared" si="43"/>
        <v>1.9219513463810098</v>
      </c>
      <c r="AM68" s="54">
        <f t="shared" ref="AM68:AM99" si="53">IF(37.141*AL68^0.4897&gt;22.6, 37.141*AL68^0.4897, 0)</f>
        <v>51.144889047467956</v>
      </c>
      <c r="AO68" s="66">
        <v>45183.677083333336</v>
      </c>
      <c r="AP68" s="67">
        <v>6.8238673667422395E-2</v>
      </c>
      <c r="AQ68" s="68">
        <v>2.8809824239999999</v>
      </c>
      <c r="AR68" s="68">
        <v>5452</v>
      </c>
      <c r="AS68" s="68">
        <f t="shared" ref="AS68:AS99" si="54">AR68/60</f>
        <v>90.86666666666666</v>
      </c>
      <c r="AT68" s="68">
        <f t="shared" si="44"/>
        <v>6.2006208139131145</v>
      </c>
      <c r="AU68" s="69">
        <f t="shared" ref="AU68:AU99" si="55">IF(37.141*AT68^0.4897&gt;22.6, 37.141*AT68^0.4897, 0)</f>
        <v>90.763053303722728</v>
      </c>
      <c r="AW68" s="82">
        <v>45047.010416666664</v>
      </c>
      <c r="AX68" s="121">
        <v>4.7516329000000003E-2</v>
      </c>
      <c r="AY68" s="83">
        <v>82.276892649999994</v>
      </c>
      <c r="AZ68" s="121">
        <v>5893</v>
      </c>
      <c r="BA68" s="83">
        <f t="shared" si="36"/>
        <v>98.216666666666669</v>
      </c>
      <c r="BB68" s="84">
        <f t="shared" si="37"/>
        <v>4.6668954466166674</v>
      </c>
      <c r="BC68" s="83">
        <f t="shared" si="38"/>
        <v>78.972636880082561</v>
      </c>
      <c r="BE68" s="87">
        <v>45047.927083333336</v>
      </c>
      <c r="BF68" s="118">
        <v>5.9000303321023101E-2</v>
      </c>
      <c r="BG68" s="88">
        <v>86.199962600000006</v>
      </c>
      <c r="BH68" s="89">
        <v>4683</v>
      </c>
      <c r="BI68" s="90">
        <f t="shared" ref="BI68:BI131" si="56">BH68/60</f>
        <v>78.05</v>
      </c>
      <c r="BJ68" s="91">
        <f t="shared" ref="BJ68:BJ131" si="57">BI68*BF68</f>
        <v>4.6049736742058531</v>
      </c>
      <c r="BK68" s="91">
        <f t="shared" ref="BK68:BK131" si="58">IF(37.141*BJ68^0.4897&gt;22.6, 37.141*BJ68^0.4897, 0)</f>
        <v>78.457764374320973</v>
      </c>
      <c r="BM68" s="93">
        <v>45049.927083333336</v>
      </c>
      <c r="BN68">
        <v>9.4867586968939696E-2</v>
      </c>
      <c r="BO68" s="95">
        <v>136.5531871</v>
      </c>
      <c r="BP68" s="4">
        <v>3692</v>
      </c>
      <c r="BQ68" s="95">
        <f t="shared" ref="BQ68:BQ131" si="59">BP68/60</f>
        <v>61.533333333333331</v>
      </c>
      <c r="BR68" s="94">
        <f t="shared" ref="BR68:BR131" si="60">BQ68*BN68</f>
        <v>5.8375188514887562</v>
      </c>
      <c r="BS68" s="96">
        <f t="shared" ref="BS68:BS131" si="61">IF(37.141*BR68^0.4897&gt;22.6, 37.141*BR68^0.4897, 0)</f>
        <v>88.120223356293181</v>
      </c>
      <c r="BU68" s="10">
        <v>45051.1875</v>
      </c>
      <c r="BV68" s="119">
        <v>8.7608144413431094E-2</v>
      </c>
      <c r="BW68" s="21">
        <v>104.61473460000001</v>
      </c>
      <c r="BX68" s="120">
        <v>4628</v>
      </c>
      <c r="BY68" s="21">
        <f t="shared" ref="BY68:BY121" si="62">BX68/60</f>
        <v>77.13333333333334</v>
      </c>
      <c r="BZ68" s="21">
        <f t="shared" ref="BZ68:BZ121" si="63">BY68*BV68</f>
        <v>6.7575082057559852</v>
      </c>
      <c r="CA68" s="21">
        <f t="shared" ref="CA68:CA120" si="64">IF(37.141*BZ68^0.4897&gt;22.6, 37.141*BZ68^0.4897, 0)</f>
        <v>94.667319827379231</v>
      </c>
    </row>
    <row r="69" spans="1:79" x14ac:dyDescent="0.25">
      <c r="A69" s="10">
        <v>44776.688194444447</v>
      </c>
      <c r="B69" s="11">
        <v>9.82229610596351E-3</v>
      </c>
      <c r="C69" s="12">
        <v>18.271869219999999</v>
      </c>
      <c r="D69" s="9">
        <v>8482</v>
      </c>
      <c r="E69" s="13">
        <f t="shared" si="45"/>
        <v>141.36666666666667</v>
      </c>
      <c r="F69" s="12">
        <f t="shared" si="39"/>
        <v>1.3885452595130416</v>
      </c>
      <c r="G69" s="13">
        <f t="shared" ref="G69:G94" si="65">37.141*F69^0.4897</f>
        <v>43.617949398828969</v>
      </c>
      <c r="I69" s="25">
        <v>44781.688194444447</v>
      </c>
      <c r="J69" s="26">
        <v>7.6001711982110198E-3</v>
      </c>
      <c r="K69" s="27">
        <v>23.474647859999902</v>
      </c>
      <c r="L69" s="28">
        <v>5815</v>
      </c>
      <c r="M69" s="29">
        <f t="shared" si="46"/>
        <v>96.916666666666671</v>
      </c>
      <c r="N69" s="26">
        <f t="shared" si="40"/>
        <v>0.736583258626618</v>
      </c>
      <c r="O69" s="29">
        <f t="shared" si="47"/>
        <v>31.976588608982734</v>
      </c>
      <c r="Q69" s="35">
        <v>45136.6875</v>
      </c>
      <c r="R69" s="71">
        <v>2.5673292453439599E-2</v>
      </c>
      <c r="S69" s="70">
        <v>9.2095990650000008</v>
      </c>
      <c r="T69" s="36">
        <v>8050</v>
      </c>
      <c r="U69" s="37">
        <f t="shared" si="48"/>
        <v>134.16666666666666</v>
      </c>
      <c r="V69" s="37">
        <f t="shared" si="41"/>
        <v>3.4445000708364795</v>
      </c>
      <c r="W69" s="38">
        <f t="shared" si="49"/>
        <v>68.058800694432833</v>
      </c>
      <c r="Y69" s="45">
        <v>45151.6875</v>
      </c>
      <c r="Z69" s="4">
        <v>2.6837429858589299E-3</v>
      </c>
      <c r="AA69" s="3">
        <v>0.35506608000000001</v>
      </c>
      <c r="AB69" s="4">
        <v>372</v>
      </c>
      <c r="AC69" s="46">
        <f t="shared" si="50"/>
        <v>6.2</v>
      </c>
      <c r="AD69" s="47">
        <f t="shared" si="42"/>
        <v>1.6639206512325366E-2</v>
      </c>
      <c r="AE69" s="50">
        <f t="shared" si="51"/>
        <v>0</v>
      </c>
      <c r="AG69" s="51">
        <v>45166.6875</v>
      </c>
      <c r="AH69" s="72">
        <v>1.52310117770912E-2</v>
      </c>
      <c r="AI69" s="73">
        <v>1.0404225359999999</v>
      </c>
      <c r="AJ69" s="52">
        <v>8474</v>
      </c>
      <c r="AK69" s="53">
        <f t="shared" si="52"/>
        <v>141.23333333333332</v>
      </c>
      <c r="AL69" s="72">
        <f t="shared" si="43"/>
        <v>2.1511265633178467</v>
      </c>
      <c r="AM69" s="54">
        <f t="shared" si="53"/>
        <v>54.04557165756178</v>
      </c>
      <c r="AO69" s="66">
        <v>45183.6875</v>
      </c>
      <c r="AP69" s="67">
        <v>7.4940646797744398E-2</v>
      </c>
      <c r="AQ69" s="68">
        <v>2.8809824239999999</v>
      </c>
      <c r="AR69" s="68">
        <v>6099</v>
      </c>
      <c r="AS69" s="68">
        <f t="shared" si="54"/>
        <v>101.65</v>
      </c>
      <c r="AT69" s="68">
        <f t="shared" si="44"/>
        <v>7.6177167469907188</v>
      </c>
      <c r="AU69" s="69">
        <f t="shared" si="55"/>
        <v>100.38832478554443</v>
      </c>
      <c r="AW69" s="82">
        <v>45047.020833333336</v>
      </c>
      <c r="AX69" s="121">
        <v>4.5426559999999998E-2</v>
      </c>
      <c r="AY69" s="83">
        <v>81.405228940000001</v>
      </c>
      <c r="AZ69" s="121">
        <v>6044</v>
      </c>
      <c r="BA69" s="83">
        <f t="shared" si="36"/>
        <v>100.73333333333333</v>
      </c>
      <c r="BB69" s="84">
        <f t="shared" si="37"/>
        <v>4.5759688106666667</v>
      </c>
      <c r="BC69" s="83">
        <f t="shared" si="38"/>
        <v>78.215377379264879</v>
      </c>
      <c r="BE69" s="87">
        <v>45047.9375</v>
      </c>
      <c r="BF69" s="118">
        <v>6.3074269131577598E-2</v>
      </c>
      <c r="BG69" s="88">
        <v>82.718647970000006</v>
      </c>
      <c r="BH69" s="89">
        <v>4749</v>
      </c>
      <c r="BI69" s="90">
        <f t="shared" si="56"/>
        <v>79.150000000000006</v>
      </c>
      <c r="BJ69" s="91">
        <f t="shared" si="57"/>
        <v>4.9923284017643672</v>
      </c>
      <c r="BK69" s="91">
        <f t="shared" si="58"/>
        <v>81.623016985582112</v>
      </c>
      <c r="BM69" s="93">
        <v>45049.9375</v>
      </c>
      <c r="BN69">
        <v>9.5391679299612106E-2</v>
      </c>
      <c r="BO69" s="95">
        <v>131.9954343</v>
      </c>
      <c r="BP69" s="4">
        <v>3884</v>
      </c>
      <c r="BQ69" s="95">
        <f t="shared" si="59"/>
        <v>64.733333333333334</v>
      </c>
      <c r="BR69" s="94">
        <f t="shared" si="60"/>
        <v>6.1750213733282235</v>
      </c>
      <c r="BS69" s="96">
        <f t="shared" si="61"/>
        <v>90.57936026552936</v>
      </c>
      <c r="BU69" s="10">
        <v>45051.197916666664</v>
      </c>
      <c r="BV69" s="119">
        <v>7.7786103869966705E-2</v>
      </c>
      <c r="BW69" s="21">
        <v>107.0292163</v>
      </c>
      <c r="BX69" s="120">
        <v>4589</v>
      </c>
      <c r="BY69" s="21">
        <f t="shared" si="62"/>
        <v>76.483333333333334</v>
      </c>
      <c r="BZ69" s="21">
        <f t="shared" si="63"/>
        <v>5.9493405109879536</v>
      </c>
      <c r="CA69" s="21">
        <f t="shared" si="64"/>
        <v>88.94283680685696</v>
      </c>
    </row>
    <row r="70" spans="1:79" x14ac:dyDescent="0.25">
      <c r="A70" s="10">
        <v>44776.698611111111</v>
      </c>
      <c r="B70" s="11">
        <v>8.4297547627244195E-3</v>
      </c>
      <c r="C70" s="12">
        <v>17.106053899999999</v>
      </c>
      <c r="D70" s="9">
        <v>8252</v>
      </c>
      <c r="E70" s="13">
        <f t="shared" si="45"/>
        <v>137.53333333333333</v>
      </c>
      <c r="F70" s="12">
        <f t="shared" si="39"/>
        <v>1.1593722717000319</v>
      </c>
      <c r="G70" s="13">
        <f t="shared" si="65"/>
        <v>39.930389944927285</v>
      </c>
      <c r="I70" s="25">
        <v>44781.698611111111</v>
      </c>
      <c r="J70" s="26">
        <v>7.3233148896358902E-3</v>
      </c>
      <c r="K70" s="27">
        <v>20.642438585000001</v>
      </c>
      <c r="L70" s="28">
        <v>5349</v>
      </c>
      <c r="M70" s="29">
        <f t="shared" si="46"/>
        <v>89.15</v>
      </c>
      <c r="N70" s="26">
        <f t="shared" si="40"/>
        <v>0.65287352241103969</v>
      </c>
      <c r="O70" s="29">
        <f t="shared" si="47"/>
        <v>30.14223013829745</v>
      </c>
      <c r="Q70" s="35">
        <v>45136.688888888886</v>
      </c>
      <c r="R70" s="71">
        <v>2.6726720837802701E-2</v>
      </c>
      <c r="S70" s="70">
        <v>6.5397134279999998</v>
      </c>
      <c r="T70" s="36">
        <v>8302</v>
      </c>
      <c r="U70" s="37">
        <f t="shared" si="48"/>
        <v>138.36666666666667</v>
      </c>
      <c r="V70" s="37">
        <f t="shared" si="41"/>
        <v>3.6980872732573005</v>
      </c>
      <c r="W70" s="38">
        <f t="shared" si="49"/>
        <v>70.468009795221292</v>
      </c>
      <c r="Y70" s="45">
        <v>45151.697916666664</v>
      </c>
      <c r="Z70" s="4">
        <v>5.4941946201569301E-3</v>
      </c>
      <c r="AA70" s="3">
        <v>0.59425534599999996</v>
      </c>
      <c r="AB70" s="4">
        <v>1059</v>
      </c>
      <c r="AC70" s="46">
        <f t="shared" si="50"/>
        <v>17.649999999999999</v>
      </c>
      <c r="AD70" s="47">
        <f t="shared" si="42"/>
        <v>9.6972535045769803E-2</v>
      </c>
      <c r="AE70" s="50">
        <f t="shared" si="51"/>
        <v>0</v>
      </c>
      <c r="AG70" s="51">
        <v>45166.697916666664</v>
      </c>
      <c r="AH70" s="72">
        <v>1.5422890021263101E-2</v>
      </c>
      <c r="AI70" s="73">
        <v>0.89859415399999998</v>
      </c>
      <c r="AJ70" s="52">
        <v>8087</v>
      </c>
      <c r="AK70" s="53">
        <f t="shared" si="52"/>
        <v>134.78333333333333</v>
      </c>
      <c r="AL70" s="72">
        <f t="shared" si="43"/>
        <v>2.0787485266992447</v>
      </c>
      <c r="AM70" s="54">
        <f t="shared" si="53"/>
        <v>53.147300424444779</v>
      </c>
      <c r="AO70" s="66">
        <v>45183.697916666664</v>
      </c>
      <c r="AP70" s="67">
        <v>6.5013474225098206E-2</v>
      </c>
      <c r="AQ70" s="68">
        <v>2.5469425430000001</v>
      </c>
      <c r="AR70" s="68">
        <v>6098</v>
      </c>
      <c r="AS70" s="68">
        <f t="shared" si="54"/>
        <v>101.63333333333334</v>
      </c>
      <c r="AT70" s="68">
        <f t="shared" si="44"/>
        <v>6.6075360970774817</v>
      </c>
      <c r="AU70" s="69">
        <f t="shared" si="55"/>
        <v>93.632572938006859</v>
      </c>
      <c r="AW70" s="82">
        <v>45047.03125</v>
      </c>
      <c r="AX70" s="121">
        <v>4.4465498999999999E-2</v>
      </c>
      <c r="AY70" s="83">
        <v>82.276892649999994</v>
      </c>
      <c r="AZ70" s="121">
        <v>6084</v>
      </c>
      <c r="BA70" s="83">
        <f t="shared" si="36"/>
        <v>101.4</v>
      </c>
      <c r="BB70" s="84">
        <f t="shared" si="37"/>
        <v>4.5088015985999998</v>
      </c>
      <c r="BC70" s="83">
        <f t="shared" si="38"/>
        <v>77.651048775951509</v>
      </c>
      <c r="BE70" s="87">
        <v>45047.947916666664</v>
      </c>
      <c r="BF70" s="118">
        <v>5.7631142210504499E-2</v>
      </c>
      <c r="BG70" s="88">
        <v>88.350109630000006</v>
      </c>
      <c r="BH70" s="89">
        <v>4719</v>
      </c>
      <c r="BI70" s="90">
        <f t="shared" si="56"/>
        <v>78.650000000000006</v>
      </c>
      <c r="BJ70" s="91">
        <f t="shared" si="57"/>
        <v>4.5326893348561788</v>
      </c>
      <c r="BK70" s="91">
        <f t="shared" si="58"/>
        <v>77.852238312480338</v>
      </c>
      <c r="BM70" s="93">
        <v>45049.947916666664</v>
      </c>
      <c r="BN70">
        <v>9.1733990248411404E-2</v>
      </c>
      <c r="BO70" s="95">
        <v>124.3675379</v>
      </c>
      <c r="BP70" s="4">
        <v>3992</v>
      </c>
      <c r="BQ70" s="95">
        <f t="shared" si="59"/>
        <v>66.533333333333331</v>
      </c>
      <c r="BR70" s="94">
        <f t="shared" si="60"/>
        <v>6.1033681511943056</v>
      </c>
      <c r="BS70" s="96">
        <f t="shared" si="61"/>
        <v>90.063124525809016</v>
      </c>
      <c r="BU70" s="10">
        <v>45051.208333333336</v>
      </c>
      <c r="BV70" s="119">
        <v>8.0714823134137498E-2</v>
      </c>
      <c r="BW70" s="21">
        <v>98.055454810000001</v>
      </c>
      <c r="BX70" s="120">
        <v>4365</v>
      </c>
      <c r="BY70" s="21">
        <f t="shared" si="62"/>
        <v>72.75</v>
      </c>
      <c r="BZ70" s="21">
        <f t="shared" si="63"/>
        <v>5.8720033830085026</v>
      </c>
      <c r="CA70" s="21">
        <f t="shared" si="64"/>
        <v>88.37475898204616</v>
      </c>
    </row>
    <row r="71" spans="1:79" x14ac:dyDescent="0.25">
      <c r="A71" s="10">
        <v>44776.709027777775</v>
      </c>
      <c r="B71" s="11">
        <v>9.8801195227675997E-3</v>
      </c>
      <c r="C71" s="12">
        <v>15.6821315249999</v>
      </c>
      <c r="D71" s="9">
        <v>7834</v>
      </c>
      <c r="E71" s="13">
        <f t="shared" si="45"/>
        <v>130.56666666666666</v>
      </c>
      <c r="F71" s="12">
        <f t="shared" si="39"/>
        <v>1.2900142723560228</v>
      </c>
      <c r="G71" s="13">
        <f t="shared" si="65"/>
        <v>42.07379889809004</v>
      </c>
      <c r="I71" s="25">
        <v>44781.709027777775</v>
      </c>
      <c r="J71" s="26">
        <v>6.1617735079587798E-3</v>
      </c>
      <c r="K71" s="27">
        <v>18.24147606</v>
      </c>
      <c r="L71" s="28">
        <v>5553</v>
      </c>
      <c r="M71" s="29">
        <f t="shared" si="46"/>
        <v>92.55</v>
      </c>
      <c r="N71" s="26">
        <f t="shared" si="40"/>
        <v>0.57027213816158506</v>
      </c>
      <c r="O71" s="29">
        <f t="shared" si="47"/>
        <v>28.210255746906032</v>
      </c>
      <c r="Q71" s="35">
        <v>45136.697916666664</v>
      </c>
      <c r="R71" s="71">
        <v>2.1513581248433E-2</v>
      </c>
      <c r="S71" s="70">
        <v>3.8698277910000001</v>
      </c>
      <c r="T71" s="36">
        <v>8644</v>
      </c>
      <c r="U71" s="37">
        <f t="shared" si="48"/>
        <v>144.06666666666666</v>
      </c>
      <c r="V71" s="37">
        <f t="shared" si="41"/>
        <v>3.0993899385242476</v>
      </c>
      <c r="W71" s="38">
        <f t="shared" si="49"/>
        <v>64.629613249745333</v>
      </c>
      <c r="Y71" s="45">
        <v>45151.708333333336</v>
      </c>
      <c r="Z71" s="4">
        <v>4.1557140244339302E-3</v>
      </c>
      <c r="AA71" s="3">
        <v>0.50323377899999999</v>
      </c>
      <c r="AB71" s="4">
        <v>885</v>
      </c>
      <c r="AC71" s="46">
        <f t="shared" si="50"/>
        <v>14.75</v>
      </c>
      <c r="AD71" s="47">
        <f t="shared" si="42"/>
        <v>6.1296781860400468E-2</v>
      </c>
      <c r="AE71" s="50">
        <f t="shared" si="51"/>
        <v>0</v>
      </c>
      <c r="AG71" s="51">
        <v>45166.708333333336</v>
      </c>
      <c r="AH71" s="72">
        <v>1.49611079546882E-2</v>
      </c>
      <c r="AI71" s="73">
        <v>0.89859415399999998</v>
      </c>
      <c r="AJ71" s="52">
        <v>7497</v>
      </c>
      <c r="AK71" s="53">
        <f t="shared" si="52"/>
        <v>124.95</v>
      </c>
      <c r="AL71" s="72">
        <f t="shared" si="43"/>
        <v>1.8693904389382905</v>
      </c>
      <c r="AM71" s="54">
        <f t="shared" si="53"/>
        <v>50.455102302710593</v>
      </c>
      <c r="AO71" s="66">
        <v>45183.708333333336</v>
      </c>
      <c r="AP71" s="67">
        <v>8.5050969626217596E-2</v>
      </c>
      <c r="AQ71" s="68">
        <v>3.3680623299999999</v>
      </c>
      <c r="AR71" s="68">
        <v>5638</v>
      </c>
      <c r="AS71" s="68">
        <f t="shared" si="54"/>
        <v>93.966666666666669</v>
      </c>
      <c r="AT71" s="68">
        <f t="shared" si="44"/>
        <v>7.9919561125435798</v>
      </c>
      <c r="AU71" s="69">
        <f t="shared" si="55"/>
        <v>102.77389380944318</v>
      </c>
      <c r="AW71" s="82">
        <v>45047.041666666664</v>
      </c>
      <c r="AX71" s="121">
        <v>4.0392815999999998E-2</v>
      </c>
      <c r="AY71" s="83">
        <v>80.961047410000006</v>
      </c>
      <c r="AZ71" s="121">
        <v>6372</v>
      </c>
      <c r="BA71" s="83">
        <f t="shared" si="36"/>
        <v>106.2</v>
      </c>
      <c r="BB71" s="84">
        <f t="shared" si="37"/>
        <v>4.2897170592</v>
      </c>
      <c r="BC71" s="83">
        <f t="shared" si="38"/>
        <v>75.779877972610294</v>
      </c>
      <c r="BE71" s="87">
        <v>45047.958333333336</v>
      </c>
      <c r="BF71" s="118">
        <v>5.8435418165797302E-2</v>
      </c>
      <c r="BG71" s="88">
        <v>89.209976960000006</v>
      </c>
      <c r="BH71" s="89">
        <v>4621</v>
      </c>
      <c r="BI71" s="90">
        <f t="shared" si="56"/>
        <v>77.016666666666666</v>
      </c>
      <c r="BJ71" s="91">
        <f t="shared" si="57"/>
        <v>4.5005011224024889</v>
      </c>
      <c r="BK71" s="91">
        <f t="shared" si="58"/>
        <v>77.581012434678129</v>
      </c>
      <c r="BM71" s="93">
        <v>45049.958333333336</v>
      </c>
      <c r="BN71">
        <v>9.5130304361791096E-2</v>
      </c>
      <c r="BO71" s="95">
        <v>124.3675379</v>
      </c>
      <c r="BP71" s="4">
        <v>4024</v>
      </c>
      <c r="BQ71" s="95">
        <f t="shared" si="59"/>
        <v>67.066666666666663</v>
      </c>
      <c r="BR71" s="94">
        <f t="shared" si="60"/>
        <v>6.3800724125307893</v>
      </c>
      <c r="BS71" s="96">
        <f t="shared" si="61"/>
        <v>92.040017565469995</v>
      </c>
      <c r="BU71" s="10">
        <v>45051.21875</v>
      </c>
      <c r="BV71" s="119">
        <v>8.2714370775555199E-2</v>
      </c>
      <c r="BW71" s="21">
        <v>100.5402337</v>
      </c>
      <c r="BX71" s="120">
        <v>4658</v>
      </c>
      <c r="BY71" s="21">
        <f t="shared" si="62"/>
        <v>77.63333333333334</v>
      </c>
      <c r="BZ71" s="21">
        <f t="shared" si="63"/>
        <v>6.4213923178756023</v>
      </c>
      <c r="CA71" s="21">
        <f t="shared" si="64"/>
        <v>92.331441083147766</v>
      </c>
    </row>
    <row r="72" spans="1:79" x14ac:dyDescent="0.25">
      <c r="A72" s="10">
        <v>44776.719444444447</v>
      </c>
      <c r="B72" s="11">
        <v>8.1641440752267397E-3</v>
      </c>
      <c r="C72" s="12">
        <v>15.17592808</v>
      </c>
      <c r="D72" s="9">
        <v>7480</v>
      </c>
      <c r="E72" s="13">
        <f t="shared" si="45"/>
        <v>124.66666666666667</v>
      </c>
      <c r="F72" s="12">
        <f t="shared" si="39"/>
        <v>1.0177966280449335</v>
      </c>
      <c r="G72" s="13">
        <f t="shared" si="65"/>
        <v>37.463227375233117</v>
      </c>
      <c r="I72" s="25">
        <v>44781.719444444447</v>
      </c>
      <c r="J72" s="26">
        <v>7.2152247402473097E-3</v>
      </c>
      <c r="K72" s="27">
        <v>17.286459975</v>
      </c>
      <c r="L72" s="28">
        <v>4655</v>
      </c>
      <c r="M72" s="29">
        <f t="shared" si="46"/>
        <v>77.583333333333329</v>
      </c>
      <c r="N72" s="26">
        <f t="shared" si="40"/>
        <v>0.55978118609752037</v>
      </c>
      <c r="O72" s="29">
        <f t="shared" si="47"/>
        <v>27.954913528904317</v>
      </c>
      <c r="Q72" s="35">
        <v>45136.708333333336</v>
      </c>
      <c r="R72" s="71">
        <v>2.2984200564068399E-2</v>
      </c>
      <c r="S72" s="70">
        <v>5.509495866</v>
      </c>
      <c r="T72" s="36">
        <v>8677</v>
      </c>
      <c r="U72" s="37">
        <f t="shared" si="48"/>
        <v>144.61666666666667</v>
      </c>
      <c r="V72" s="37">
        <f t="shared" si="41"/>
        <v>3.3238984715736919</v>
      </c>
      <c r="W72" s="38">
        <f t="shared" si="49"/>
        <v>66.88126761185822</v>
      </c>
      <c r="Y72" s="45">
        <v>45151.71875</v>
      </c>
      <c r="Z72" s="4">
        <v>5.4673449337777997E-3</v>
      </c>
      <c r="AA72" s="3">
        <v>0.475692385</v>
      </c>
      <c r="AB72" s="4">
        <v>770</v>
      </c>
      <c r="AC72" s="46">
        <f t="shared" si="50"/>
        <v>12.833333333333334</v>
      </c>
      <c r="AD72" s="47">
        <f t="shared" si="42"/>
        <v>7.0164259983481761E-2</v>
      </c>
      <c r="AE72" s="50">
        <f t="shared" si="51"/>
        <v>0</v>
      </c>
      <c r="AG72" s="51">
        <v>45166.71875</v>
      </c>
      <c r="AH72" s="72">
        <v>1.70532985817674E-2</v>
      </c>
      <c r="AI72" s="73">
        <v>0.81307424100000003</v>
      </c>
      <c r="AJ72" s="52">
        <v>7312</v>
      </c>
      <c r="AK72" s="53">
        <f t="shared" si="52"/>
        <v>121.86666666666666</v>
      </c>
      <c r="AL72" s="72">
        <f t="shared" si="43"/>
        <v>2.078228653831387</v>
      </c>
      <c r="AM72" s="54">
        <f t="shared" si="53"/>
        <v>53.140791125360266</v>
      </c>
      <c r="AO72" s="66">
        <v>45183.71875</v>
      </c>
      <c r="AP72" s="67">
        <v>6.3625838451932107E-2</v>
      </c>
      <c r="AQ72" s="68">
        <v>2.8809824239999999</v>
      </c>
      <c r="AR72" s="68">
        <v>5747</v>
      </c>
      <c r="AS72" s="68">
        <f t="shared" si="54"/>
        <v>95.783333333333331</v>
      </c>
      <c r="AT72" s="68">
        <f t="shared" si="44"/>
        <v>6.0942948930542302</v>
      </c>
      <c r="AU72" s="69">
        <f t="shared" si="55"/>
        <v>89.997534827079306</v>
      </c>
      <c r="AW72" s="82">
        <v>45047.052083333336</v>
      </c>
      <c r="AX72" s="121">
        <v>4.1088680000000002E-2</v>
      </c>
      <c r="AY72" s="83">
        <v>83.586986100000004</v>
      </c>
      <c r="AZ72" s="121">
        <v>6600</v>
      </c>
      <c r="BA72" s="83">
        <f t="shared" si="36"/>
        <v>110</v>
      </c>
      <c r="BB72" s="84">
        <f t="shared" si="37"/>
        <v>4.5197548000000003</v>
      </c>
      <c r="BC72" s="83">
        <f t="shared" si="38"/>
        <v>77.743367210724045</v>
      </c>
      <c r="BE72" s="87">
        <v>45047.96875</v>
      </c>
      <c r="BF72" s="118">
        <v>5.78691875875227E-2</v>
      </c>
      <c r="BG72" s="88">
        <v>82.718647970000006</v>
      </c>
      <c r="BH72" s="89">
        <v>4952</v>
      </c>
      <c r="BI72" s="90">
        <f t="shared" si="56"/>
        <v>82.533333333333331</v>
      </c>
      <c r="BJ72" s="91">
        <f t="shared" si="57"/>
        <v>4.7761369488902066</v>
      </c>
      <c r="BK72" s="91">
        <f t="shared" si="58"/>
        <v>79.872538524599534</v>
      </c>
      <c r="BM72" s="93">
        <v>45049.96875</v>
      </c>
      <c r="BN72">
        <v>9.6235331594255902E-2</v>
      </c>
      <c r="BO72" s="95">
        <v>129.12158679999999</v>
      </c>
      <c r="BP72" s="4">
        <v>3893</v>
      </c>
      <c r="BQ72" s="95">
        <f t="shared" si="59"/>
        <v>64.88333333333334</v>
      </c>
      <c r="BR72" s="94">
        <f t="shared" si="60"/>
        <v>6.2440690982739708</v>
      </c>
      <c r="BS72" s="96">
        <f t="shared" si="61"/>
        <v>91.073940073060001</v>
      </c>
      <c r="BU72" s="10">
        <v>45051.229166666664</v>
      </c>
      <c r="BV72" s="119">
        <v>8.8255091216449005E-2</v>
      </c>
      <c r="BW72" s="21">
        <v>101.7699069</v>
      </c>
      <c r="BX72" s="120">
        <v>4624</v>
      </c>
      <c r="BY72" s="21">
        <f t="shared" si="62"/>
        <v>77.066666666666663</v>
      </c>
      <c r="BZ72" s="21">
        <f t="shared" si="63"/>
        <v>6.8015256964143367</v>
      </c>
      <c r="CA72" s="21">
        <f t="shared" si="64"/>
        <v>94.968793118970709</v>
      </c>
    </row>
    <row r="73" spans="1:79" x14ac:dyDescent="0.25">
      <c r="A73" s="10">
        <v>44776.729861111111</v>
      </c>
      <c r="B73" s="11">
        <v>7.1229805188118799E-3</v>
      </c>
      <c r="C73" s="12">
        <v>14.28611474</v>
      </c>
      <c r="D73" s="9">
        <v>6277</v>
      </c>
      <c r="E73" s="13">
        <f t="shared" si="45"/>
        <v>104.61666666666666</v>
      </c>
      <c r="F73" s="12">
        <f t="shared" si="39"/>
        <v>0.74518247860970277</v>
      </c>
      <c r="G73" s="13">
        <f t="shared" si="65"/>
        <v>32.15885703275017</v>
      </c>
      <c r="I73" s="25">
        <v>44781.729861111111</v>
      </c>
      <c r="J73" s="26">
        <v>6.8176205305925004E-3</v>
      </c>
      <c r="K73" s="27">
        <v>16.382398909999999</v>
      </c>
      <c r="L73" s="28">
        <v>4307</v>
      </c>
      <c r="M73" s="29">
        <f t="shared" si="46"/>
        <v>71.783333333333331</v>
      </c>
      <c r="N73" s="26">
        <f t="shared" si="40"/>
        <v>0.48939152708769829</v>
      </c>
      <c r="O73" s="29">
        <f t="shared" si="47"/>
        <v>26.174497591542213</v>
      </c>
      <c r="Q73" s="35">
        <v>45136.71875</v>
      </c>
      <c r="R73" s="71">
        <v>1.6923136599373102E-2</v>
      </c>
      <c r="S73" s="70">
        <v>2.6539428329999999</v>
      </c>
      <c r="T73" s="36">
        <v>8014</v>
      </c>
      <c r="U73" s="37">
        <f t="shared" si="48"/>
        <v>133.56666666666666</v>
      </c>
      <c r="V73" s="37">
        <f t="shared" si="41"/>
        <v>2.260366945122934</v>
      </c>
      <c r="W73" s="38">
        <f t="shared" si="49"/>
        <v>55.372613673813277</v>
      </c>
      <c r="Y73" s="45">
        <v>45151.729166666664</v>
      </c>
      <c r="Z73" s="4">
        <v>6.1306569138339104E-3</v>
      </c>
      <c r="AA73" s="3">
        <v>0.562700329</v>
      </c>
      <c r="AB73" s="4">
        <v>1029</v>
      </c>
      <c r="AC73" s="46">
        <f t="shared" si="50"/>
        <v>17.149999999999999</v>
      </c>
      <c r="AD73" s="47">
        <f t="shared" si="42"/>
        <v>0.10514076607225155</v>
      </c>
      <c r="AE73" s="50">
        <f t="shared" si="51"/>
        <v>0</v>
      </c>
      <c r="AG73" s="51">
        <v>45166.729166666664</v>
      </c>
      <c r="AH73" s="72">
        <v>1.02034134920281E-2</v>
      </c>
      <c r="AI73" s="73">
        <v>0.66228851600000005</v>
      </c>
      <c r="AJ73" s="52">
        <v>4886</v>
      </c>
      <c r="AK73" s="53">
        <f t="shared" si="52"/>
        <v>81.433333333333337</v>
      </c>
      <c r="AL73" s="72">
        <f t="shared" si="43"/>
        <v>0.83089797203415505</v>
      </c>
      <c r="AM73" s="54">
        <f t="shared" si="53"/>
        <v>33.92002009615323</v>
      </c>
      <c r="AO73" s="66">
        <v>45183.729166666664</v>
      </c>
      <c r="AP73" s="67">
        <v>6.9442093168578994E-2</v>
      </c>
      <c r="AQ73" s="68">
        <v>2.7664001109999998</v>
      </c>
      <c r="AR73" s="68">
        <v>5812</v>
      </c>
      <c r="AS73" s="68">
        <f t="shared" si="54"/>
        <v>96.86666666666666</v>
      </c>
      <c r="AT73" s="68">
        <f t="shared" si="44"/>
        <v>6.7266240915963511</v>
      </c>
      <c r="AU73" s="69">
        <f t="shared" si="55"/>
        <v>94.455197655142982</v>
      </c>
      <c r="AW73" s="82">
        <v>45047.0625</v>
      </c>
      <c r="AX73" s="121">
        <v>4.3757822000000002E-2</v>
      </c>
      <c r="AY73" s="83">
        <v>83.153095449999995</v>
      </c>
      <c r="AZ73" s="121">
        <v>6680</v>
      </c>
      <c r="BA73" s="83">
        <f t="shared" si="36"/>
        <v>111.33333333333333</v>
      </c>
      <c r="BB73" s="84">
        <f t="shared" si="37"/>
        <v>4.8717041826666669</v>
      </c>
      <c r="BC73" s="83">
        <f t="shared" si="38"/>
        <v>80.651218650780677</v>
      </c>
      <c r="BE73" s="87">
        <v>45047.979166666664</v>
      </c>
      <c r="BF73" s="118">
        <v>6.0350965260402199E-2</v>
      </c>
      <c r="BG73" s="88">
        <v>84.891986889999998</v>
      </c>
      <c r="BH73" s="89">
        <v>4721</v>
      </c>
      <c r="BI73" s="90">
        <f t="shared" si="56"/>
        <v>78.683333333333337</v>
      </c>
      <c r="BJ73" s="91">
        <f t="shared" si="57"/>
        <v>4.7486151165726467</v>
      </c>
      <c r="BK73" s="91">
        <f t="shared" si="58"/>
        <v>79.646819543558891</v>
      </c>
      <c r="BM73" s="93">
        <v>45049.979166666664</v>
      </c>
      <c r="BN73">
        <v>0.10058732324901901</v>
      </c>
      <c r="BO73" s="95">
        <v>124.3675379</v>
      </c>
      <c r="BP73" s="4">
        <v>4007</v>
      </c>
      <c r="BQ73" s="95">
        <f t="shared" si="59"/>
        <v>66.783333333333331</v>
      </c>
      <c r="BR73" s="94">
        <f t="shared" si="60"/>
        <v>6.7175567376469854</v>
      </c>
      <c r="BS73" s="96">
        <f t="shared" si="61"/>
        <v>94.392825777035952</v>
      </c>
      <c r="BU73" s="10">
        <v>45051.239583333336</v>
      </c>
      <c r="BV73" s="119">
        <v>8.14497087725993E-2</v>
      </c>
      <c r="BW73" s="21">
        <v>96.808208239999999</v>
      </c>
      <c r="BX73" s="120">
        <v>4670</v>
      </c>
      <c r="BY73" s="21">
        <f t="shared" si="62"/>
        <v>77.833333333333329</v>
      </c>
      <c r="BZ73" s="21">
        <f t="shared" si="63"/>
        <v>6.3395023328006452</v>
      </c>
      <c r="CA73" s="21">
        <f t="shared" si="64"/>
        <v>91.752943890695192</v>
      </c>
    </row>
    <row r="74" spans="1:79" x14ac:dyDescent="0.25">
      <c r="A74" s="10">
        <v>44776.740277777775</v>
      </c>
      <c r="B74" s="11">
        <v>7.6671431334010198E-3</v>
      </c>
      <c r="C74" s="12">
        <v>11.657254006500001</v>
      </c>
      <c r="D74" s="9">
        <v>5135</v>
      </c>
      <c r="E74" s="13">
        <f t="shared" si="45"/>
        <v>85.583333333333329</v>
      </c>
      <c r="F74" s="12">
        <f t="shared" si="39"/>
        <v>0.65617966650023729</v>
      </c>
      <c r="G74" s="13">
        <f t="shared" si="65"/>
        <v>30.216881568047896</v>
      </c>
      <c r="I74" s="25">
        <v>44781.740277777775</v>
      </c>
      <c r="J74" s="26">
        <v>6.6452975888246502E-3</v>
      </c>
      <c r="K74" s="27">
        <v>14.39848273</v>
      </c>
      <c r="L74" s="28">
        <v>4747</v>
      </c>
      <c r="M74" s="29">
        <f t="shared" si="46"/>
        <v>79.11666666666666</v>
      </c>
      <c r="N74" s="26">
        <f t="shared" si="40"/>
        <v>0.52575379423584356</v>
      </c>
      <c r="O74" s="29">
        <f t="shared" si="47"/>
        <v>27.109452181307351</v>
      </c>
      <c r="Q74" s="35">
        <v>45136.729166666664</v>
      </c>
      <c r="R74" s="71">
        <v>1.6200247520624302E-2</v>
      </c>
      <c r="S74" s="70">
        <v>2.8809824239999999</v>
      </c>
      <c r="T74" s="36">
        <v>7982</v>
      </c>
      <c r="U74" s="37">
        <f t="shared" si="48"/>
        <v>133.03333333333333</v>
      </c>
      <c r="V74" s="37">
        <f t="shared" si="41"/>
        <v>2.1551729284937196</v>
      </c>
      <c r="W74" s="38">
        <f t="shared" si="49"/>
        <v>54.095331733934266</v>
      </c>
      <c r="Y74" s="45">
        <v>45151.739583333336</v>
      </c>
      <c r="Z74" s="4">
        <v>4.85294001937341E-3</v>
      </c>
      <c r="AA74" s="3">
        <v>0.77321039300000005</v>
      </c>
      <c r="AB74" s="4">
        <v>1573</v>
      </c>
      <c r="AC74" s="46">
        <f t="shared" si="50"/>
        <v>26.216666666666665</v>
      </c>
      <c r="AD74" s="47">
        <f t="shared" si="42"/>
        <v>0.12722791084123955</v>
      </c>
      <c r="AE74" s="50">
        <f t="shared" si="51"/>
        <v>0</v>
      </c>
      <c r="AG74" s="51">
        <v>45166.739583333336</v>
      </c>
      <c r="AH74" s="72">
        <v>1.09171316657087E-2</v>
      </c>
      <c r="AI74" s="73">
        <v>0.69769667099999999</v>
      </c>
      <c r="AJ74" s="52">
        <v>5412</v>
      </c>
      <c r="AK74" s="53">
        <f t="shared" si="52"/>
        <v>90.2</v>
      </c>
      <c r="AL74" s="72">
        <f t="shared" si="43"/>
        <v>0.98472527624692474</v>
      </c>
      <c r="AM74" s="54">
        <f t="shared" si="53"/>
        <v>36.862092971941742</v>
      </c>
      <c r="AO74" s="66">
        <v>45183.739583333336</v>
      </c>
      <c r="AP74" s="67">
        <v>9.73095488612086E-2</v>
      </c>
      <c r="AQ74" s="68">
        <v>3.8698277910000001</v>
      </c>
      <c r="AR74" s="68">
        <v>5203</v>
      </c>
      <c r="AS74" s="68">
        <f t="shared" si="54"/>
        <v>86.716666666666669</v>
      </c>
      <c r="AT74" s="68">
        <f t="shared" si="44"/>
        <v>8.4383597120811391</v>
      </c>
      <c r="AU74" s="69">
        <f t="shared" si="55"/>
        <v>105.54609071255388</v>
      </c>
      <c r="AW74" s="82">
        <v>45047.072916666664</v>
      </c>
      <c r="AX74" s="121">
        <v>4.0245388E-2</v>
      </c>
      <c r="AY74" s="83">
        <v>82.276892649999994</v>
      </c>
      <c r="AZ74" s="121">
        <v>6569</v>
      </c>
      <c r="BA74" s="83">
        <f t="shared" si="36"/>
        <v>109.48333333333333</v>
      </c>
      <c r="BB74" s="84">
        <f t="shared" si="37"/>
        <v>4.4061992295333337</v>
      </c>
      <c r="BC74" s="83">
        <f t="shared" si="38"/>
        <v>76.780652273051416</v>
      </c>
      <c r="BE74" s="87">
        <v>45047.989583333336</v>
      </c>
      <c r="BF74" s="118">
        <v>5.8723303822895298E-2</v>
      </c>
      <c r="BG74" s="88">
        <v>88.350109630000006</v>
      </c>
      <c r="BH74" s="89">
        <v>4790</v>
      </c>
      <c r="BI74" s="90">
        <f t="shared" si="56"/>
        <v>79.833333333333329</v>
      </c>
      <c r="BJ74" s="91">
        <f t="shared" si="57"/>
        <v>4.688077088527808</v>
      </c>
      <c r="BK74" s="91">
        <f t="shared" si="58"/>
        <v>79.147958798796736</v>
      </c>
      <c r="BM74" s="93">
        <v>45049.989583333336</v>
      </c>
      <c r="BN74">
        <v>0.1016303890443</v>
      </c>
      <c r="BO74" s="95">
        <v>124.3675379</v>
      </c>
      <c r="BP74" s="4">
        <v>3894</v>
      </c>
      <c r="BQ74" s="95">
        <f t="shared" si="59"/>
        <v>64.900000000000006</v>
      </c>
      <c r="BR74" s="94">
        <f t="shared" si="60"/>
        <v>6.5958122489750703</v>
      </c>
      <c r="BS74" s="96">
        <f t="shared" si="61"/>
        <v>93.551180427614469</v>
      </c>
      <c r="BU74" s="10">
        <v>45051.25</v>
      </c>
      <c r="BV74" s="119">
        <v>8.7514147842443005E-2</v>
      </c>
      <c r="BW74" s="21">
        <v>103.3988808</v>
      </c>
      <c r="BX74" s="120">
        <v>4377</v>
      </c>
      <c r="BY74" s="21">
        <f t="shared" si="62"/>
        <v>72.95</v>
      </c>
      <c r="BZ74" s="21">
        <f t="shared" si="63"/>
        <v>6.3841570851062173</v>
      </c>
      <c r="CA74" s="21">
        <f t="shared" si="64"/>
        <v>92.068869006679719</v>
      </c>
    </row>
    <row r="75" spans="1:79" x14ac:dyDescent="0.25">
      <c r="A75" s="10">
        <v>44776.750694444447</v>
      </c>
      <c r="B75" s="11">
        <v>6.5316394382562201E-3</v>
      </c>
      <c r="C75" s="12">
        <v>9.6026396404999996</v>
      </c>
      <c r="D75" s="9">
        <v>4187</v>
      </c>
      <c r="E75" s="13">
        <f t="shared" si="45"/>
        <v>69.783333333333331</v>
      </c>
      <c r="F75" s="12">
        <f t="shared" si="39"/>
        <v>0.45579957213297989</v>
      </c>
      <c r="G75" s="13">
        <f t="shared" si="65"/>
        <v>25.2787257337237</v>
      </c>
      <c r="I75" s="25">
        <v>44781.750694444447</v>
      </c>
      <c r="J75" s="26">
        <v>7.1871778166483196E-3</v>
      </c>
      <c r="K75" s="27">
        <v>15.218093735</v>
      </c>
      <c r="L75" s="28">
        <v>5298</v>
      </c>
      <c r="M75" s="29">
        <f t="shared" si="46"/>
        <v>88.3</v>
      </c>
      <c r="N75" s="26">
        <f t="shared" si="40"/>
        <v>0.63462780121004658</v>
      </c>
      <c r="O75" s="29">
        <f t="shared" si="47"/>
        <v>29.726733706097683</v>
      </c>
      <c r="Q75" s="35">
        <v>45136.739583333336</v>
      </c>
      <c r="R75" s="71">
        <v>1.4098258677324799E-2</v>
      </c>
      <c r="S75" s="70">
        <v>2.6558198119999998</v>
      </c>
      <c r="T75" s="36">
        <v>8011</v>
      </c>
      <c r="U75" s="37">
        <f t="shared" si="48"/>
        <v>133.51666666666668</v>
      </c>
      <c r="V75" s="37">
        <f t="shared" si="41"/>
        <v>1.8823525044008163</v>
      </c>
      <c r="W75" s="38">
        <f t="shared" si="49"/>
        <v>50.626120782656123</v>
      </c>
      <c r="Y75" s="45">
        <v>45151.75</v>
      </c>
      <c r="Z75" s="4">
        <v>4.9686764790561402E-3</v>
      </c>
      <c r="AA75" s="3">
        <v>0.59425534599999996</v>
      </c>
      <c r="AB75" s="4">
        <v>1135</v>
      </c>
      <c r="AC75" s="46">
        <f t="shared" si="50"/>
        <v>18.916666666666668</v>
      </c>
      <c r="AD75" s="47">
        <f t="shared" si="42"/>
        <v>9.3990796728811998E-2</v>
      </c>
      <c r="AE75" s="50">
        <f t="shared" si="51"/>
        <v>0</v>
      </c>
      <c r="AG75" s="51">
        <v>45166.75</v>
      </c>
      <c r="AH75" s="72">
        <v>1.0954063122563499E-2</v>
      </c>
      <c r="AI75" s="73">
        <v>0.59425534599999996</v>
      </c>
      <c r="AJ75" s="52">
        <v>4707</v>
      </c>
      <c r="AK75" s="53">
        <f t="shared" si="52"/>
        <v>78.45</v>
      </c>
      <c r="AL75" s="72">
        <f t="shared" si="43"/>
        <v>0.8593462519651065</v>
      </c>
      <c r="AM75" s="54">
        <f t="shared" si="53"/>
        <v>34.483850526131711</v>
      </c>
      <c r="AO75" s="66">
        <v>45183.75</v>
      </c>
      <c r="AP75" s="67">
        <v>0.12148791730821901</v>
      </c>
      <c r="AQ75" s="68">
        <v>6.6940258559999997</v>
      </c>
      <c r="AR75" s="68">
        <v>4652</v>
      </c>
      <c r="AS75" s="68">
        <f t="shared" si="54"/>
        <v>77.533333333333331</v>
      </c>
      <c r="AT75" s="68">
        <f t="shared" si="44"/>
        <v>9.4193631886305802</v>
      </c>
      <c r="AU75" s="69">
        <f t="shared" si="55"/>
        <v>111.38634211146521</v>
      </c>
      <c r="AW75" s="82">
        <v>45047.083333333336</v>
      </c>
      <c r="AX75" s="121">
        <v>4.1501177E-2</v>
      </c>
      <c r="AY75" s="83">
        <v>82.276892649999994</v>
      </c>
      <c r="AZ75" s="121">
        <v>6555</v>
      </c>
      <c r="BA75" s="83">
        <f t="shared" si="36"/>
        <v>109.25</v>
      </c>
      <c r="BB75" s="84">
        <f t="shared" si="37"/>
        <v>4.53400358725</v>
      </c>
      <c r="BC75" s="83">
        <f t="shared" si="38"/>
        <v>77.863291611124211</v>
      </c>
      <c r="BE75" s="87">
        <v>45048</v>
      </c>
      <c r="BF75" s="118">
        <v>6.4025860322733205E-2</v>
      </c>
      <c r="BG75" s="88">
        <v>89.635700749999998</v>
      </c>
      <c r="BH75" s="89">
        <v>4791</v>
      </c>
      <c r="BI75" s="90">
        <f t="shared" si="56"/>
        <v>79.849999999999994</v>
      </c>
      <c r="BJ75" s="91">
        <f t="shared" si="57"/>
        <v>5.1124649467702463</v>
      </c>
      <c r="BK75" s="91">
        <f t="shared" si="58"/>
        <v>82.579047989145138</v>
      </c>
      <c r="BM75" s="93">
        <v>45050</v>
      </c>
      <c r="BN75">
        <v>9.03187633143962E-2</v>
      </c>
      <c r="BO75" s="95">
        <v>118.36070239999999</v>
      </c>
      <c r="BP75" s="4">
        <v>3860</v>
      </c>
      <c r="BQ75" s="95">
        <f t="shared" si="59"/>
        <v>64.333333333333329</v>
      </c>
      <c r="BR75" s="94">
        <f t="shared" si="60"/>
        <v>5.8105071065594887</v>
      </c>
      <c r="BS75" s="96">
        <f t="shared" si="61"/>
        <v>87.92030913959195</v>
      </c>
      <c r="BU75" s="10">
        <v>45051.260416666664</v>
      </c>
      <c r="BV75" s="119">
        <v>8.1501648260414297E-2</v>
      </c>
      <c r="BW75" s="21">
        <v>103.3988808</v>
      </c>
      <c r="BX75" s="120">
        <v>4553</v>
      </c>
      <c r="BY75" s="21">
        <f t="shared" si="62"/>
        <v>75.88333333333334</v>
      </c>
      <c r="BZ75" s="21">
        <f t="shared" si="63"/>
        <v>6.1846167421611051</v>
      </c>
      <c r="CA75" s="21">
        <f t="shared" si="64"/>
        <v>90.648258877612705</v>
      </c>
    </row>
    <row r="76" spans="1:79" x14ac:dyDescent="0.25">
      <c r="A76" s="10">
        <v>44776.761111111111</v>
      </c>
      <c r="B76" s="11">
        <v>7.1146443776370196E-3</v>
      </c>
      <c r="C76" s="12">
        <v>9.2022879035000003</v>
      </c>
      <c r="D76" s="9">
        <v>3381</v>
      </c>
      <c r="E76" s="13">
        <f t="shared" si="45"/>
        <v>56.35</v>
      </c>
      <c r="F76" s="12">
        <f t="shared" si="39"/>
        <v>0.40091021067984606</v>
      </c>
      <c r="G76" s="13">
        <f t="shared" si="65"/>
        <v>23.739182874624156</v>
      </c>
      <c r="I76" s="25">
        <v>44781.761111111111</v>
      </c>
      <c r="J76" s="26">
        <v>6.6272216752253097E-3</v>
      </c>
      <c r="K76" s="27">
        <v>13.768905965</v>
      </c>
      <c r="L76" s="28">
        <v>5207</v>
      </c>
      <c r="M76" s="29">
        <f t="shared" si="46"/>
        <v>86.783333333333331</v>
      </c>
      <c r="N76" s="26">
        <f t="shared" si="40"/>
        <v>0.57513238771496977</v>
      </c>
      <c r="O76" s="29">
        <f t="shared" si="47"/>
        <v>28.327737969171352</v>
      </c>
      <c r="Q76" s="35">
        <v>45136.75</v>
      </c>
      <c r="R76" s="71">
        <v>1.50958119915185E-2</v>
      </c>
      <c r="S76" s="70">
        <v>2.6558198119999998</v>
      </c>
      <c r="T76" s="36">
        <v>7465</v>
      </c>
      <c r="U76" s="37">
        <f t="shared" si="48"/>
        <v>124.41666666666667</v>
      </c>
      <c r="V76" s="37">
        <f t="shared" si="41"/>
        <v>1.8781706086114267</v>
      </c>
      <c r="W76" s="38">
        <f t="shared" si="49"/>
        <v>50.571011673526229</v>
      </c>
      <c r="Y76" s="45">
        <v>45151.760416666664</v>
      </c>
      <c r="Z76" s="4">
        <v>5.2549597770071904E-3</v>
      </c>
      <c r="AA76" s="3">
        <v>0.69769667099999999</v>
      </c>
      <c r="AB76" s="4">
        <v>1257</v>
      </c>
      <c r="AC76" s="46">
        <f t="shared" si="50"/>
        <v>20.95</v>
      </c>
      <c r="AD76" s="47">
        <f t="shared" si="42"/>
        <v>0.11009140732830064</v>
      </c>
      <c r="AE76" s="50">
        <f t="shared" si="51"/>
        <v>0</v>
      </c>
      <c r="AG76" s="51">
        <v>45166.760416666664</v>
      </c>
      <c r="AH76" s="72">
        <v>1.3575714997825099E-2</v>
      </c>
      <c r="AI76" s="73">
        <v>0.69769667099999999</v>
      </c>
      <c r="AJ76" s="52">
        <v>5617</v>
      </c>
      <c r="AK76" s="53">
        <f t="shared" si="52"/>
        <v>93.61666666666666</v>
      </c>
      <c r="AL76" s="72">
        <f t="shared" si="43"/>
        <v>1.2709131857130596</v>
      </c>
      <c r="AM76" s="54">
        <f t="shared" si="53"/>
        <v>41.767563527184244</v>
      </c>
      <c r="AO76" s="66">
        <v>45183.760416666664</v>
      </c>
      <c r="AP76" s="67">
        <v>7.0039998255896102E-2</v>
      </c>
      <c r="AQ76" s="68">
        <v>2.6558198119999998</v>
      </c>
      <c r="AR76" s="68">
        <v>5802</v>
      </c>
      <c r="AS76" s="68">
        <f t="shared" si="54"/>
        <v>96.7</v>
      </c>
      <c r="AT76" s="68">
        <f t="shared" si="44"/>
        <v>6.7728678313451534</v>
      </c>
      <c r="AU76" s="69">
        <f t="shared" si="55"/>
        <v>94.772630546827756</v>
      </c>
      <c r="AW76" s="82">
        <v>45047.09375</v>
      </c>
      <c r="AX76" s="121">
        <v>4.4439060000000002E-2</v>
      </c>
      <c r="AY76" s="83">
        <v>82.284398269999997</v>
      </c>
      <c r="AZ76" s="121">
        <v>6706</v>
      </c>
      <c r="BA76" s="83">
        <f t="shared" si="36"/>
        <v>111.76666666666667</v>
      </c>
      <c r="BB76" s="84">
        <f t="shared" si="37"/>
        <v>4.9668056060000003</v>
      </c>
      <c r="BC76" s="83">
        <f t="shared" si="38"/>
        <v>81.418402938795751</v>
      </c>
      <c r="BE76" s="87">
        <v>45048.010416666664</v>
      </c>
      <c r="BF76" s="118">
        <v>5.9518197352717503E-2</v>
      </c>
      <c r="BG76" s="88">
        <v>89.635700749999998</v>
      </c>
      <c r="BH76" s="89">
        <v>4853</v>
      </c>
      <c r="BI76" s="90">
        <f t="shared" si="56"/>
        <v>80.88333333333334</v>
      </c>
      <c r="BJ76" s="91">
        <f t="shared" si="57"/>
        <v>4.814030195878968</v>
      </c>
      <c r="BK76" s="91">
        <f t="shared" si="58"/>
        <v>80.182234881948659</v>
      </c>
      <c r="BM76" s="93">
        <v>45050.010416666664</v>
      </c>
      <c r="BN76">
        <v>9.1867757594141397E-2</v>
      </c>
      <c r="BO76" s="95">
        <v>120.2525852</v>
      </c>
      <c r="BP76" s="4">
        <v>3789</v>
      </c>
      <c r="BQ76" s="95">
        <f t="shared" si="59"/>
        <v>63.15</v>
      </c>
      <c r="BR76" s="94">
        <f t="shared" si="60"/>
        <v>5.8014488920700291</v>
      </c>
      <c r="BS76" s="96">
        <f t="shared" si="61"/>
        <v>87.853163050649044</v>
      </c>
      <c r="BU76" s="10">
        <v>45051.270833333336</v>
      </c>
      <c r="BV76" s="119">
        <v>8.50265956258969E-2</v>
      </c>
      <c r="BW76" s="21">
        <v>105.0235411</v>
      </c>
      <c r="BX76" s="120">
        <v>4458</v>
      </c>
      <c r="BY76" s="21">
        <f t="shared" si="62"/>
        <v>74.3</v>
      </c>
      <c r="BZ76" s="21">
        <f t="shared" si="63"/>
        <v>6.3174760550041391</v>
      </c>
      <c r="CA76" s="21">
        <f t="shared" si="64"/>
        <v>91.596693336624867</v>
      </c>
    </row>
    <row r="77" spans="1:79" x14ac:dyDescent="0.25">
      <c r="A77" s="10">
        <v>44776.771527777775</v>
      </c>
      <c r="B77" s="11">
        <v>6.7227076636487701E-3</v>
      </c>
      <c r="C77" s="12">
        <v>7.7941709709999998</v>
      </c>
      <c r="D77" s="9">
        <v>2729</v>
      </c>
      <c r="E77" s="13">
        <f t="shared" si="45"/>
        <v>45.483333333333334</v>
      </c>
      <c r="F77" s="12">
        <f t="shared" si="39"/>
        <v>0.30577115356829154</v>
      </c>
      <c r="G77" s="13">
        <f t="shared" si="65"/>
        <v>20.789893494319333</v>
      </c>
      <c r="I77" s="25">
        <v>44781.771527777775</v>
      </c>
      <c r="J77" s="26">
        <v>7.1315589399115996E-3</v>
      </c>
      <c r="K77" s="27">
        <v>10.713533245000001</v>
      </c>
      <c r="L77" s="28">
        <v>3390</v>
      </c>
      <c r="M77" s="29">
        <f t="shared" si="46"/>
        <v>56.5</v>
      </c>
      <c r="N77" s="26">
        <f t="shared" si="40"/>
        <v>0.40293308010500539</v>
      </c>
      <c r="O77" s="29">
        <f t="shared" si="47"/>
        <v>23.797764112710826</v>
      </c>
      <c r="Q77" s="35">
        <v>45136.760416666664</v>
      </c>
      <c r="R77" s="71">
        <v>1.29994040158092E-2</v>
      </c>
      <c r="S77" s="70">
        <v>2.0619739560000001</v>
      </c>
      <c r="T77" s="36">
        <v>6561</v>
      </c>
      <c r="U77" s="37">
        <f t="shared" si="48"/>
        <v>109.35</v>
      </c>
      <c r="V77" s="37">
        <f t="shared" si="41"/>
        <v>1.4214848291287361</v>
      </c>
      <c r="W77" s="38">
        <f t="shared" si="49"/>
        <v>44.121621251906596</v>
      </c>
      <c r="Y77" s="45">
        <v>45151.770833333336</v>
      </c>
      <c r="Z77" s="4">
        <v>1.20267098061293E-2</v>
      </c>
      <c r="AA77" s="3">
        <v>0.59425534599999996</v>
      </c>
      <c r="AB77" s="4">
        <v>4902</v>
      </c>
      <c r="AC77" s="46">
        <f t="shared" si="50"/>
        <v>81.7</v>
      </c>
      <c r="AD77" s="47">
        <f t="shared" si="42"/>
        <v>0.98258219116076384</v>
      </c>
      <c r="AE77" s="50">
        <f t="shared" si="51"/>
        <v>36.822785439690144</v>
      </c>
      <c r="AG77" s="51">
        <v>45166.770833333336</v>
      </c>
      <c r="AH77" s="72">
        <v>1.55340760841929E-2</v>
      </c>
      <c r="AI77" s="73">
        <v>0.81307424100000003</v>
      </c>
      <c r="AJ77" s="52">
        <v>6158</v>
      </c>
      <c r="AK77" s="53">
        <f t="shared" si="52"/>
        <v>102.63333333333334</v>
      </c>
      <c r="AL77" s="72">
        <f t="shared" si="43"/>
        <v>1.5943140087743315</v>
      </c>
      <c r="AM77" s="54">
        <f t="shared" si="53"/>
        <v>46.671742210542483</v>
      </c>
      <c r="AO77" s="66">
        <v>45183.770833333336</v>
      </c>
      <c r="AP77" s="67">
        <v>6.18691893714143E-2</v>
      </c>
      <c r="AQ77" s="68">
        <v>2.247064306</v>
      </c>
      <c r="AR77" s="68">
        <v>6293</v>
      </c>
      <c r="AS77" s="68">
        <f t="shared" si="54"/>
        <v>104.88333333333334</v>
      </c>
      <c r="AT77" s="68">
        <f t="shared" si="44"/>
        <v>6.4890468119051699</v>
      </c>
      <c r="AU77" s="69">
        <f t="shared" si="55"/>
        <v>92.806540268983241</v>
      </c>
      <c r="AW77" s="82">
        <v>45047.104166666664</v>
      </c>
      <c r="AX77" s="121">
        <v>3.9701674999999999E-2</v>
      </c>
      <c r="AY77" s="83">
        <v>82.284398269999997</v>
      </c>
      <c r="AZ77" s="121">
        <v>7256</v>
      </c>
      <c r="BA77" s="83">
        <f t="shared" si="36"/>
        <v>120.93333333333334</v>
      </c>
      <c r="BB77" s="84">
        <f t="shared" si="37"/>
        <v>4.8012558966666665</v>
      </c>
      <c r="BC77" s="83">
        <f t="shared" si="38"/>
        <v>80.077971725097882</v>
      </c>
      <c r="BE77" s="87">
        <v>45048.020833333336</v>
      </c>
      <c r="BF77" s="118">
        <v>6.2191643191794002E-2</v>
      </c>
      <c r="BG77" s="88">
        <v>88.350109630000006</v>
      </c>
      <c r="BH77" s="89">
        <v>4874</v>
      </c>
      <c r="BI77" s="90">
        <f t="shared" si="56"/>
        <v>81.233333333333334</v>
      </c>
      <c r="BJ77" s="91">
        <f t="shared" si="57"/>
        <v>5.0520344819467331</v>
      </c>
      <c r="BK77" s="91">
        <f t="shared" si="58"/>
        <v>82.099600303622864</v>
      </c>
      <c r="BM77" s="93">
        <v>45050.020833333336</v>
      </c>
      <c r="BN77">
        <v>8.6747022862342094E-2</v>
      </c>
      <c r="BO77" s="95">
        <v>119.11711819999999</v>
      </c>
      <c r="BP77" s="4">
        <v>3913</v>
      </c>
      <c r="BQ77" s="95">
        <f t="shared" si="59"/>
        <v>65.216666666666669</v>
      </c>
      <c r="BR77" s="94">
        <f t="shared" si="60"/>
        <v>5.6573516743390773</v>
      </c>
      <c r="BS77" s="96">
        <f t="shared" si="61"/>
        <v>86.777725968269067</v>
      </c>
      <c r="BU77" s="10">
        <v>45051.28125</v>
      </c>
      <c r="BV77" s="119">
        <v>8.6122319619952897E-2</v>
      </c>
      <c r="BW77" s="21">
        <v>104.61473460000001</v>
      </c>
      <c r="BX77" s="120">
        <v>4454</v>
      </c>
      <c r="BY77" s="21">
        <f t="shared" si="62"/>
        <v>74.233333333333334</v>
      </c>
      <c r="BZ77" s="21">
        <f t="shared" si="63"/>
        <v>6.3931468597878371</v>
      </c>
      <c r="CA77" s="21">
        <f t="shared" si="64"/>
        <v>92.132333702217664</v>
      </c>
    </row>
    <row r="78" spans="1:79" x14ac:dyDescent="0.25">
      <c r="A78" s="10">
        <v>44776.781944444447</v>
      </c>
      <c r="B78" s="11">
        <v>4.8378525919520604E-3</v>
      </c>
      <c r="C78" s="12">
        <v>5.7733400259999996</v>
      </c>
      <c r="D78" s="9">
        <v>2494</v>
      </c>
      <c r="E78" s="13">
        <f t="shared" si="45"/>
        <v>41.56666666666667</v>
      </c>
      <c r="F78" s="12">
        <f t="shared" si="39"/>
        <v>0.20109340607214066</v>
      </c>
      <c r="G78" s="13">
        <f t="shared" si="65"/>
        <v>16.932750535726619</v>
      </c>
      <c r="I78" s="25">
        <v>44781.781944444447</v>
      </c>
      <c r="J78" s="26">
        <v>5.71562118563865E-3</v>
      </c>
      <c r="K78" s="27">
        <v>10.73823973</v>
      </c>
      <c r="L78" s="28">
        <v>3233</v>
      </c>
      <c r="M78" s="29">
        <f t="shared" si="46"/>
        <v>53.883333333333333</v>
      </c>
      <c r="N78" s="26">
        <f t="shared" si="40"/>
        <v>0.30797672155282924</v>
      </c>
      <c r="O78" s="29">
        <f t="shared" si="47"/>
        <v>0</v>
      </c>
      <c r="Q78" s="35">
        <v>45136.770833333336</v>
      </c>
      <c r="R78" s="71">
        <v>1.41961564302592E-2</v>
      </c>
      <c r="S78" s="70">
        <v>2.3436582540000002</v>
      </c>
      <c r="T78" s="36">
        <v>6999</v>
      </c>
      <c r="U78" s="37">
        <f t="shared" si="48"/>
        <v>116.65</v>
      </c>
      <c r="V78" s="37">
        <f t="shared" si="41"/>
        <v>1.6559816475897358</v>
      </c>
      <c r="W78" s="38">
        <f t="shared" si="49"/>
        <v>47.547214629001694</v>
      </c>
      <c r="Y78" s="45">
        <v>45151.78125</v>
      </c>
      <c r="Z78" s="4">
        <v>1.1325554905865299E-2</v>
      </c>
      <c r="AA78" s="3">
        <v>2.7664001109999998</v>
      </c>
      <c r="AB78" s="4">
        <v>6670</v>
      </c>
      <c r="AC78" s="46">
        <f t="shared" si="50"/>
        <v>111.16666666666667</v>
      </c>
      <c r="AD78" s="47">
        <f t="shared" si="42"/>
        <v>1.2590241870353591</v>
      </c>
      <c r="AE78" s="50">
        <f t="shared" si="51"/>
        <v>41.575767813015752</v>
      </c>
      <c r="AG78" s="51">
        <v>45166.78125</v>
      </c>
      <c r="AH78" s="72">
        <v>1.19831947919809E-2</v>
      </c>
      <c r="AI78" s="73">
        <v>0.69769667099999999</v>
      </c>
      <c r="AJ78" s="52">
        <v>5711</v>
      </c>
      <c r="AK78" s="53">
        <f t="shared" si="52"/>
        <v>95.183333333333337</v>
      </c>
      <c r="AL78" s="72">
        <f t="shared" si="43"/>
        <v>1.140600424283382</v>
      </c>
      <c r="AM78" s="54">
        <f t="shared" si="53"/>
        <v>39.612466210306977</v>
      </c>
      <c r="AO78" s="66">
        <v>45183.78125</v>
      </c>
      <c r="AP78" s="67">
        <v>6.0709785559574299E-2</v>
      </c>
      <c r="AQ78" s="68">
        <v>2.3436582540000002</v>
      </c>
      <c r="AR78" s="68">
        <v>6218</v>
      </c>
      <c r="AS78" s="68">
        <f t="shared" si="54"/>
        <v>103.63333333333334</v>
      </c>
      <c r="AT78" s="68">
        <f t="shared" si="44"/>
        <v>6.2915574434905501</v>
      </c>
      <c r="AU78" s="69">
        <f t="shared" si="55"/>
        <v>91.412474790851846</v>
      </c>
      <c r="AW78" s="82">
        <v>45047.114583333336</v>
      </c>
      <c r="AX78" s="121">
        <v>4.2727963000000001E-2</v>
      </c>
      <c r="AY78" s="83">
        <v>81.405228940000001</v>
      </c>
      <c r="AZ78" s="121">
        <v>6982</v>
      </c>
      <c r="BA78" s="83">
        <f t="shared" si="36"/>
        <v>116.36666666666666</v>
      </c>
      <c r="BB78" s="84">
        <f t="shared" si="37"/>
        <v>4.9721106277666669</v>
      </c>
      <c r="BC78" s="83">
        <f t="shared" si="38"/>
        <v>81.460976931595383</v>
      </c>
      <c r="BE78" s="87">
        <v>45048.03125</v>
      </c>
      <c r="BF78" s="118">
        <v>5.5378085388220998E-2</v>
      </c>
      <c r="BG78" s="88">
        <v>87.058386479999996</v>
      </c>
      <c r="BH78" s="89">
        <v>4830</v>
      </c>
      <c r="BI78" s="90">
        <f t="shared" si="56"/>
        <v>80.5</v>
      </c>
      <c r="BJ78" s="91">
        <f t="shared" si="57"/>
        <v>4.45793587375179</v>
      </c>
      <c r="BK78" s="91">
        <f t="shared" si="58"/>
        <v>77.220822457558285</v>
      </c>
      <c r="BM78" s="93">
        <v>45050.03125</v>
      </c>
      <c r="BN78">
        <v>0.103100653598571</v>
      </c>
      <c r="BO78" s="95">
        <v>117.21518</v>
      </c>
      <c r="BP78" s="4">
        <v>4051</v>
      </c>
      <c r="BQ78" s="95">
        <f t="shared" si="59"/>
        <v>67.516666666666666</v>
      </c>
      <c r="BR78" s="94">
        <f t="shared" si="60"/>
        <v>6.961012462130185</v>
      </c>
      <c r="BS78" s="96">
        <f t="shared" si="61"/>
        <v>96.052853776553491</v>
      </c>
      <c r="BU78" s="10">
        <v>45051.291666666664</v>
      </c>
      <c r="BV78" s="119">
        <v>7.9334787722903297E-2</v>
      </c>
      <c r="BW78" s="21">
        <v>94.720978599999995</v>
      </c>
      <c r="BX78" s="120">
        <v>4648</v>
      </c>
      <c r="BY78" s="21">
        <f t="shared" si="62"/>
        <v>77.466666666666669</v>
      </c>
      <c r="BZ78" s="21">
        <f t="shared" si="63"/>
        <v>6.1458015556009089</v>
      </c>
      <c r="CA78" s="21">
        <f t="shared" si="64"/>
        <v>90.369213034180092</v>
      </c>
    </row>
    <row r="79" spans="1:79" x14ac:dyDescent="0.25">
      <c r="A79" s="10">
        <v>44776.792361111111</v>
      </c>
      <c r="B79" s="11">
        <v>4.9265829371615104E-3</v>
      </c>
      <c r="C79" s="12">
        <v>5.1560535449999998</v>
      </c>
      <c r="D79" s="9">
        <v>2465</v>
      </c>
      <c r="E79" s="13">
        <f t="shared" si="45"/>
        <v>41.083333333333336</v>
      </c>
      <c r="F79" s="12">
        <f t="shared" si="39"/>
        <v>0.20240044900171872</v>
      </c>
      <c r="G79" s="13">
        <f t="shared" si="65"/>
        <v>16.986556591580069</v>
      </c>
      <c r="I79" s="25">
        <v>44781.792361111111</v>
      </c>
      <c r="J79" s="26">
        <v>5.7347840315271903E-3</v>
      </c>
      <c r="K79" s="27">
        <v>9.41508928649999</v>
      </c>
      <c r="L79" s="28">
        <v>2405</v>
      </c>
      <c r="M79" s="29">
        <f t="shared" si="46"/>
        <v>40.083333333333336</v>
      </c>
      <c r="N79" s="26">
        <f t="shared" si="40"/>
        <v>0.22986925993038157</v>
      </c>
      <c r="O79" s="29">
        <f t="shared" si="47"/>
        <v>0</v>
      </c>
      <c r="Q79" s="35">
        <v>45136.78125</v>
      </c>
      <c r="R79" s="71">
        <v>1.2127009560730199E-2</v>
      </c>
      <c r="S79" s="70">
        <v>2.0619739560000001</v>
      </c>
      <c r="T79" s="36">
        <v>6538</v>
      </c>
      <c r="U79" s="37">
        <f t="shared" si="48"/>
        <v>108.96666666666667</v>
      </c>
      <c r="V79" s="37">
        <f t="shared" si="41"/>
        <v>1.3214398084675674</v>
      </c>
      <c r="W79" s="38">
        <f t="shared" si="49"/>
        <v>42.572631686625165</v>
      </c>
      <c r="Y79" s="45">
        <v>45151.791666666664</v>
      </c>
      <c r="Z79" s="4">
        <v>9.3017912165181404E-3</v>
      </c>
      <c r="AA79" s="3">
        <v>2.6539428329999999</v>
      </c>
      <c r="AB79" s="4">
        <v>5421</v>
      </c>
      <c r="AC79" s="46">
        <f t="shared" si="50"/>
        <v>90.35</v>
      </c>
      <c r="AD79" s="47">
        <f t="shared" si="42"/>
        <v>0.84041683641241394</v>
      </c>
      <c r="AE79" s="50">
        <f t="shared" si="51"/>
        <v>34.109760413043801</v>
      </c>
      <c r="AG79" s="51">
        <v>45166.791666666664</v>
      </c>
      <c r="AH79" s="72">
        <v>1.53530311490996E-2</v>
      </c>
      <c r="AI79" s="73">
        <v>0.69769667099999999</v>
      </c>
      <c r="AJ79" s="52">
        <v>5798</v>
      </c>
      <c r="AK79" s="53">
        <f t="shared" si="52"/>
        <v>96.63333333333334</v>
      </c>
      <c r="AL79" s="72">
        <f t="shared" si="43"/>
        <v>1.4836145767079916</v>
      </c>
      <c r="AM79" s="54">
        <f t="shared" si="53"/>
        <v>45.055678199723602</v>
      </c>
      <c r="AO79" s="66">
        <v>45183.791666666664</v>
      </c>
      <c r="AP79" s="67">
        <v>5.1910935948964503E-2</v>
      </c>
      <c r="AQ79" s="68">
        <v>2.247064306</v>
      </c>
      <c r="AR79" s="68">
        <v>6711</v>
      </c>
      <c r="AS79" s="68">
        <f t="shared" si="54"/>
        <v>111.85</v>
      </c>
      <c r="AT79" s="68">
        <f t="shared" si="44"/>
        <v>5.8062381858916794</v>
      </c>
      <c r="AU79" s="69">
        <f t="shared" si="55"/>
        <v>87.888671447756025</v>
      </c>
      <c r="AW79" s="82">
        <v>45047.125</v>
      </c>
      <c r="AX79" s="121">
        <v>3.7729084000000003E-2</v>
      </c>
      <c r="AY79" s="83">
        <v>81.405228940000001</v>
      </c>
      <c r="AZ79" s="121">
        <v>6820</v>
      </c>
      <c r="BA79" s="83">
        <f t="shared" si="36"/>
        <v>113.66666666666667</v>
      </c>
      <c r="BB79" s="84">
        <f t="shared" si="37"/>
        <v>4.2885392146666668</v>
      </c>
      <c r="BC79" s="83">
        <f t="shared" si="38"/>
        <v>75.769687982629208</v>
      </c>
      <c r="BE79" s="87">
        <v>45048.041666666664</v>
      </c>
      <c r="BF79" s="118">
        <v>5.3922792986080298E-2</v>
      </c>
      <c r="BG79" s="88">
        <v>89.635700749999998</v>
      </c>
      <c r="BH79" s="89">
        <v>4734</v>
      </c>
      <c r="BI79" s="90">
        <f t="shared" si="56"/>
        <v>78.900000000000006</v>
      </c>
      <c r="BJ79" s="91">
        <f t="shared" si="57"/>
        <v>4.254508366601736</v>
      </c>
      <c r="BK79" s="91">
        <f t="shared" si="58"/>
        <v>75.474654751181305</v>
      </c>
      <c r="BM79" s="93">
        <v>45050.041666666664</v>
      </c>
      <c r="BN79">
        <v>8.7233467470343704E-2</v>
      </c>
      <c r="BO79" s="95">
        <v>114.1275401</v>
      </c>
      <c r="BP79" s="4">
        <v>4022</v>
      </c>
      <c r="BQ79" s="95">
        <f t="shared" si="59"/>
        <v>67.033333333333331</v>
      </c>
      <c r="BR79" s="94">
        <f t="shared" si="60"/>
        <v>5.8475501027620398</v>
      </c>
      <c r="BS79" s="96">
        <f t="shared" si="61"/>
        <v>88.194344517051206</v>
      </c>
      <c r="BU79" s="10">
        <v>45051.302083333336</v>
      </c>
      <c r="BV79" s="119">
        <v>8.4281900050852704E-2</v>
      </c>
      <c r="BW79" s="21">
        <v>95.138397370000007</v>
      </c>
      <c r="BX79" s="120">
        <v>4650</v>
      </c>
      <c r="BY79" s="21">
        <f t="shared" si="62"/>
        <v>77.5</v>
      </c>
      <c r="BZ79" s="21">
        <f t="shared" si="63"/>
        <v>6.5318472539410841</v>
      </c>
      <c r="CA79" s="21">
        <f t="shared" si="64"/>
        <v>93.105799087843891</v>
      </c>
    </row>
    <row r="80" spans="1:79" x14ac:dyDescent="0.25">
      <c r="A80" s="10">
        <v>44776.802777777775</v>
      </c>
      <c r="B80" s="11">
        <v>5.0058445530102901E-3</v>
      </c>
      <c r="C80" s="12">
        <v>4.4556949205</v>
      </c>
      <c r="D80" s="9">
        <v>2271</v>
      </c>
      <c r="E80" s="13">
        <f t="shared" si="45"/>
        <v>37.85</v>
      </c>
      <c r="F80" s="12">
        <f t="shared" si="39"/>
        <v>0.18947121633143948</v>
      </c>
      <c r="G80" s="13">
        <f t="shared" si="65"/>
        <v>16.446236032101172</v>
      </c>
      <c r="I80" s="25">
        <v>44781.802777777775</v>
      </c>
      <c r="J80" s="26">
        <v>6.6550809194387498E-3</v>
      </c>
      <c r="K80" s="27">
        <v>9.5693059164999994</v>
      </c>
      <c r="L80" s="28">
        <v>2654</v>
      </c>
      <c r="M80" s="29">
        <f t="shared" si="46"/>
        <v>44.233333333333334</v>
      </c>
      <c r="N80" s="26">
        <f t="shared" si="40"/>
        <v>0.29437641266984071</v>
      </c>
      <c r="O80" s="29">
        <f t="shared" si="47"/>
        <v>0</v>
      </c>
      <c r="Q80" s="35">
        <v>45136.791666666664</v>
      </c>
      <c r="R80" s="71">
        <v>1.17473840599687E-2</v>
      </c>
      <c r="S80" s="70">
        <v>1.8086265969999999</v>
      </c>
      <c r="T80" s="36">
        <v>5964</v>
      </c>
      <c r="U80" s="37">
        <f t="shared" si="48"/>
        <v>99.4</v>
      </c>
      <c r="V80" s="37">
        <f t="shared" si="41"/>
        <v>1.1676899755608887</v>
      </c>
      <c r="W80" s="38">
        <f t="shared" si="49"/>
        <v>40.070420028323532</v>
      </c>
      <c r="Y80" s="45">
        <v>45151.802083333336</v>
      </c>
      <c r="Z80" s="4">
        <v>8.3559528913760995E-3</v>
      </c>
      <c r="AA80" s="3">
        <v>1.654461261</v>
      </c>
      <c r="AB80" s="4">
        <v>4505</v>
      </c>
      <c r="AC80" s="46">
        <f t="shared" si="50"/>
        <v>75.083333333333329</v>
      </c>
      <c r="AD80" s="47">
        <f t="shared" si="42"/>
        <v>0.62739279626082212</v>
      </c>
      <c r="AE80" s="50">
        <f t="shared" si="51"/>
        <v>29.560290618491003</v>
      </c>
      <c r="AG80" s="51">
        <v>45166.802083333336</v>
      </c>
      <c r="AH80" s="72">
        <v>1.7272207017591901E-2</v>
      </c>
      <c r="AI80" s="73">
        <v>0.77321039300000005</v>
      </c>
      <c r="AJ80" s="52">
        <v>6206</v>
      </c>
      <c r="AK80" s="53">
        <f t="shared" si="52"/>
        <v>103.43333333333334</v>
      </c>
      <c r="AL80" s="72">
        <f t="shared" si="43"/>
        <v>1.7865219458529225</v>
      </c>
      <c r="AM80" s="54">
        <f t="shared" si="53"/>
        <v>49.347151014865034</v>
      </c>
      <c r="AO80" s="66">
        <v>45183.802083333336</v>
      </c>
      <c r="AP80" s="67">
        <v>4.82634327580964E-2</v>
      </c>
      <c r="AQ80" s="68">
        <v>2.247064306</v>
      </c>
      <c r="AR80" s="68">
        <v>7436</v>
      </c>
      <c r="AS80" s="68">
        <f t="shared" si="54"/>
        <v>123.93333333333334</v>
      </c>
      <c r="AT80" s="68">
        <f t="shared" si="44"/>
        <v>5.9814480998200805</v>
      </c>
      <c r="AU80" s="69">
        <f t="shared" si="55"/>
        <v>89.177574662300941</v>
      </c>
      <c r="AW80" s="82">
        <v>45047.135416666664</v>
      </c>
      <c r="AX80" s="121">
        <v>4.0692033000000002E-2</v>
      </c>
      <c r="AY80" s="83">
        <v>82.276892649999994</v>
      </c>
      <c r="AZ80" s="121">
        <v>6630</v>
      </c>
      <c r="BA80" s="83">
        <f t="shared" si="36"/>
        <v>110.5</v>
      </c>
      <c r="BB80" s="84">
        <f t="shared" si="37"/>
        <v>4.4964696465000005</v>
      </c>
      <c r="BC80" s="83">
        <f t="shared" si="38"/>
        <v>77.54697255344071</v>
      </c>
      <c r="BE80" s="87">
        <v>45048.052083333336</v>
      </c>
      <c r="BF80" s="118">
        <v>5.7873699175764501E-2</v>
      </c>
      <c r="BG80" s="88">
        <v>93.038532979999999</v>
      </c>
      <c r="BH80" s="89">
        <v>5020</v>
      </c>
      <c r="BI80" s="90">
        <f t="shared" si="56"/>
        <v>83.666666666666671</v>
      </c>
      <c r="BJ80" s="91">
        <f t="shared" si="57"/>
        <v>4.8420994977056298</v>
      </c>
      <c r="BK80" s="91">
        <f t="shared" si="58"/>
        <v>80.410840220652446</v>
      </c>
      <c r="BM80" s="93">
        <v>45050.052083333336</v>
      </c>
      <c r="BN80">
        <v>8.6075938352230097E-2</v>
      </c>
      <c r="BO80" s="95">
        <v>126.9470365</v>
      </c>
      <c r="BP80" s="4">
        <v>4083</v>
      </c>
      <c r="BQ80" s="95">
        <f t="shared" si="59"/>
        <v>68.05</v>
      </c>
      <c r="BR80" s="94">
        <f t="shared" si="60"/>
        <v>5.8574676048692575</v>
      </c>
      <c r="BS80" s="96">
        <f t="shared" si="61"/>
        <v>88.267561423481752</v>
      </c>
      <c r="BU80" s="10">
        <v>45051.3125</v>
      </c>
      <c r="BV80" s="119">
        <v>8.8075454714511295E-2</v>
      </c>
      <c r="BW80" s="21">
        <v>99.304680700000006</v>
      </c>
      <c r="BX80" s="120">
        <v>4613</v>
      </c>
      <c r="BY80" s="21">
        <f t="shared" si="62"/>
        <v>76.88333333333334</v>
      </c>
      <c r="BZ80" s="21">
        <f t="shared" si="63"/>
        <v>6.7715345433006773</v>
      </c>
      <c r="CA80" s="21">
        <f t="shared" si="64"/>
        <v>94.763493912601461</v>
      </c>
    </row>
    <row r="81" spans="1:79" x14ac:dyDescent="0.25">
      <c r="A81" s="10">
        <v>44776.813194444447</v>
      </c>
      <c r="B81" s="11">
        <v>5.6579143068844996E-3</v>
      </c>
      <c r="C81" s="12">
        <v>3.5644504299999999</v>
      </c>
      <c r="D81" s="9">
        <v>1829</v>
      </c>
      <c r="E81" s="13">
        <f t="shared" si="45"/>
        <v>30.483333333333334</v>
      </c>
      <c r="F81" s="12">
        <f t="shared" si="39"/>
        <v>0.17247208778819584</v>
      </c>
      <c r="G81" s="13">
        <f t="shared" si="65"/>
        <v>15.7063329331754</v>
      </c>
      <c r="I81" s="25">
        <v>44781.813194444447</v>
      </c>
      <c r="J81" s="26">
        <v>6.0417883005502498E-3</v>
      </c>
      <c r="K81" s="27">
        <v>10.085595189999999</v>
      </c>
      <c r="L81" s="28">
        <v>2763</v>
      </c>
      <c r="M81" s="29">
        <f t="shared" si="46"/>
        <v>46.05</v>
      </c>
      <c r="N81" s="26">
        <f t="shared" si="40"/>
        <v>0.27822435124033901</v>
      </c>
      <c r="O81" s="29">
        <f t="shared" si="47"/>
        <v>0</v>
      </c>
      <c r="Q81" s="35">
        <v>45136.802083333336</v>
      </c>
      <c r="R81" s="71">
        <v>1.13363662085962E-2</v>
      </c>
      <c r="S81" s="70">
        <v>2.3436582540000002</v>
      </c>
      <c r="T81" s="36">
        <v>6969</v>
      </c>
      <c r="U81" s="37">
        <f t="shared" si="48"/>
        <v>116.15</v>
      </c>
      <c r="V81" s="37">
        <f t="shared" si="41"/>
        <v>1.3167189351284487</v>
      </c>
      <c r="W81" s="38">
        <f t="shared" si="49"/>
        <v>42.498084377982146</v>
      </c>
      <c r="Y81" s="45">
        <v>45151.8125</v>
      </c>
      <c r="Z81" s="4">
        <v>7.5321054120801798E-3</v>
      </c>
      <c r="AA81" s="3">
        <v>1.5125919880000001</v>
      </c>
      <c r="AB81" s="4">
        <v>3543</v>
      </c>
      <c r="AC81" s="46">
        <f t="shared" si="50"/>
        <v>59.05</v>
      </c>
      <c r="AD81" s="47">
        <f t="shared" si="42"/>
        <v>0.44477082458333461</v>
      </c>
      <c r="AE81" s="50">
        <f t="shared" si="51"/>
        <v>24.977325558323379</v>
      </c>
      <c r="AG81" s="51">
        <v>45166.8125</v>
      </c>
      <c r="AH81" s="72">
        <v>1.33532273054027E-2</v>
      </c>
      <c r="AI81" s="73">
        <v>0.66228851600000005</v>
      </c>
      <c r="AJ81" s="52">
        <v>5906</v>
      </c>
      <c r="AK81" s="53">
        <f t="shared" si="52"/>
        <v>98.433333333333337</v>
      </c>
      <c r="AL81" s="72">
        <f t="shared" si="43"/>
        <v>1.3144026744284725</v>
      </c>
      <c r="AM81" s="54">
        <f t="shared" si="53"/>
        <v>42.461458430102837</v>
      </c>
      <c r="AO81" s="66">
        <v>45183.8125</v>
      </c>
      <c r="AP81" s="67">
        <v>4.9740763165656399E-2</v>
      </c>
      <c r="AQ81" s="68">
        <v>2.0619739560000001</v>
      </c>
      <c r="AR81" s="68">
        <v>7287</v>
      </c>
      <c r="AS81" s="68">
        <f t="shared" si="54"/>
        <v>121.45</v>
      </c>
      <c r="AT81" s="68">
        <f t="shared" si="44"/>
        <v>6.0410156864689695</v>
      </c>
      <c r="AU81" s="69">
        <f t="shared" si="55"/>
        <v>89.611375120707919</v>
      </c>
      <c r="AW81" s="82">
        <v>45047.145833333336</v>
      </c>
      <c r="AX81" s="121">
        <v>3.9621524999999998E-2</v>
      </c>
      <c r="AY81" s="83">
        <v>82.284398269999997</v>
      </c>
      <c r="AZ81" s="121">
        <v>6671</v>
      </c>
      <c r="BA81" s="83">
        <f t="shared" si="36"/>
        <v>111.18333333333334</v>
      </c>
      <c r="BB81" s="84">
        <f t="shared" si="37"/>
        <v>4.4052532212499997</v>
      </c>
      <c r="BC81" s="83">
        <f t="shared" si="38"/>
        <v>76.772579244228879</v>
      </c>
      <c r="BE81" s="87">
        <v>45048.0625</v>
      </c>
      <c r="BF81" s="118">
        <v>5.4790281865836898E-2</v>
      </c>
      <c r="BG81" s="88">
        <v>87.058386479999996</v>
      </c>
      <c r="BH81" s="89">
        <v>4904</v>
      </c>
      <c r="BI81" s="90">
        <f t="shared" si="56"/>
        <v>81.733333333333334</v>
      </c>
      <c r="BJ81" s="91">
        <f t="shared" si="57"/>
        <v>4.4781923711677356</v>
      </c>
      <c r="BK81" s="91">
        <f t="shared" si="58"/>
        <v>77.392452143555744</v>
      </c>
      <c r="BM81" s="93">
        <v>45050.0625</v>
      </c>
      <c r="BN81">
        <v>9.8886869462483998E-2</v>
      </c>
      <c r="BO81" s="95">
        <v>109.0251016</v>
      </c>
      <c r="BP81" s="4">
        <v>4167</v>
      </c>
      <c r="BQ81" s="95">
        <f t="shared" si="59"/>
        <v>69.45</v>
      </c>
      <c r="BR81" s="94">
        <f t="shared" si="60"/>
        <v>6.8676930841695141</v>
      </c>
      <c r="BS81" s="96">
        <f t="shared" si="61"/>
        <v>95.420102740724602</v>
      </c>
      <c r="BU81" s="10">
        <v>45051.322916666664</v>
      </c>
      <c r="BV81" s="119">
        <v>8.6926776574837106E-2</v>
      </c>
      <c r="BW81" s="21">
        <v>95.138397370000007</v>
      </c>
      <c r="BX81" s="120">
        <v>4527</v>
      </c>
      <c r="BY81" s="21">
        <f t="shared" si="62"/>
        <v>75.45</v>
      </c>
      <c r="BZ81" s="21">
        <f t="shared" si="63"/>
        <v>6.5586252925714597</v>
      </c>
      <c r="CA81" s="21">
        <f t="shared" si="64"/>
        <v>93.292521306352398</v>
      </c>
    </row>
    <row r="82" spans="1:79" x14ac:dyDescent="0.25">
      <c r="A82" s="10">
        <v>44776.823611111111</v>
      </c>
      <c r="B82" s="11">
        <v>5.4040963983280899E-3</v>
      </c>
      <c r="C82" s="12">
        <v>3.44414985149999</v>
      </c>
      <c r="D82" s="9">
        <v>2115</v>
      </c>
      <c r="E82" s="13">
        <f t="shared" si="45"/>
        <v>35.25</v>
      </c>
      <c r="F82" s="12">
        <f t="shared" si="39"/>
        <v>0.19049439804106516</v>
      </c>
      <c r="G82" s="13">
        <f t="shared" si="65"/>
        <v>16.489667945408691</v>
      </c>
      <c r="I82" s="25">
        <v>44781.823611111111</v>
      </c>
      <c r="J82" s="26">
        <v>5.7973423146927003E-3</v>
      </c>
      <c r="K82" s="27">
        <v>8.104838397</v>
      </c>
      <c r="L82" s="28">
        <v>2352</v>
      </c>
      <c r="M82" s="29">
        <f t="shared" si="46"/>
        <v>39.200000000000003</v>
      </c>
      <c r="N82" s="26">
        <f t="shared" si="40"/>
        <v>0.22725581873595388</v>
      </c>
      <c r="O82" s="29">
        <f t="shared" si="47"/>
        <v>0</v>
      </c>
      <c r="Q82" s="35">
        <v>45136.8125</v>
      </c>
      <c r="R82" s="71">
        <v>9.1992902367462603E-3</v>
      </c>
      <c r="S82" s="70">
        <v>1.654461261</v>
      </c>
      <c r="T82" s="36">
        <v>5425</v>
      </c>
      <c r="U82" s="37">
        <f t="shared" si="48"/>
        <v>90.416666666666671</v>
      </c>
      <c r="V82" s="37">
        <f t="shared" si="41"/>
        <v>0.83176915890580772</v>
      </c>
      <c r="W82" s="38">
        <f t="shared" si="49"/>
        <v>33.937431496062899</v>
      </c>
      <c r="Y82" s="45">
        <v>45151.822916666664</v>
      </c>
      <c r="Z82" s="4">
        <v>5.5902406805217004E-3</v>
      </c>
      <c r="AA82" s="3">
        <v>1.318149035</v>
      </c>
      <c r="AB82" s="4">
        <v>2301</v>
      </c>
      <c r="AC82" s="46">
        <f t="shared" si="50"/>
        <v>38.35</v>
      </c>
      <c r="AD82" s="47">
        <f t="shared" si="42"/>
        <v>0.21438573009800721</v>
      </c>
      <c r="AE82" s="50">
        <f t="shared" si="51"/>
        <v>0</v>
      </c>
      <c r="AG82" s="51">
        <v>45166.822916666664</v>
      </c>
      <c r="AH82" s="72">
        <v>1.0116332544427E-2</v>
      </c>
      <c r="AI82" s="73">
        <v>0.50323377899999999</v>
      </c>
      <c r="AJ82" s="52">
        <v>4031</v>
      </c>
      <c r="AK82" s="53">
        <f t="shared" si="52"/>
        <v>67.183333333333337</v>
      </c>
      <c r="AL82" s="72">
        <f t="shared" si="43"/>
        <v>0.67964894144308741</v>
      </c>
      <c r="AM82" s="54">
        <f t="shared" si="53"/>
        <v>30.74138169190935</v>
      </c>
      <c r="AO82" s="66">
        <v>45183.822916666664</v>
      </c>
      <c r="AP82" s="67">
        <v>5.6885865818409702E-2</v>
      </c>
      <c r="AQ82" s="68">
        <v>1.8086265969999999</v>
      </c>
      <c r="AR82" s="68">
        <v>7667</v>
      </c>
      <c r="AS82" s="68">
        <f t="shared" si="54"/>
        <v>127.78333333333333</v>
      </c>
      <c r="AT82" s="68">
        <f t="shared" si="44"/>
        <v>7.2690655538291198</v>
      </c>
      <c r="AU82" s="69">
        <f t="shared" si="55"/>
        <v>98.111441353476664</v>
      </c>
      <c r="AW82" s="82">
        <v>45047.15625</v>
      </c>
      <c r="AX82" s="121">
        <v>4.0571773999999998E-2</v>
      </c>
      <c r="AY82" s="83">
        <v>82.284398269999997</v>
      </c>
      <c r="AZ82" s="121">
        <v>6775</v>
      </c>
      <c r="BA82" s="83">
        <f t="shared" si="36"/>
        <v>112.91666666666667</v>
      </c>
      <c r="BB82" s="84">
        <f t="shared" si="37"/>
        <v>4.5812294808333336</v>
      </c>
      <c r="BC82" s="83">
        <f t="shared" si="38"/>
        <v>78.259397672469291</v>
      </c>
      <c r="BE82" s="87">
        <v>45048.072916666664</v>
      </c>
      <c r="BF82" s="118">
        <v>5.3377987991374401E-2</v>
      </c>
      <c r="BG82" s="88">
        <v>89.635700749999998</v>
      </c>
      <c r="BH82" s="89">
        <v>4984</v>
      </c>
      <c r="BI82" s="90">
        <f t="shared" si="56"/>
        <v>83.066666666666663</v>
      </c>
      <c r="BJ82" s="91">
        <f t="shared" si="57"/>
        <v>4.433931535816833</v>
      </c>
      <c r="BK82" s="91">
        <f t="shared" si="58"/>
        <v>77.01692194125107</v>
      </c>
      <c r="BM82" s="93">
        <v>45050.072916666664</v>
      </c>
      <c r="BN82">
        <v>0.102537833504317</v>
      </c>
      <c r="BO82" s="95">
        <v>121.00878899999999</v>
      </c>
      <c r="BP82" s="4">
        <v>4145</v>
      </c>
      <c r="BQ82" s="95">
        <f t="shared" si="59"/>
        <v>69.083333333333329</v>
      </c>
      <c r="BR82" s="94">
        <f t="shared" si="60"/>
        <v>7.0836553312565655</v>
      </c>
      <c r="BS82" s="96">
        <f t="shared" si="61"/>
        <v>96.877885704632021</v>
      </c>
      <c r="BU82" s="10">
        <v>45051.333333333336</v>
      </c>
      <c r="BV82" s="119">
        <v>9.6354392297426802E-2</v>
      </c>
      <c r="BW82" s="21">
        <v>100.5402337</v>
      </c>
      <c r="BX82" s="120">
        <v>4539</v>
      </c>
      <c r="BY82" s="21">
        <f t="shared" si="62"/>
        <v>75.650000000000006</v>
      </c>
      <c r="BZ82" s="21">
        <f t="shared" si="63"/>
        <v>7.2892097773003384</v>
      </c>
      <c r="CA82" s="21">
        <f t="shared" si="64"/>
        <v>98.244491373540129</v>
      </c>
    </row>
    <row r="83" spans="1:79" x14ac:dyDescent="0.25">
      <c r="A83" s="10">
        <v>44776.834027777775</v>
      </c>
      <c r="B83" s="11">
        <v>5.9553863651619597E-3</v>
      </c>
      <c r="C83" s="12">
        <v>3.4561308749999999</v>
      </c>
      <c r="D83" s="9">
        <v>2596</v>
      </c>
      <c r="E83" s="13">
        <f t="shared" si="45"/>
        <v>43.266666666666666</v>
      </c>
      <c r="F83" s="12">
        <f t="shared" si="39"/>
        <v>0.25766971673267414</v>
      </c>
      <c r="G83" s="13">
        <f t="shared" si="65"/>
        <v>19.118390583830159</v>
      </c>
      <c r="I83" s="25">
        <v>44781.834027777775</v>
      </c>
      <c r="J83" s="26">
        <v>5.4148357472824198E-3</v>
      </c>
      <c r="K83" s="27">
        <v>7.0321962280000001</v>
      </c>
      <c r="L83" s="28">
        <v>2267</v>
      </c>
      <c r="M83" s="29">
        <f t="shared" si="46"/>
        <v>37.783333333333331</v>
      </c>
      <c r="N83" s="26">
        <f t="shared" si="40"/>
        <v>0.20459054398482074</v>
      </c>
      <c r="O83" s="29">
        <f t="shared" si="47"/>
        <v>0</v>
      </c>
      <c r="Q83" s="35">
        <v>45136.822916666664</v>
      </c>
      <c r="R83" s="71">
        <v>1.0531632315758E-2</v>
      </c>
      <c r="S83" s="70">
        <v>1.8086265969999999</v>
      </c>
      <c r="T83" s="36">
        <v>5608</v>
      </c>
      <c r="U83" s="37">
        <f t="shared" si="48"/>
        <v>93.466666666666669</v>
      </c>
      <c r="V83" s="37">
        <f t="shared" si="41"/>
        <v>0.9843565671128478</v>
      </c>
      <c r="W83" s="38">
        <f t="shared" si="49"/>
        <v>36.855333381216369</v>
      </c>
      <c r="Y83" s="45">
        <v>45151.833333333336</v>
      </c>
      <c r="Z83" s="4">
        <v>6.80299154928666E-3</v>
      </c>
      <c r="AA83" s="3">
        <v>1.9748874890000001</v>
      </c>
      <c r="AB83" s="4">
        <v>3385</v>
      </c>
      <c r="AC83" s="46">
        <f t="shared" si="50"/>
        <v>56.416666666666664</v>
      </c>
      <c r="AD83" s="47">
        <f t="shared" si="42"/>
        <v>0.38380210657225572</v>
      </c>
      <c r="AE83" s="50">
        <f t="shared" si="51"/>
        <v>23.237583535286383</v>
      </c>
      <c r="AG83" s="51">
        <v>45166.833333333336</v>
      </c>
      <c r="AH83" s="72">
        <v>1.7752390811548498E-2</v>
      </c>
      <c r="AI83" s="73">
        <v>0.77321039300000005</v>
      </c>
      <c r="AJ83" s="52">
        <v>6125</v>
      </c>
      <c r="AK83" s="53">
        <f t="shared" si="52"/>
        <v>102.08333333333333</v>
      </c>
      <c r="AL83" s="72">
        <f t="shared" si="43"/>
        <v>1.8122232286789091</v>
      </c>
      <c r="AM83" s="54">
        <f t="shared" si="53"/>
        <v>49.693531204440781</v>
      </c>
      <c r="AO83" s="66">
        <v>45183.833333333336</v>
      </c>
      <c r="AP83" s="67">
        <v>5.03737773942897E-2</v>
      </c>
      <c r="AQ83" s="68">
        <v>2.0619739560000001</v>
      </c>
      <c r="AR83" s="68">
        <v>7823</v>
      </c>
      <c r="AS83" s="68">
        <f t="shared" si="54"/>
        <v>130.38333333333333</v>
      </c>
      <c r="AT83" s="68">
        <f t="shared" si="44"/>
        <v>6.5679010092588053</v>
      </c>
      <c r="AU83" s="69">
        <f t="shared" si="55"/>
        <v>93.357109770421886</v>
      </c>
      <c r="AW83" s="82">
        <v>45047.166666666664</v>
      </c>
      <c r="AX83" s="121">
        <v>3.9286384000000001E-2</v>
      </c>
      <c r="AY83" s="83">
        <v>80.086877509999994</v>
      </c>
      <c r="AZ83" s="121">
        <v>6856</v>
      </c>
      <c r="BA83" s="83">
        <f t="shared" si="36"/>
        <v>114.26666666666667</v>
      </c>
      <c r="BB83" s="84">
        <f t="shared" si="37"/>
        <v>4.4891241450666666</v>
      </c>
      <c r="BC83" s="83">
        <f t="shared" si="38"/>
        <v>77.484910539306355</v>
      </c>
      <c r="BE83" s="87">
        <v>45048.083333333336</v>
      </c>
      <c r="BF83" s="118">
        <v>5.5798201654552702E-2</v>
      </c>
      <c r="BG83" s="88">
        <v>84.891986889999998</v>
      </c>
      <c r="BH83" s="89">
        <v>4900</v>
      </c>
      <c r="BI83" s="90">
        <f t="shared" si="56"/>
        <v>81.666666666666671</v>
      </c>
      <c r="BJ83" s="91">
        <f t="shared" si="57"/>
        <v>4.5568531351218047</v>
      </c>
      <c r="BK83" s="91">
        <f t="shared" si="58"/>
        <v>78.055203213157398</v>
      </c>
      <c r="BM83" s="93">
        <v>45050.083333333336</v>
      </c>
      <c r="BN83">
        <v>9.3455972666450796E-2</v>
      </c>
      <c r="BO83" s="95">
        <v>121.00878899999999</v>
      </c>
      <c r="BP83" s="4">
        <v>4296</v>
      </c>
      <c r="BQ83" s="95">
        <f t="shared" si="59"/>
        <v>71.599999999999994</v>
      </c>
      <c r="BR83" s="94">
        <f t="shared" si="60"/>
        <v>6.6914476429178764</v>
      </c>
      <c r="BS83" s="96">
        <f t="shared" si="61"/>
        <v>94.212988019585723</v>
      </c>
      <c r="BU83" s="10">
        <v>45051.34375</v>
      </c>
      <c r="BV83" s="119">
        <v>0.103496022150146</v>
      </c>
      <c r="BW83" s="21">
        <v>107.0292163</v>
      </c>
      <c r="BX83" s="120">
        <v>4425</v>
      </c>
      <c r="BY83" s="21">
        <f t="shared" si="62"/>
        <v>73.75</v>
      </c>
      <c r="BZ83" s="21">
        <f t="shared" si="63"/>
        <v>7.6328316335732671</v>
      </c>
      <c r="CA83" s="21">
        <f t="shared" si="64"/>
        <v>100.48581784079515</v>
      </c>
    </row>
    <row r="84" spans="1:79" x14ac:dyDescent="0.25">
      <c r="A84" s="10">
        <v>44776.844444444447</v>
      </c>
      <c r="B84" s="11">
        <v>5.9124241501536303E-3</v>
      </c>
      <c r="C84" s="12">
        <v>3.188326338</v>
      </c>
      <c r="D84" s="9">
        <v>2773</v>
      </c>
      <c r="E84" s="13">
        <f t="shared" si="45"/>
        <v>46.216666666666669</v>
      </c>
      <c r="F84" s="12">
        <f t="shared" si="39"/>
        <v>0.27325253613960027</v>
      </c>
      <c r="G84" s="13">
        <f t="shared" si="65"/>
        <v>19.676102765150922</v>
      </c>
      <c r="I84" s="25">
        <v>44781.844444444447</v>
      </c>
      <c r="J84" s="26">
        <v>4.8947742542487099E-3</v>
      </c>
      <c r="K84" s="27">
        <v>7.4050236140000001</v>
      </c>
      <c r="L84" s="28">
        <v>2134</v>
      </c>
      <c r="M84" s="29">
        <f t="shared" si="46"/>
        <v>35.56666666666667</v>
      </c>
      <c r="N84" s="26">
        <f t="shared" si="40"/>
        <v>0.17409080430944579</v>
      </c>
      <c r="O84" s="29">
        <f t="shared" si="47"/>
        <v>0</v>
      </c>
      <c r="Q84" s="35">
        <v>45136.833333333336</v>
      </c>
      <c r="R84" s="71">
        <v>1.14061553202879E-2</v>
      </c>
      <c r="S84" s="70">
        <v>1.8086265969999999</v>
      </c>
      <c r="T84" s="36">
        <v>5533</v>
      </c>
      <c r="U84" s="37">
        <f t="shared" si="48"/>
        <v>92.216666666666669</v>
      </c>
      <c r="V84" s="37">
        <f t="shared" si="41"/>
        <v>1.0518376231192159</v>
      </c>
      <c r="W84" s="38">
        <f t="shared" si="49"/>
        <v>38.071665105915713</v>
      </c>
      <c r="Y84" s="45">
        <v>45151.84375</v>
      </c>
      <c r="Z84" s="4">
        <v>7.8634425424520399E-3</v>
      </c>
      <c r="AA84" s="3">
        <v>1.730820966</v>
      </c>
      <c r="AB84" s="4">
        <v>3446</v>
      </c>
      <c r="AC84" s="46">
        <f t="shared" si="50"/>
        <v>57.43333333333333</v>
      </c>
      <c r="AD84" s="47">
        <f t="shared" si="42"/>
        <v>0.45162371668816215</v>
      </c>
      <c r="AE84" s="50">
        <f t="shared" si="51"/>
        <v>25.165047965570441</v>
      </c>
      <c r="AG84" s="51">
        <v>45166.84375</v>
      </c>
      <c r="AH84" s="72">
        <v>1.20150962048139E-2</v>
      </c>
      <c r="AI84" s="73">
        <v>0.59425534599999996</v>
      </c>
      <c r="AJ84" s="52">
        <v>5022</v>
      </c>
      <c r="AK84" s="53">
        <f t="shared" si="52"/>
        <v>83.7</v>
      </c>
      <c r="AL84" s="72">
        <f t="shared" si="43"/>
        <v>1.0056635523429234</v>
      </c>
      <c r="AM84" s="54">
        <f t="shared" si="53"/>
        <v>37.24385996388542</v>
      </c>
      <c r="AO84" s="66">
        <v>45183.84375</v>
      </c>
      <c r="AP84" s="67">
        <v>4.79384295690755E-2</v>
      </c>
      <c r="AQ84" s="68">
        <v>1.88950475</v>
      </c>
      <c r="AR84" s="68">
        <v>7962</v>
      </c>
      <c r="AS84" s="68">
        <f t="shared" si="54"/>
        <v>132.69999999999999</v>
      </c>
      <c r="AT84" s="68">
        <f t="shared" si="44"/>
        <v>6.3614296038163181</v>
      </c>
      <c r="AU84" s="69">
        <f t="shared" si="55"/>
        <v>91.908217180032523</v>
      </c>
      <c r="AW84" s="82">
        <v>45047.177083333336</v>
      </c>
      <c r="AX84" s="121">
        <v>3.9684207999999999E-2</v>
      </c>
      <c r="AY84" s="83">
        <v>83.594462070000006</v>
      </c>
      <c r="AZ84" s="121">
        <v>6913</v>
      </c>
      <c r="BA84" s="83">
        <f t="shared" si="36"/>
        <v>115.21666666666667</v>
      </c>
      <c r="BB84" s="84">
        <f t="shared" si="37"/>
        <v>4.5722821650666665</v>
      </c>
      <c r="BC84" s="83">
        <f t="shared" si="38"/>
        <v>78.184512833795509</v>
      </c>
      <c r="BE84" s="87">
        <v>45048.09375</v>
      </c>
      <c r="BF84" s="118">
        <v>5.5574300017528902E-2</v>
      </c>
      <c r="BG84" s="88">
        <v>86.192545629999998</v>
      </c>
      <c r="BH84" s="89">
        <v>5191</v>
      </c>
      <c r="BI84" s="90">
        <f t="shared" si="56"/>
        <v>86.516666666666666</v>
      </c>
      <c r="BJ84" s="91">
        <f t="shared" si="57"/>
        <v>4.8081031898498754</v>
      </c>
      <c r="BK84" s="91">
        <f t="shared" si="58"/>
        <v>80.133876550003379</v>
      </c>
      <c r="BM84" s="93">
        <v>45050.09375</v>
      </c>
      <c r="BN84">
        <v>8.8327502595726595E-2</v>
      </c>
      <c r="BO84" s="95">
        <v>115.2898797</v>
      </c>
      <c r="BP84" s="4">
        <v>4251</v>
      </c>
      <c r="BQ84" s="95">
        <f t="shared" si="59"/>
        <v>70.849999999999994</v>
      </c>
      <c r="BR84" s="94">
        <f t="shared" si="60"/>
        <v>6.2580035589072285</v>
      </c>
      <c r="BS84" s="96">
        <f t="shared" si="61"/>
        <v>91.173411789432905</v>
      </c>
      <c r="BU84" s="10">
        <v>45051.354166666664</v>
      </c>
      <c r="BV84" s="119">
        <v>9.66649281181617E-2</v>
      </c>
      <c r="BW84" s="21">
        <v>87.058386479999996</v>
      </c>
      <c r="BX84" s="120">
        <v>4511</v>
      </c>
      <c r="BY84" s="21">
        <f t="shared" si="62"/>
        <v>75.183333333333337</v>
      </c>
      <c r="BZ84" s="21">
        <f t="shared" si="63"/>
        <v>7.2675915123504575</v>
      </c>
      <c r="CA84" s="21">
        <f t="shared" si="64"/>
        <v>98.101698114581566</v>
      </c>
    </row>
    <row r="85" spans="1:79" x14ac:dyDescent="0.25">
      <c r="A85" s="10">
        <v>44776.854861111111</v>
      </c>
      <c r="B85" s="11">
        <v>5.5729355060811997E-3</v>
      </c>
      <c r="C85" s="12">
        <v>2.8661624744999998</v>
      </c>
      <c r="D85" s="9">
        <v>2782</v>
      </c>
      <c r="E85" s="13">
        <f t="shared" si="45"/>
        <v>46.366666666666667</v>
      </c>
      <c r="F85" s="12">
        <f t="shared" si="39"/>
        <v>0.25839844296529829</v>
      </c>
      <c r="G85" s="13">
        <f t="shared" si="65"/>
        <v>19.144849338717748</v>
      </c>
      <c r="I85" s="25">
        <v>44781.854861111111</v>
      </c>
      <c r="J85" s="26">
        <v>5.4703088662425101E-3</v>
      </c>
      <c r="K85" s="27">
        <v>6.3432970429999997</v>
      </c>
      <c r="L85" s="28">
        <v>1954</v>
      </c>
      <c r="M85" s="29">
        <f t="shared" si="46"/>
        <v>32.56666666666667</v>
      </c>
      <c r="N85" s="26">
        <f t="shared" si="40"/>
        <v>0.17814972541063109</v>
      </c>
      <c r="O85" s="29">
        <f t="shared" si="47"/>
        <v>0</v>
      </c>
      <c r="Q85" s="35">
        <v>45136.84375</v>
      </c>
      <c r="R85" s="71">
        <v>1.5077823925000001E-2</v>
      </c>
      <c r="S85" s="70">
        <v>2.1522282119999998</v>
      </c>
      <c r="T85" s="36">
        <v>6456</v>
      </c>
      <c r="U85" s="37">
        <f t="shared" si="48"/>
        <v>107.6</v>
      </c>
      <c r="V85" s="37">
        <f t="shared" si="41"/>
        <v>1.6223738543299999</v>
      </c>
      <c r="W85" s="38">
        <f t="shared" si="49"/>
        <v>47.072201205244433</v>
      </c>
      <c r="Y85" s="45">
        <v>45151.854166666664</v>
      </c>
      <c r="Z85" s="4">
        <v>8.8774113879955298E-3</v>
      </c>
      <c r="AA85" s="3">
        <v>1.9734137430000001</v>
      </c>
      <c r="AB85" s="4">
        <v>3779</v>
      </c>
      <c r="AC85" s="46">
        <f t="shared" si="50"/>
        <v>62.983333333333334</v>
      </c>
      <c r="AD85" s="47">
        <f t="shared" si="42"/>
        <v>0.55912896058725181</v>
      </c>
      <c r="AE85" s="50">
        <f t="shared" si="51"/>
        <v>27.938958525291447</v>
      </c>
      <c r="AG85" s="51">
        <v>45166.854166666664</v>
      </c>
      <c r="AH85" s="72">
        <v>1.35240299691805E-2</v>
      </c>
      <c r="AI85" s="73">
        <v>0.59425534599999996</v>
      </c>
      <c r="AJ85" s="52">
        <v>5183</v>
      </c>
      <c r="AK85" s="53">
        <f t="shared" si="52"/>
        <v>86.38333333333334</v>
      </c>
      <c r="AL85" s="72">
        <f t="shared" si="43"/>
        <v>1.1682507888377089</v>
      </c>
      <c r="AM85" s="54">
        <f t="shared" si="53"/>
        <v>40.079843078936001</v>
      </c>
      <c r="AO85" s="66">
        <v>45183.854166666664</v>
      </c>
      <c r="AP85" s="67">
        <v>5.2706976087019401E-2</v>
      </c>
      <c r="AQ85" s="68">
        <v>1.5821856839999999</v>
      </c>
      <c r="AR85" s="68">
        <v>8104</v>
      </c>
      <c r="AS85" s="68">
        <f t="shared" si="54"/>
        <v>135.06666666666666</v>
      </c>
      <c r="AT85" s="68">
        <f t="shared" si="44"/>
        <v>7.1189555701534202</v>
      </c>
      <c r="AU85" s="69">
        <f t="shared" si="55"/>
        <v>97.11400082844311</v>
      </c>
      <c r="AW85" s="82">
        <v>45047.1875</v>
      </c>
      <c r="AX85" s="121">
        <v>3.5252430000000001E-2</v>
      </c>
      <c r="AY85" s="83">
        <v>82.276892649999994</v>
      </c>
      <c r="AZ85" s="121">
        <v>7464</v>
      </c>
      <c r="BA85" s="83">
        <f t="shared" si="36"/>
        <v>124.4</v>
      </c>
      <c r="BB85" s="84">
        <f t="shared" si="37"/>
        <v>4.3854022920000002</v>
      </c>
      <c r="BC85" s="83">
        <f t="shared" si="38"/>
        <v>76.602971225952132</v>
      </c>
      <c r="BE85" s="87">
        <v>45048.104166666664</v>
      </c>
      <c r="BF85" s="118">
        <v>5.7581367205719901E-2</v>
      </c>
      <c r="BG85" s="88">
        <v>89.635700749999998</v>
      </c>
      <c r="BH85" s="89">
        <v>4975</v>
      </c>
      <c r="BI85" s="90">
        <f t="shared" si="56"/>
        <v>82.916666666666671</v>
      </c>
      <c r="BJ85" s="91">
        <f t="shared" si="57"/>
        <v>4.7744550308076086</v>
      </c>
      <c r="BK85" s="91">
        <f t="shared" si="58"/>
        <v>79.858763426916852</v>
      </c>
      <c r="BM85" s="93">
        <v>45050.104166666664</v>
      </c>
      <c r="BN85">
        <v>8.6099287276112102E-2</v>
      </c>
      <c r="BO85" s="95">
        <v>116.4455014</v>
      </c>
      <c r="BP85" s="4">
        <v>4177</v>
      </c>
      <c r="BQ85" s="95">
        <f t="shared" si="59"/>
        <v>69.61666666666666</v>
      </c>
      <c r="BR85" s="94">
        <f t="shared" si="60"/>
        <v>5.9939453825386702</v>
      </c>
      <c r="BS85" s="96">
        <f t="shared" si="61"/>
        <v>89.268768119002431</v>
      </c>
      <c r="BU85" s="10">
        <v>45051.364583333336</v>
      </c>
      <c r="BV85" s="119">
        <v>9.0653978268794802E-2</v>
      </c>
      <c r="BW85" s="21">
        <v>97.229596529999995</v>
      </c>
      <c r="BX85" s="120">
        <v>4448</v>
      </c>
      <c r="BY85" s="21">
        <f t="shared" si="62"/>
        <v>74.13333333333334</v>
      </c>
      <c r="BZ85" s="21">
        <f t="shared" si="63"/>
        <v>6.720481588993322</v>
      </c>
      <c r="CA85" s="21">
        <f t="shared" si="64"/>
        <v>94.412949730629705</v>
      </c>
    </row>
    <row r="86" spans="1:79" x14ac:dyDescent="0.25">
      <c r="A86" s="10">
        <v>44776.865277777775</v>
      </c>
      <c r="B86" s="11">
        <v>5.7235491201370198E-3</v>
      </c>
      <c r="C86" s="12">
        <v>2.6512377974999999</v>
      </c>
      <c r="D86" s="9">
        <v>2888</v>
      </c>
      <c r="E86" s="13">
        <f t="shared" si="45"/>
        <v>48.133333333333333</v>
      </c>
      <c r="F86" s="12">
        <f t="shared" si="39"/>
        <v>0.2754934976492619</v>
      </c>
      <c r="G86" s="13">
        <f t="shared" si="65"/>
        <v>19.754958522759882</v>
      </c>
      <c r="I86" s="25">
        <v>44781.865277777775</v>
      </c>
      <c r="J86" s="26">
        <v>4.6918933822002401E-3</v>
      </c>
      <c r="K86" s="27">
        <v>4.9490583829999997</v>
      </c>
      <c r="L86" s="28">
        <v>1514</v>
      </c>
      <c r="M86" s="29">
        <f t="shared" si="46"/>
        <v>25.233333333333334</v>
      </c>
      <c r="N86" s="26">
        <f t="shared" si="40"/>
        <v>0.1183921096775194</v>
      </c>
      <c r="O86" s="29">
        <f t="shared" si="47"/>
        <v>0</v>
      </c>
      <c r="Q86" s="35">
        <v>45136.854166666664</v>
      </c>
      <c r="R86" s="71">
        <v>1.5374256093017E-2</v>
      </c>
      <c r="S86" s="70">
        <v>1.88950475</v>
      </c>
      <c r="T86" s="36">
        <v>5796</v>
      </c>
      <c r="U86" s="37">
        <f t="shared" si="48"/>
        <v>96.6</v>
      </c>
      <c r="V86" s="37">
        <f t="shared" si="41"/>
        <v>1.4851531385854422</v>
      </c>
      <c r="W86" s="38">
        <f t="shared" si="49"/>
        <v>45.078553070083458</v>
      </c>
      <c r="Y86" s="45">
        <v>45151.864583333336</v>
      </c>
      <c r="Z86" s="4">
        <v>1.4897205278113701E-2</v>
      </c>
      <c r="AA86" s="3">
        <v>2.44355038</v>
      </c>
      <c r="AB86" s="4">
        <v>5572</v>
      </c>
      <c r="AC86" s="46">
        <f t="shared" si="50"/>
        <v>92.86666666666666</v>
      </c>
      <c r="AD86" s="47">
        <f t="shared" si="42"/>
        <v>1.3834537968274923</v>
      </c>
      <c r="AE86" s="50">
        <f t="shared" si="51"/>
        <v>43.539555051420827</v>
      </c>
      <c r="AG86" s="51">
        <v>45166.864583333336</v>
      </c>
      <c r="AH86" s="72">
        <v>1.4452168696499399E-2</v>
      </c>
      <c r="AI86" s="73">
        <v>0.59425534599999996</v>
      </c>
      <c r="AJ86" s="52">
        <v>4960</v>
      </c>
      <c r="AK86" s="53">
        <f t="shared" si="52"/>
        <v>82.666666666666671</v>
      </c>
      <c r="AL86" s="72">
        <f t="shared" si="43"/>
        <v>1.1947126122439504</v>
      </c>
      <c r="AM86" s="54">
        <f t="shared" si="53"/>
        <v>40.521872281664393</v>
      </c>
      <c r="AO86" s="66">
        <v>45183.864583333336</v>
      </c>
      <c r="AP86" s="67">
        <v>6.4553841919991597E-2</v>
      </c>
      <c r="AQ86" s="68">
        <v>1.5821856839999999</v>
      </c>
      <c r="AR86" s="68">
        <v>8050</v>
      </c>
      <c r="AS86" s="68">
        <f t="shared" si="54"/>
        <v>134.16666666666666</v>
      </c>
      <c r="AT86" s="68">
        <f t="shared" si="44"/>
        <v>8.6609737909322053</v>
      </c>
      <c r="AU86" s="69">
        <f t="shared" si="55"/>
        <v>106.90056919260005</v>
      </c>
      <c r="AW86" s="82">
        <v>45047.197916666664</v>
      </c>
      <c r="AX86" s="121">
        <v>3.9411222000000003E-2</v>
      </c>
      <c r="AY86" s="83">
        <v>82.718647970000006</v>
      </c>
      <c r="AZ86" s="121">
        <v>6526</v>
      </c>
      <c r="BA86" s="83">
        <f t="shared" si="36"/>
        <v>108.76666666666667</v>
      </c>
      <c r="BB86" s="84">
        <f t="shared" si="37"/>
        <v>4.2866272462000001</v>
      </c>
      <c r="BC86" s="83">
        <f t="shared" si="38"/>
        <v>75.753143760456325</v>
      </c>
      <c r="BE86" s="87">
        <v>45048.114583333336</v>
      </c>
      <c r="BF86" s="118">
        <v>5.6722517028920998E-2</v>
      </c>
      <c r="BG86" s="88">
        <v>93.038532979999999</v>
      </c>
      <c r="BH86" s="89">
        <v>4830</v>
      </c>
      <c r="BI86" s="90">
        <f t="shared" si="56"/>
        <v>80.5</v>
      </c>
      <c r="BJ86" s="91">
        <f t="shared" si="57"/>
        <v>4.5661626208281403</v>
      </c>
      <c r="BK86" s="91">
        <f t="shared" si="58"/>
        <v>78.13325204597966</v>
      </c>
      <c r="BM86" s="93">
        <v>45050.114583333336</v>
      </c>
      <c r="BN86">
        <v>9.5740277038307203E-2</v>
      </c>
      <c r="BO86" s="95">
        <v>121.00878899999999</v>
      </c>
      <c r="BP86" s="4">
        <v>4111</v>
      </c>
      <c r="BQ86" s="95">
        <f t="shared" si="59"/>
        <v>68.516666666666666</v>
      </c>
      <c r="BR86" s="94">
        <f t="shared" si="60"/>
        <v>6.559804648408015</v>
      </c>
      <c r="BS86" s="96">
        <f t="shared" si="61"/>
        <v>93.300735956107616</v>
      </c>
      <c r="BU86" s="10">
        <v>45051.375</v>
      </c>
      <c r="BV86" s="119">
        <v>9.4784995578312894E-2</v>
      </c>
      <c r="BW86" s="21">
        <v>85.762083380000007</v>
      </c>
      <c r="BX86" s="120">
        <v>4393</v>
      </c>
      <c r="BY86" s="21">
        <f t="shared" si="62"/>
        <v>73.216666666666669</v>
      </c>
      <c r="BZ86" s="21">
        <f t="shared" si="63"/>
        <v>6.9398414262588091</v>
      </c>
      <c r="CA86" s="21">
        <f t="shared" si="64"/>
        <v>95.909685276681742</v>
      </c>
    </row>
    <row r="87" spans="1:79" x14ac:dyDescent="0.25">
      <c r="A87" s="10">
        <v>44776.875694444447</v>
      </c>
      <c r="B87" s="11">
        <v>5.3205317134202602E-3</v>
      </c>
      <c r="C87" s="12">
        <v>2.6445850609999999</v>
      </c>
      <c r="D87" s="9">
        <v>2991</v>
      </c>
      <c r="E87" s="13">
        <f t="shared" si="45"/>
        <v>49.85</v>
      </c>
      <c r="F87" s="12">
        <f t="shared" si="39"/>
        <v>0.26522850591399999</v>
      </c>
      <c r="G87" s="13">
        <f t="shared" si="65"/>
        <v>19.39100882698407</v>
      </c>
      <c r="I87" s="25">
        <v>44781.875694444447</v>
      </c>
      <c r="J87" s="26">
        <v>4.8520132819575802E-3</v>
      </c>
      <c r="K87" s="27">
        <v>6.3638281955</v>
      </c>
      <c r="L87" s="28">
        <v>1940</v>
      </c>
      <c r="M87" s="29">
        <f t="shared" si="46"/>
        <v>32.333333333333336</v>
      </c>
      <c r="N87" s="26">
        <f t="shared" si="40"/>
        <v>0.1568817627832951</v>
      </c>
      <c r="O87" s="29">
        <f t="shared" si="47"/>
        <v>0</v>
      </c>
      <c r="Q87" s="35">
        <v>45136.864583333336</v>
      </c>
      <c r="R87" s="71">
        <v>1.2082661686635901E-2</v>
      </c>
      <c r="S87" s="70">
        <v>2.1522282119999998</v>
      </c>
      <c r="T87" s="36">
        <v>6194</v>
      </c>
      <c r="U87" s="37">
        <f t="shared" si="48"/>
        <v>103.23333333333333</v>
      </c>
      <c r="V87" s="37">
        <f t="shared" si="41"/>
        <v>1.2473334414503794</v>
      </c>
      <c r="W87" s="38">
        <f t="shared" si="49"/>
        <v>41.386267006171423</v>
      </c>
      <c r="Y87" s="45">
        <v>45151.875</v>
      </c>
      <c r="Z87" s="4">
        <v>1.2056879452917E-2</v>
      </c>
      <c r="AA87" s="3">
        <v>2.44355038</v>
      </c>
      <c r="AB87" s="4">
        <v>5124</v>
      </c>
      <c r="AC87" s="46">
        <f t="shared" si="50"/>
        <v>85.4</v>
      </c>
      <c r="AD87" s="47">
        <f t="shared" si="42"/>
        <v>1.0296575052791119</v>
      </c>
      <c r="AE87" s="50">
        <f t="shared" si="51"/>
        <v>37.676387217171367</v>
      </c>
      <c r="AG87" s="51">
        <v>45166.875</v>
      </c>
      <c r="AH87" s="72">
        <v>1.2428669701426099E-2</v>
      </c>
      <c r="AI87" s="73">
        <v>0.59425534599999996</v>
      </c>
      <c r="AJ87" s="52">
        <v>4990</v>
      </c>
      <c r="AK87" s="53">
        <f t="shared" si="52"/>
        <v>83.166666666666671</v>
      </c>
      <c r="AL87" s="72">
        <f t="shared" si="43"/>
        <v>1.0336510301686039</v>
      </c>
      <c r="AM87" s="54">
        <f t="shared" si="53"/>
        <v>37.747875326223209</v>
      </c>
      <c r="AO87" s="66">
        <v>45183.875</v>
      </c>
      <c r="AP87" s="67">
        <v>5.1090318515566502E-2</v>
      </c>
      <c r="AQ87" s="68">
        <v>1.5821856839999999</v>
      </c>
      <c r="AR87" s="68">
        <v>8014</v>
      </c>
      <c r="AS87" s="68">
        <f t="shared" si="54"/>
        <v>133.56666666666666</v>
      </c>
      <c r="AT87" s="68">
        <f t="shared" si="44"/>
        <v>6.823963543062499</v>
      </c>
      <c r="AU87" s="69">
        <f t="shared" si="55"/>
        <v>95.122085563907291</v>
      </c>
      <c r="AW87" s="82">
        <v>45047.208333333336</v>
      </c>
      <c r="AX87" s="121">
        <v>4.1196521999999999E-2</v>
      </c>
      <c r="AY87" s="83">
        <v>81.405228940000001</v>
      </c>
      <c r="AZ87" s="121">
        <v>6517</v>
      </c>
      <c r="BA87" s="83">
        <f t="shared" si="36"/>
        <v>108.61666666666666</v>
      </c>
      <c r="BB87" s="84">
        <f t="shared" si="37"/>
        <v>4.4746288978999997</v>
      </c>
      <c r="BC87" s="83">
        <f t="shared" si="38"/>
        <v>77.362288230997081</v>
      </c>
      <c r="BE87" s="87">
        <v>45048.125</v>
      </c>
      <c r="BF87" s="118">
        <v>5.7972622835802998E-2</v>
      </c>
      <c r="BG87" s="88">
        <v>89.635700749999998</v>
      </c>
      <c r="BH87" s="89">
        <v>4822</v>
      </c>
      <c r="BI87" s="90">
        <f t="shared" si="56"/>
        <v>80.36666666666666</v>
      </c>
      <c r="BJ87" s="91">
        <f t="shared" si="57"/>
        <v>4.6590664552373671</v>
      </c>
      <c r="BK87" s="91">
        <f t="shared" si="58"/>
        <v>78.907733024783937</v>
      </c>
      <c r="BM87" s="93">
        <v>45050.125</v>
      </c>
      <c r="BN87">
        <v>9.8434253156605797E-2</v>
      </c>
      <c r="BO87" s="95">
        <v>107.0292163</v>
      </c>
      <c r="BP87" s="4">
        <v>4154</v>
      </c>
      <c r="BQ87" s="95">
        <f t="shared" si="59"/>
        <v>69.233333333333334</v>
      </c>
      <c r="BR87" s="94">
        <f t="shared" si="60"/>
        <v>6.8149314602090083</v>
      </c>
      <c r="BS87" s="96">
        <f t="shared" si="61"/>
        <v>95.060410526419005</v>
      </c>
      <c r="BU87" s="10">
        <v>45051.385416666664</v>
      </c>
      <c r="BV87" s="119">
        <v>0.10638750016413299</v>
      </c>
      <c r="BW87" s="21">
        <v>91.338086169999997</v>
      </c>
      <c r="BX87" s="120">
        <v>4141</v>
      </c>
      <c r="BY87" s="21">
        <f t="shared" si="62"/>
        <v>69.016666666666666</v>
      </c>
      <c r="BZ87" s="21">
        <f t="shared" si="63"/>
        <v>7.342510636327912</v>
      </c>
      <c r="CA87" s="21">
        <f t="shared" si="64"/>
        <v>98.59563437148374</v>
      </c>
    </row>
    <row r="88" spans="1:79" x14ac:dyDescent="0.25">
      <c r="A88" s="10">
        <v>44776.917361111111</v>
      </c>
      <c r="B88" s="11">
        <v>6.6042492000304301E-3</v>
      </c>
      <c r="C88" s="12">
        <v>2.3885584199999998</v>
      </c>
      <c r="D88" s="9">
        <v>3768</v>
      </c>
      <c r="E88" s="13">
        <f t="shared" si="45"/>
        <v>62.8</v>
      </c>
      <c r="F88" s="12">
        <f t="shared" si="39"/>
        <v>0.41474684976191101</v>
      </c>
      <c r="G88" s="13">
        <f t="shared" si="65"/>
        <v>24.136926880406467</v>
      </c>
      <c r="I88" s="25">
        <v>44781.886111111111</v>
      </c>
      <c r="J88" s="26">
        <v>5.25164091455108E-3</v>
      </c>
      <c r="K88" s="27">
        <v>6.4040720625000001</v>
      </c>
      <c r="L88" s="28">
        <v>2029</v>
      </c>
      <c r="M88" s="29">
        <f t="shared" si="46"/>
        <v>33.81666666666667</v>
      </c>
      <c r="N88" s="26">
        <f t="shared" si="40"/>
        <v>0.17759299026040237</v>
      </c>
      <c r="O88" s="29">
        <f t="shared" si="47"/>
        <v>0</v>
      </c>
      <c r="Q88" s="35">
        <v>45136.875</v>
      </c>
      <c r="R88" s="71">
        <v>1.2267646464393199E-2</v>
      </c>
      <c r="S88" s="70">
        <v>2.3419653060000001</v>
      </c>
      <c r="T88" s="36">
        <v>6362</v>
      </c>
      <c r="U88" s="37">
        <f t="shared" si="48"/>
        <v>106.03333333333333</v>
      </c>
      <c r="V88" s="37">
        <f t="shared" si="41"/>
        <v>1.3007794467744922</v>
      </c>
      <c r="W88" s="38">
        <f t="shared" si="49"/>
        <v>42.245370956387312</v>
      </c>
      <c r="Y88" s="45">
        <v>45151.885416666664</v>
      </c>
      <c r="Z88" s="4">
        <v>8.9553423682352598E-3</v>
      </c>
      <c r="AA88" s="3">
        <v>1.9734137430000001</v>
      </c>
      <c r="AB88" s="4">
        <v>4050</v>
      </c>
      <c r="AC88" s="46">
        <f t="shared" si="50"/>
        <v>67.5</v>
      </c>
      <c r="AD88" s="47">
        <f t="shared" si="42"/>
        <v>0.60448560985588007</v>
      </c>
      <c r="AE88" s="50">
        <f t="shared" si="51"/>
        <v>29.02674252086134</v>
      </c>
      <c r="AG88" s="51">
        <v>45166.885416666664</v>
      </c>
      <c r="AH88" s="72">
        <v>1.2008506487977799E-2</v>
      </c>
      <c r="AI88" s="73">
        <v>0.53251963199999997</v>
      </c>
      <c r="AJ88" s="52">
        <v>4382</v>
      </c>
      <c r="AK88" s="53">
        <f t="shared" si="52"/>
        <v>73.033333333333331</v>
      </c>
      <c r="AL88" s="72">
        <f t="shared" si="43"/>
        <v>0.87702125717197854</v>
      </c>
      <c r="AM88" s="54">
        <f t="shared" si="53"/>
        <v>34.82937236324355</v>
      </c>
      <c r="AO88" s="66">
        <v>45183.885416666664</v>
      </c>
      <c r="AP88" s="67">
        <v>6.1300712910136702E-2</v>
      </c>
      <c r="AQ88" s="68">
        <v>1.5821856839999999</v>
      </c>
      <c r="AR88" s="68">
        <v>7939</v>
      </c>
      <c r="AS88" s="68">
        <f t="shared" si="54"/>
        <v>132.31666666666666</v>
      </c>
      <c r="AT88" s="68">
        <f t="shared" si="44"/>
        <v>8.1111059965595871</v>
      </c>
      <c r="AU88" s="69">
        <f t="shared" si="55"/>
        <v>103.52139276543167</v>
      </c>
      <c r="BE88" s="87">
        <v>45048.135416666664</v>
      </c>
      <c r="BF88" s="118">
        <v>5.8593329697860602E-2</v>
      </c>
      <c r="BG88" s="88">
        <v>85.762083380000007</v>
      </c>
      <c r="BH88" s="89">
        <v>4879</v>
      </c>
      <c r="BI88" s="90">
        <f t="shared" si="56"/>
        <v>81.316666666666663</v>
      </c>
      <c r="BJ88" s="91">
        <f t="shared" si="57"/>
        <v>4.7646142599310313</v>
      </c>
      <c r="BK88" s="91">
        <f t="shared" si="58"/>
        <v>79.778116732782578</v>
      </c>
      <c r="BM88" s="93">
        <v>45050.135416666664</v>
      </c>
      <c r="BN88">
        <v>8.9815668468592499E-2</v>
      </c>
      <c r="BO88" s="95">
        <v>126.9407683</v>
      </c>
      <c r="BP88" s="4">
        <v>4236</v>
      </c>
      <c r="BQ88" s="95">
        <f t="shared" si="59"/>
        <v>70.599999999999994</v>
      </c>
      <c r="BR88" s="94">
        <f t="shared" si="60"/>
        <v>6.34098619388263</v>
      </c>
      <c r="BS88" s="96">
        <f t="shared" si="61"/>
        <v>91.763460173469042</v>
      </c>
      <c r="BU88" s="10">
        <v>45051.395833333336</v>
      </c>
      <c r="BV88" s="119">
        <v>0.106962313188493</v>
      </c>
      <c r="BW88" s="21">
        <v>90.484855949999996</v>
      </c>
      <c r="BX88" s="120">
        <v>4304</v>
      </c>
      <c r="BY88" s="21">
        <f t="shared" si="62"/>
        <v>71.733333333333334</v>
      </c>
      <c r="BZ88" s="21">
        <f t="shared" si="63"/>
        <v>7.6727632660545648</v>
      </c>
      <c r="CA88" s="21">
        <f t="shared" si="64"/>
        <v>100.7429093206339</v>
      </c>
    </row>
    <row r="89" spans="1:79" x14ac:dyDescent="0.25">
      <c r="A89" s="10">
        <v>44776.948611111111</v>
      </c>
      <c r="B89" s="11">
        <v>7.3344477715992298E-3</v>
      </c>
      <c r="C89" s="12">
        <v>2.4828400044999999</v>
      </c>
      <c r="D89" s="9">
        <v>3550</v>
      </c>
      <c r="E89" s="13">
        <f t="shared" si="45"/>
        <v>59.166666666666664</v>
      </c>
      <c r="F89" s="12">
        <f t="shared" si="39"/>
        <v>0.43395482648628775</v>
      </c>
      <c r="G89" s="13">
        <f t="shared" si="65"/>
        <v>24.678012257173279</v>
      </c>
      <c r="I89" s="25">
        <v>44781.896527777775</v>
      </c>
      <c r="J89" s="26">
        <v>4.1872832754029504E-3</v>
      </c>
      <c r="K89" s="27">
        <v>5.2612970189999997</v>
      </c>
      <c r="L89" s="28">
        <v>1626</v>
      </c>
      <c r="M89" s="29">
        <f t="shared" si="46"/>
        <v>27.1</v>
      </c>
      <c r="N89" s="26">
        <f t="shared" si="40"/>
        <v>0.11347537676341997</v>
      </c>
      <c r="O89" s="29">
        <f t="shared" si="47"/>
        <v>0</v>
      </c>
      <c r="Q89" s="35">
        <v>45136.885416666664</v>
      </c>
      <c r="R89" s="71">
        <v>1.00963339924956E-2</v>
      </c>
      <c r="S89" s="70">
        <v>1.654461261</v>
      </c>
      <c r="T89" s="36">
        <v>5460</v>
      </c>
      <c r="U89" s="37">
        <f t="shared" si="48"/>
        <v>91</v>
      </c>
      <c r="V89" s="37">
        <f t="shared" si="41"/>
        <v>0.91876639331709964</v>
      </c>
      <c r="W89" s="38">
        <f t="shared" si="49"/>
        <v>35.631584116137674</v>
      </c>
      <c r="Y89" s="45">
        <v>45151.895833333336</v>
      </c>
      <c r="Z89" s="4">
        <v>7.5223828166051197E-3</v>
      </c>
      <c r="AA89" s="3">
        <v>1.729502407</v>
      </c>
      <c r="AB89" s="4">
        <v>3169</v>
      </c>
      <c r="AC89" s="46">
        <f t="shared" si="50"/>
        <v>52.81666666666667</v>
      </c>
      <c r="AD89" s="47">
        <f t="shared" si="42"/>
        <v>0.39730718576369378</v>
      </c>
      <c r="AE89" s="50">
        <f t="shared" si="51"/>
        <v>23.634466339689034</v>
      </c>
      <c r="AG89" s="51">
        <v>45166.895833333336</v>
      </c>
      <c r="AH89" s="72">
        <v>1.1421437993235599E-2</v>
      </c>
      <c r="AI89" s="73">
        <v>0.53251963199999997</v>
      </c>
      <c r="AJ89" s="52">
        <v>4573</v>
      </c>
      <c r="AK89" s="53">
        <f t="shared" si="52"/>
        <v>76.216666666666669</v>
      </c>
      <c r="AL89" s="72">
        <f t="shared" si="43"/>
        <v>0.8705039323844399</v>
      </c>
      <c r="AM89" s="54">
        <f t="shared" si="53"/>
        <v>34.702384925613089</v>
      </c>
      <c r="AO89" s="66">
        <v>45183.895833333336</v>
      </c>
      <c r="AP89" s="67">
        <v>5.8654051577076802E-2</v>
      </c>
      <c r="AQ89" s="68">
        <v>1.5821856839999999</v>
      </c>
      <c r="AR89" s="68">
        <v>8165</v>
      </c>
      <c r="AS89" s="68">
        <f t="shared" si="54"/>
        <v>136.08333333333334</v>
      </c>
      <c r="AT89" s="68">
        <f t="shared" si="44"/>
        <v>7.981838852113869</v>
      </c>
      <c r="AU89" s="69">
        <f t="shared" si="55"/>
        <v>102.71016099476968</v>
      </c>
      <c r="BE89" s="87">
        <v>45048.145833333336</v>
      </c>
      <c r="BF89" s="118">
        <v>5.3095828604805301E-2</v>
      </c>
      <c r="BG89" s="88">
        <v>87.058386479999996</v>
      </c>
      <c r="BH89" s="89">
        <v>4893</v>
      </c>
      <c r="BI89" s="90">
        <f t="shared" si="56"/>
        <v>81.55</v>
      </c>
      <c r="BJ89" s="91">
        <f t="shared" si="57"/>
        <v>4.3299648227218723</v>
      </c>
      <c r="BK89" s="91">
        <f t="shared" si="58"/>
        <v>76.127223006168265</v>
      </c>
      <c r="BM89" s="93">
        <v>45050.145833333336</v>
      </c>
      <c r="BN89">
        <v>9.1332086421195405E-2</v>
      </c>
      <c r="BO89" s="95">
        <v>110.21295859999999</v>
      </c>
      <c r="BP89" s="4">
        <v>4306</v>
      </c>
      <c r="BQ89" s="95">
        <f t="shared" si="59"/>
        <v>71.766666666666666</v>
      </c>
      <c r="BR89" s="94">
        <f t="shared" si="60"/>
        <v>6.5545994021611236</v>
      </c>
      <c r="BS89" s="96">
        <f t="shared" si="61"/>
        <v>93.264473810135769</v>
      </c>
      <c r="BU89" s="10">
        <v>45051.40625</v>
      </c>
      <c r="BV89" s="119">
        <v>8.8902516635896697E-2</v>
      </c>
      <c r="BW89" s="21">
        <v>89.635700749999998</v>
      </c>
      <c r="BX89" s="120">
        <v>4331</v>
      </c>
      <c r="BY89" s="21">
        <f t="shared" si="62"/>
        <v>72.183333333333337</v>
      </c>
      <c r="BZ89" s="21">
        <f t="shared" si="63"/>
        <v>6.4172799925011432</v>
      </c>
      <c r="CA89" s="21">
        <f t="shared" si="64"/>
        <v>92.302480389177589</v>
      </c>
    </row>
    <row r="90" spans="1:79" x14ac:dyDescent="0.25">
      <c r="A90" s="10">
        <v>44776.959027777775</v>
      </c>
      <c r="B90" s="11">
        <v>7.64757278088736E-3</v>
      </c>
      <c r="C90" s="12">
        <v>2.5050373965000001</v>
      </c>
      <c r="D90" s="9">
        <v>3885</v>
      </c>
      <c r="E90" s="13">
        <f t="shared" si="45"/>
        <v>64.75</v>
      </c>
      <c r="F90" s="12">
        <f t="shared" si="39"/>
        <v>0.49518033756245655</v>
      </c>
      <c r="G90" s="13">
        <f t="shared" si="65"/>
        <v>26.325657424734072</v>
      </c>
      <c r="I90" s="25">
        <v>44781.906944444447</v>
      </c>
      <c r="J90" s="26">
        <v>4.9442405769637302E-3</v>
      </c>
      <c r="K90" s="27">
        <v>5.4874552459999997</v>
      </c>
      <c r="L90" s="28">
        <v>1689</v>
      </c>
      <c r="M90" s="29">
        <f t="shared" si="46"/>
        <v>28.15</v>
      </c>
      <c r="N90" s="26">
        <f t="shared" si="40"/>
        <v>0.13918037224152899</v>
      </c>
      <c r="O90" s="29">
        <f t="shared" si="47"/>
        <v>0</v>
      </c>
      <c r="Q90" s="35">
        <v>45136.895833333336</v>
      </c>
      <c r="R90" s="71">
        <v>1.11814316464617E-2</v>
      </c>
      <c r="S90" s="70">
        <v>1.5125919880000001</v>
      </c>
      <c r="T90" s="36">
        <v>4177</v>
      </c>
      <c r="U90" s="37">
        <f t="shared" si="48"/>
        <v>69.61666666666666</v>
      </c>
      <c r="V90" s="37">
        <f t="shared" si="41"/>
        <v>0.77841399978784198</v>
      </c>
      <c r="W90" s="38">
        <f t="shared" si="49"/>
        <v>32.853333490527433</v>
      </c>
      <c r="Y90" s="45">
        <v>45151.90625</v>
      </c>
      <c r="Z90" s="4">
        <v>6.22367477904507E-3</v>
      </c>
      <c r="AA90" s="3">
        <v>1.5821856839999999</v>
      </c>
      <c r="AB90" s="4">
        <v>2712</v>
      </c>
      <c r="AC90" s="46">
        <f t="shared" si="50"/>
        <v>45.2</v>
      </c>
      <c r="AD90" s="47">
        <f t="shared" si="42"/>
        <v>0.28131010001283718</v>
      </c>
      <c r="AE90" s="50">
        <f t="shared" si="51"/>
        <v>0</v>
      </c>
      <c r="AG90" s="51">
        <v>45166.90625</v>
      </c>
      <c r="AH90" s="72">
        <v>1.1569164499038199E-2</v>
      </c>
      <c r="AI90" s="73">
        <v>0.44939223900000003</v>
      </c>
      <c r="AJ90" s="52">
        <v>3699</v>
      </c>
      <c r="AK90" s="53">
        <f t="shared" si="52"/>
        <v>61.65</v>
      </c>
      <c r="AL90" s="72">
        <f t="shared" si="43"/>
        <v>0.71323899136570501</v>
      </c>
      <c r="AM90" s="54">
        <f t="shared" si="53"/>
        <v>31.476237240272116</v>
      </c>
      <c r="AO90" s="66">
        <v>45183.90625</v>
      </c>
      <c r="AP90" s="67">
        <v>5.5199757863924399E-2</v>
      </c>
      <c r="AQ90" s="68">
        <v>1.3790541089999999</v>
      </c>
      <c r="AR90" s="68">
        <v>8117</v>
      </c>
      <c r="AS90" s="68">
        <f t="shared" si="54"/>
        <v>135.28333333333333</v>
      </c>
      <c r="AT90" s="68">
        <f t="shared" si="44"/>
        <v>7.4676072430245721</v>
      </c>
      <c r="AU90" s="69">
        <f t="shared" si="55"/>
        <v>99.414688875378118</v>
      </c>
      <c r="BE90" s="87">
        <v>45048.15625</v>
      </c>
      <c r="BF90" s="118">
        <v>5.5580522468841299E-2</v>
      </c>
      <c r="BG90" s="88">
        <v>87.922589900000006</v>
      </c>
      <c r="BH90" s="89">
        <v>4981</v>
      </c>
      <c r="BI90" s="90">
        <f t="shared" si="56"/>
        <v>83.016666666666666</v>
      </c>
      <c r="BJ90" s="91">
        <f t="shared" si="57"/>
        <v>4.6141097069549755</v>
      </c>
      <c r="BK90" s="91">
        <f t="shared" si="58"/>
        <v>78.533950668749554</v>
      </c>
      <c r="BM90" s="93">
        <v>45050.15625</v>
      </c>
      <c r="BN90">
        <v>8.9445151941983103E-2</v>
      </c>
      <c r="BO90" s="95">
        <v>112.1752807</v>
      </c>
      <c r="BP90" s="4">
        <v>4209</v>
      </c>
      <c r="BQ90" s="95">
        <f t="shared" si="59"/>
        <v>70.150000000000006</v>
      </c>
      <c r="BR90" s="94">
        <f t="shared" si="60"/>
        <v>6.2745774087301154</v>
      </c>
      <c r="BS90" s="96">
        <f t="shared" si="61"/>
        <v>91.291577840830925</v>
      </c>
      <c r="BU90" s="10">
        <v>45051.416666666664</v>
      </c>
      <c r="BV90" s="119">
        <v>9.1307362028807695E-2</v>
      </c>
      <c r="BW90" s="21">
        <v>98.474887140000007</v>
      </c>
      <c r="BX90" s="120">
        <v>4362</v>
      </c>
      <c r="BY90" s="21">
        <f t="shared" si="62"/>
        <v>72.7</v>
      </c>
      <c r="BZ90" s="21">
        <f t="shared" si="63"/>
        <v>6.6380452194943196</v>
      </c>
      <c r="CA90" s="21">
        <f t="shared" si="64"/>
        <v>93.844036952069828</v>
      </c>
    </row>
    <row r="91" spans="1:79" x14ac:dyDescent="0.25">
      <c r="A91" s="10">
        <v>44776.969444444447</v>
      </c>
      <c r="B91" s="11">
        <v>6.5381733318855299E-3</v>
      </c>
      <c r="C91" s="12">
        <v>2.248553292</v>
      </c>
      <c r="D91" s="9">
        <v>3633</v>
      </c>
      <c r="E91" s="13">
        <f t="shared" si="45"/>
        <v>60.55</v>
      </c>
      <c r="F91" s="12">
        <f t="shared" si="39"/>
        <v>0.39588639524566882</v>
      </c>
      <c r="G91" s="13">
        <f t="shared" si="65"/>
        <v>23.593040021995446</v>
      </c>
      <c r="I91" s="25">
        <v>44781.917361111111</v>
      </c>
      <c r="J91" s="26">
        <v>5.0373832802486597E-3</v>
      </c>
      <c r="K91" s="27">
        <v>5.2076250220000002</v>
      </c>
      <c r="L91" s="28">
        <v>1698</v>
      </c>
      <c r="M91" s="29">
        <f t="shared" si="46"/>
        <v>28.3</v>
      </c>
      <c r="N91" s="26">
        <f t="shared" si="40"/>
        <v>0.14255794683103706</v>
      </c>
      <c r="O91" s="29">
        <f t="shared" si="47"/>
        <v>0</v>
      </c>
      <c r="Q91" s="35">
        <v>45136.90625</v>
      </c>
      <c r="R91" s="71">
        <v>8.2604101021937302E-3</v>
      </c>
      <c r="S91" s="70">
        <v>1.654461261</v>
      </c>
      <c r="T91" s="36">
        <v>4364</v>
      </c>
      <c r="U91" s="37">
        <f t="shared" si="48"/>
        <v>72.733333333333334</v>
      </c>
      <c r="V91" s="37">
        <f t="shared" si="41"/>
        <v>0.6008071614328907</v>
      </c>
      <c r="W91" s="38">
        <f t="shared" si="49"/>
        <v>28.940109598441055</v>
      </c>
      <c r="Y91" s="45">
        <v>45151.916666666664</v>
      </c>
      <c r="Z91" s="4">
        <v>8.0028838612977507E-3</v>
      </c>
      <c r="AA91" s="3">
        <v>2.0619739560000001</v>
      </c>
      <c r="AB91" s="4">
        <v>3034</v>
      </c>
      <c r="AC91" s="46">
        <f t="shared" si="50"/>
        <v>50.56666666666667</v>
      </c>
      <c r="AD91" s="47">
        <f t="shared" si="42"/>
        <v>0.40467916058628961</v>
      </c>
      <c r="AE91" s="50">
        <f t="shared" si="51"/>
        <v>23.848209119595776</v>
      </c>
      <c r="AG91" s="51">
        <v>45166.916666666664</v>
      </c>
      <c r="AH91" s="72">
        <v>1.4374278191539599E-2</v>
      </c>
      <c r="AI91" s="73">
        <v>0.475692385</v>
      </c>
      <c r="AJ91" s="52">
        <v>3931</v>
      </c>
      <c r="AK91" s="53">
        <f t="shared" si="52"/>
        <v>65.516666666666666</v>
      </c>
      <c r="AL91" s="72">
        <f t="shared" si="43"/>
        <v>0.94175479284903607</v>
      </c>
      <c r="AM91" s="54">
        <f t="shared" si="53"/>
        <v>36.065416543332461</v>
      </c>
      <c r="AO91" s="66">
        <v>45183.916666666664</v>
      </c>
      <c r="AP91" s="67">
        <v>5.7085326120917698E-2</v>
      </c>
      <c r="AQ91" s="68">
        <v>1.4444654269999999</v>
      </c>
      <c r="AR91" s="68">
        <v>8172</v>
      </c>
      <c r="AS91" s="68">
        <f t="shared" si="54"/>
        <v>136.19999999999999</v>
      </c>
      <c r="AT91" s="68">
        <f t="shared" si="44"/>
        <v>7.7750214176689898</v>
      </c>
      <c r="AU91" s="69">
        <f t="shared" si="55"/>
        <v>101.39818079228969</v>
      </c>
      <c r="BE91" s="87">
        <v>45048.166666666664</v>
      </c>
      <c r="BF91" s="118">
        <v>5.6000415914985502E-2</v>
      </c>
      <c r="BG91" s="88">
        <v>84.899432570000002</v>
      </c>
      <c r="BH91" s="89">
        <v>5003</v>
      </c>
      <c r="BI91" s="90">
        <f t="shared" si="56"/>
        <v>83.38333333333334</v>
      </c>
      <c r="BJ91" s="91">
        <f t="shared" si="57"/>
        <v>4.6695013470445419</v>
      </c>
      <c r="BK91" s="91">
        <f t="shared" si="58"/>
        <v>78.994227973071261</v>
      </c>
      <c r="BM91" s="93">
        <v>45050.166666666664</v>
      </c>
      <c r="BN91">
        <v>8.2182320929990393E-2</v>
      </c>
      <c r="BO91" s="95">
        <v>112.1752807</v>
      </c>
      <c r="BP91" s="4">
        <v>4148</v>
      </c>
      <c r="BQ91" s="95">
        <f t="shared" si="59"/>
        <v>69.13333333333334</v>
      </c>
      <c r="BR91" s="94">
        <f t="shared" si="60"/>
        <v>5.6815377869600034</v>
      </c>
      <c r="BS91" s="96">
        <f t="shared" si="61"/>
        <v>86.959201589168842</v>
      </c>
      <c r="BU91" s="10">
        <v>45051.427083333336</v>
      </c>
      <c r="BV91" s="119">
        <v>0.10694611274158</v>
      </c>
      <c r="BW91" s="21">
        <v>93.877037450000003</v>
      </c>
      <c r="BX91" s="120">
        <v>4137</v>
      </c>
      <c r="BY91" s="21">
        <f t="shared" si="62"/>
        <v>68.95</v>
      </c>
      <c r="BZ91" s="21">
        <f t="shared" si="63"/>
        <v>7.373934473531941</v>
      </c>
      <c r="CA91" s="21">
        <f t="shared" si="64"/>
        <v>98.802043522025343</v>
      </c>
    </row>
    <row r="92" spans="1:79" x14ac:dyDescent="0.25">
      <c r="A92" s="10">
        <v>44776.979861111111</v>
      </c>
      <c r="B92" s="11">
        <v>6.5848300189003898E-3</v>
      </c>
      <c r="C92" s="12">
        <v>2.1564305309999998</v>
      </c>
      <c r="D92" s="9">
        <v>3267</v>
      </c>
      <c r="E92" s="13">
        <f t="shared" si="45"/>
        <v>54.45</v>
      </c>
      <c r="F92" s="12">
        <f t="shared" si="39"/>
        <v>0.35854399452912622</v>
      </c>
      <c r="G92" s="13">
        <f t="shared" si="65"/>
        <v>22.475689915463917</v>
      </c>
      <c r="I92" s="25">
        <v>44781.927777777775</v>
      </c>
      <c r="J92" s="26">
        <v>4.39557865296828E-3</v>
      </c>
      <c r="K92" s="27">
        <v>4.6292118670000004</v>
      </c>
      <c r="L92" s="28">
        <v>1659</v>
      </c>
      <c r="M92" s="29">
        <f t="shared" si="46"/>
        <v>27.65</v>
      </c>
      <c r="N92" s="26">
        <f t="shared" si="40"/>
        <v>0.12153774975457293</v>
      </c>
      <c r="O92" s="29">
        <f t="shared" si="47"/>
        <v>0</v>
      </c>
      <c r="Q92" s="35">
        <v>45136.916666666664</v>
      </c>
      <c r="R92" s="71">
        <v>9.9334056429542794E-3</v>
      </c>
      <c r="S92" s="70">
        <v>2.1522282119999998</v>
      </c>
      <c r="T92" s="36">
        <v>5332</v>
      </c>
      <c r="U92" s="37">
        <f t="shared" si="48"/>
        <v>88.86666666666666</v>
      </c>
      <c r="V92" s="37">
        <f t="shared" si="41"/>
        <v>0.88274864813720355</v>
      </c>
      <c r="W92" s="38">
        <f>IF(37.141*V92^0.4897&gt;22.6, 37.141*V92^0.4897, 0)</f>
        <v>34.940571287453785</v>
      </c>
      <c r="Y92" s="45">
        <v>45151.927083333336</v>
      </c>
      <c r="Z92" s="4">
        <v>5.2891351415836002E-3</v>
      </c>
      <c r="AA92" s="3">
        <v>1.257509953</v>
      </c>
      <c r="AB92" s="4">
        <v>1781</v>
      </c>
      <c r="AC92" s="46">
        <f t="shared" si="50"/>
        <v>29.683333333333334</v>
      </c>
      <c r="AD92" s="47">
        <f t="shared" si="42"/>
        <v>0.1569991614526732</v>
      </c>
      <c r="AE92" s="50">
        <f t="shared" si="51"/>
        <v>0</v>
      </c>
      <c r="AG92" s="51">
        <v>45166.927083333336</v>
      </c>
      <c r="AH92" s="72">
        <v>1.14176920773204E-2</v>
      </c>
      <c r="AI92" s="73">
        <v>0.44894941300000002</v>
      </c>
      <c r="AJ92" s="52">
        <v>3621</v>
      </c>
      <c r="AK92" s="53">
        <f t="shared" si="52"/>
        <v>60.35</v>
      </c>
      <c r="AL92" s="72">
        <f t="shared" si="43"/>
        <v>0.68905771686628614</v>
      </c>
      <c r="AM92" s="54">
        <f t="shared" si="53"/>
        <v>30.949052692459428</v>
      </c>
      <c r="AO92" s="66">
        <v>45183.927083333336</v>
      </c>
      <c r="AP92" s="67">
        <v>6.6757353642304396E-2</v>
      </c>
      <c r="AQ92" s="68">
        <v>1.3790541089999999</v>
      </c>
      <c r="AR92" s="68">
        <v>8030</v>
      </c>
      <c r="AS92" s="68">
        <f t="shared" si="54"/>
        <v>133.83333333333334</v>
      </c>
      <c r="AT92" s="68">
        <f t="shared" si="44"/>
        <v>8.9343591624617389</v>
      </c>
      <c r="AU92" s="69">
        <f t="shared" si="55"/>
        <v>108.53988152284299</v>
      </c>
      <c r="BE92" s="87">
        <v>45048.177083333336</v>
      </c>
      <c r="BF92" s="118">
        <v>6.0921304510828701E-2</v>
      </c>
      <c r="BG92" s="88">
        <v>92.610732819999996</v>
      </c>
      <c r="BH92" s="89">
        <v>4878</v>
      </c>
      <c r="BI92" s="90">
        <f t="shared" si="56"/>
        <v>81.3</v>
      </c>
      <c r="BJ92" s="91">
        <f t="shared" si="57"/>
        <v>4.9529020567303732</v>
      </c>
      <c r="BK92" s="91">
        <f t="shared" si="58"/>
        <v>81.306713600455609</v>
      </c>
      <c r="BM92" s="93">
        <v>45050.177083333336</v>
      </c>
      <c r="BN92">
        <v>8.7768327623407805E-2</v>
      </c>
      <c r="BO92" s="95">
        <v>110.9974619</v>
      </c>
      <c r="BP92" s="4">
        <v>4144</v>
      </c>
      <c r="BQ92" s="95">
        <f t="shared" si="59"/>
        <v>69.066666666666663</v>
      </c>
      <c r="BR92" s="94">
        <f t="shared" si="60"/>
        <v>6.0618658278566988</v>
      </c>
      <c r="BS92" s="96">
        <f t="shared" si="61"/>
        <v>89.762699997201636</v>
      </c>
      <c r="BU92" s="10">
        <v>45051.4375</v>
      </c>
      <c r="BV92" s="119">
        <v>9.1854333400708393E-2</v>
      </c>
      <c r="BW92" s="21">
        <v>95.977802339999997</v>
      </c>
      <c r="BX92" s="120">
        <v>4161</v>
      </c>
      <c r="BY92" s="21">
        <f t="shared" si="62"/>
        <v>69.349999999999994</v>
      </c>
      <c r="BZ92" s="21">
        <f t="shared" si="63"/>
        <v>6.3700980213391265</v>
      </c>
      <c r="CA92" s="21">
        <f t="shared" si="64"/>
        <v>91.969525388156953</v>
      </c>
    </row>
    <row r="93" spans="1:79" x14ac:dyDescent="0.25">
      <c r="A93" s="10">
        <v>44776.990277777775</v>
      </c>
      <c r="B93" s="11">
        <v>8.1282455529692495E-3</v>
      </c>
      <c r="C93" s="12">
        <v>2.2236830264999998</v>
      </c>
      <c r="D93" s="9">
        <v>3685</v>
      </c>
      <c r="E93" s="13">
        <f t="shared" si="45"/>
        <v>61.416666666666664</v>
      </c>
      <c r="F93" s="12">
        <f t="shared" si="39"/>
        <v>0.49920974771152804</v>
      </c>
      <c r="G93" s="13">
        <f t="shared" si="65"/>
        <v>26.430343391447533</v>
      </c>
      <c r="I93" s="25">
        <v>44781.938194444447</v>
      </c>
      <c r="J93" s="26">
        <v>4.4088138339007498E-3</v>
      </c>
      <c r="K93" s="27">
        <v>3.8438540350000001</v>
      </c>
      <c r="L93" s="28">
        <v>1453</v>
      </c>
      <c r="M93" s="29">
        <f t="shared" si="46"/>
        <v>24.216666666666665</v>
      </c>
      <c r="N93" s="26">
        <f t="shared" si="40"/>
        <v>0.10676677501096316</v>
      </c>
      <c r="O93" s="29">
        <f t="shared" si="47"/>
        <v>0</v>
      </c>
      <c r="Q93" s="35">
        <v>45136.927083333336</v>
      </c>
      <c r="R93" s="71">
        <v>8.0022825967643006E-3</v>
      </c>
      <c r="S93" s="70">
        <v>1.511415151</v>
      </c>
      <c r="T93" s="36">
        <v>4005</v>
      </c>
      <c r="U93" s="37">
        <f t="shared" si="48"/>
        <v>66.75</v>
      </c>
      <c r="V93" s="37">
        <f t="shared" si="41"/>
        <v>0.53415236333401706</v>
      </c>
      <c r="W93" s="38">
        <f t="shared" si="49"/>
        <v>27.320662019534588</v>
      </c>
      <c r="Y93" s="45">
        <v>45151.9375</v>
      </c>
      <c r="Z93" s="4">
        <v>6.7675484953585901E-3</v>
      </c>
      <c r="AA93" s="3">
        <v>1.5821856839999999</v>
      </c>
      <c r="AB93" s="4">
        <v>2130</v>
      </c>
      <c r="AC93" s="46">
        <f t="shared" si="50"/>
        <v>35.5</v>
      </c>
      <c r="AD93" s="47">
        <f t="shared" si="42"/>
        <v>0.24024797158522995</v>
      </c>
      <c r="AE93" s="50">
        <f t="shared" si="51"/>
        <v>0</v>
      </c>
      <c r="AG93" s="51">
        <v>45166.9375</v>
      </c>
      <c r="AH93" s="72">
        <v>9.9046559080952293E-3</v>
      </c>
      <c r="AI93" s="73">
        <v>0.399936554</v>
      </c>
      <c r="AJ93" s="52">
        <v>2866</v>
      </c>
      <c r="AK93" s="53">
        <f t="shared" si="52"/>
        <v>47.766666666666666</v>
      </c>
      <c r="AL93" s="72">
        <f t="shared" si="43"/>
        <v>0.47311239721001547</v>
      </c>
      <c r="AM93" s="54">
        <f t="shared" si="53"/>
        <v>25.744450365142487</v>
      </c>
      <c r="AO93" s="66">
        <v>45183.9375</v>
      </c>
      <c r="AP93" s="67">
        <v>8.9769309717601706E-2</v>
      </c>
      <c r="AQ93" s="68">
        <v>1.4444654269999999</v>
      </c>
      <c r="AR93" s="68">
        <v>7915</v>
      </c>
      <c r="AS93" s="68">
        <f t="shared" si="54"/>
        <v>131.91666666666666</v>
      </c>
      <c r="AT93" s="68">
        <f t="shared" si="44"/>
        <v>11.842068106913624</v>
      </c>
      <c r="AU93" s="69">
        <f t="shared" si="55"/>
        <v>124.59799853071195</v>
      </c>
      <c r="BE93" s="87">
        <v>45048.1875</v>
      </c>
      <c r="BF93" s="118">
        <v>5.7609515284711602E-2</v>
      </c>
      <c r="BG93" s="88">
        <v>84.891986889999998</v>
      </c>
      <c r="BH93" s="89">
        <v>5019</v>
      </c>
      <c r="BI93" s="90">
        <f t="shared" si="56"/>
        <v>83.65</v>
      </c>
      <c r="BJ93" s="91">
        <f t="shared" si="57"/>
        <v>4.819035953566126</v>
      </c>
      <c r="BK93" s="91">
        <f t="shared" si="58"/>
        <v>80.223053105084546</v>
      </c>
      <c r="BM93" s="93">
        <v>45050.1875</v>
      </c>
      <c r="BN93">
        <v>0.108264783929756</v>
      </c>
      <c r="BO93" s="95">
        <v>119.87671349999999</v>
      </c>
      <c r="BP93" s="4">
        <v>4214</v>
      </c>
      <c r="BQ93" s="95">
        <f t="shared" si="59"/>
        <v>70.233333333333334</v>
      </c>
      <c r="BR93" s="94">
        <f t="shared" si="60"/>
        <v>7.6037966579998626</v>
      </c>
      <c r="BS93" s="96">
        <f t="shared" si="61"/>
        <v>100.2984509805308</v>
      </c>
      <c r="BU93" s="10">
        <v>45051.447916666664</v>
      </c>
      <c r="BV93" s="119">
        <v>0.100515429510497</v>
      </c>
      <c r="BW93" s="21">
        <v>95.138397370000007</v>
      </c>
      <c r="BX93" s="120">
        <v>3962</v>
      </c>
      <c r="BY93" s="21">
        <f t="shared" si="62"/>
        <v>66.033333333333331</v>
      </c>
      <c r="BZ93" s="21">
        <f t="shared" si="63"/>
        <v>6.6373688620098177</v>
      </c>
      <c r="CA93" s="21">
        <f t="shared" si="64"/>
        <v>93.839354383232575</v>
      </c>
    </row>
    <row r="94" spans="1:79" x14ac:dyDescent="0.25">
      <c r="A94" s="10">
        <v>44777.000694444447</v>
      </c>
      <c r="B94" s="11">
        <v>6.3385999173041297E-3</v>
      </c>
      <c r="C94" s="12">
        <v>2.2059633774999998</v>
      </c>
      <c r="D94" s="9">
        <v>3563</v>
      </c>
      <c r="E94" s="13">
        <f t="shared" si="45"/>
        <v>59.383333333333333</v>
      </c>
      <c r="F94" s="12">
        <f t="shared" si="39"/>
        <v>0.37640719175591025</v>
      </c>
      <c r="G94" s="13">
        <f t="shared" si="65"/>
        <v>23.017241398062826</v>
      </c>
      <c r="I94" s="25">
        <v>44781.948611111111</v>
      </c>
      <c r="J94" s="26">
        <v>4.5317888265637499E-3</v>
      </c>
      <c r="K94" s="27">
        <v>3.4907628965000002</v>
      </c>
      <c r="L94" s="28">
        <v>1318</v>
      </c>
      <c r="M94" s="29">
        <f t="shared" si="46"/>
        <v>21.966666666666665</v>
      </c>
      <c r="N94" s="26">
        <f t="shared" si="40"/>
        <v>9.9548294556850367E-2</v>
      </c>
      <c r="O94" s="29">
        <f t="shared" si="47"/>
        <v>0</v>
      </c>
      <c r="Q94" s="35">
        <v>45136.9375</v>
      </c>
      <c r="R94" s="71">
        <v>9.5363846435916992E-3</v>
      </c>
      <c r="S94" s="70">
        <v>1.729502407</v>
      </c>
      <c r="T94" s="36">
        <v>4461</v>
      </c>
      <c r="U94" s="37">
        <f t="shared" si="48"/>
        <v>74.349999999999994</v>
      </c>
      <c r="V94" s="37">
        <f t="shared" si="41"/>
        <v>0.70903019825104274</v>
      </c>
      <c r="W94" s="38">
        <f t="shared" si="49"/>
        <v>31.385143033866363</v>
      </c>
      <c r="Y94" s="45">
        <v>45151.947916666664</v>
      </c>
      <c r="Z94" s="4">
        <v>5.8736080325113502E-3</v>
      </c>
      <c r="AA94" s="3">
        <v>1.257509953</v>
      </c>
      <c r="AB94" s="4">
        <v>1495</v>
      </c>
      <c r="AC94" s="46">
        <f t="shared" si="50"/>
        <v>24.916666666666668</v>
      </c>
      <c r="AD94" s="47">
        <f t="shared" si="42"/>
        <v>0.14635073347674116</v>
      </c>
      <c r="AE94" s="50">
        <f t="shared" si="51"/>
        <v>0</v>
      </c>
      <c r="AG94" s="51">
        <v>45166.947916666664</v>
      </c>
      <c r="AH94" s="72">
        <v>1.3411186758724001E-2</v>
      </c>
      <c r="AI94" s="73">
        <v>0.562700329</v>
      </c>
      <c r="AJ94" s="52">
        <v>4577</v>
      </c>
      <c r="AK94" s="53">
        <f t="shared" si="52"/>
        <v>76.283333333333331</v>
      </c>
      <c r="AL94" s="72">
        <f t="shared" si="43"/>
        <v>1.0230500299113292</v>
      </c>
      <c r="AM94" s="54">
        <f t="shared" si="53"/>
        <v>37.55779534446684</v>
      </c>
      <c r="AO94" s="66">
        <v>45183.947916666664</v>
      </c>
      <c r="AP94" s="67">
        <v>7.5313832368877606E-2</v>
      </c>
      <c r="AQ94" s="68">
        <v>2.060445487</v>
      </c>
      <c r="AR94" s="68">
        <v>7488</v>
      </c>
      <c r="AS94" s="68">
        <f t="shared" si="54"/>
        <v>124.8</v>
      </c>
      <c r="AT94" s="68">
        <f t="shared" si="44"/>
        <v>9.3991662796359243</v>
      </c>
      <c r="AU94" s="69">
        <f t="shared" si="55"/>
        <v>111.26932127393435</v>
      </c>
      <c r="BE94" s="87">
        <v>45048.197916666664</v>
      </c>
      <c r="BF94" s="118">
        <v>5.3378237534721602E-2</v>
      </c>
      <c r="BG94" s="88">
        <v>84.891986889999998</v>
      </c>
      <c r="BH94" s="89">
        <v>5162</v>
      </c>
      <c r="BI94" s="90">
        <f t="shared" si="56"/>
        <v>86.033333333333331</v>
      </c>
      <c r="BJ94" s="91">
        <f t="shared" si="57"/>
        <v>4.5923077025705483</v>
      </c>
      <c r="BK94" s="91">
        <f t="shared" si="58"/>
        <v>78.35201385928282</v>
      </c>
      <c r="BM94" s="93">
        <v>45050.197916666664</v>
      </c>
      <c r="BN94">
        <v>9.5806923765879196E-2</v>
      </c>
      <c r="BO94" s="95">
        <v>114.8986831</v>
      </c>
      <c r="BP94" s="4">
        <v>4167</v>
      </c>
      <c r="BQ94" s="95">
        <f t="shared" si="59"/>
        <v>69.45</v>
      </c>
      <c r="BR94" s="94">
        <f t="shared" si="60"/>
        <v>6.6537908555403105</v>
      </c>
      <c r="BS94" s="96">
        <f t="shared" si="61"/>
        <v>93.952978659316784</v>
      </c>
      <c r="BU94" s="10">
        <v>45051.458333333336</v>
      </c>
      <c r="BV94" s="119">
        <v>9.7364753523139003E-2</v>
      </c>
      <c r="BW94" s="21">
        <v>97.229596529999995</v>
      </c>
      <c r="BX94" s="120">
        <v>4218</v>
      </c>
      <c r="BY94" s="21">
        <f t="shared" si="62"/>
        <v>70.3</v>
      </c>
      <c r="BZ94" s="21">
        <f t="shared" si="63"/>
        <v>6.8447421726766713</v>
      </c>
      <c r="CA94" s="21">
        <f t="shared" si="64"/>
        <v>95.26381323322326</v>
      </c>
    </row>
    <row r="95" spans="1:79" x14ac:dyDescent="0.25">
      <c r="A95" s="8"/>
      <c r="B95" s="1"/>
      <c r="C95" s="1"/>
      <c r="I95" s="25">
        <v>44781.959027777775</v>
      </c>
      <c r="J95" s="26">
        <v>3.8378663378689898E-3</v>
      </c>
      <c r="K95" s="27">
        <v>3.5250784804999999</v>
      </c>
      <c r="L95" s="28">
        <v>1194</v>
      </c>
      <c r="M95" s="29">
        <f t="shared" si="46"/>
        <v>19.899999999999999</v>
      </c>
      <c r="N95" s="26">
        <f t="shared" si="40"/>
        <v>7.637354012359289E-2</v>
      </c>
      <c r="O95" s="29">
        <f t="shared" si="47"/>
        <v>0</v>
      </c>
      <c r="Q95" s="35">
        <v>45136.947916666664</v>
      </c>
      <c r="R95" s="71">
        <v>7.37387912710124E-3</v>
      </c>
      <c r="S95" s="70">
        <v>1.511415151</v>
      </c>
      <c r="T95" s="36">
        <v>4103</v>
      </c>
      <c r="U95" s="37">
        <f t="shared" si="48"/>
        <v>68.38333333333334</v>
      </c>
      <c r="V95" s="37">
        <f t="shared" si="41"/>
        <v>0.50425043430827321</v>
      </c>
      <c r="W95" s="38">
        <f t="shared" si="49"/>
        <v>26.560697547969596</v>
      </c>
      <c r="Y95" s="45">
        <v>45151.958333333336</v>
      </c>
      <c r="Z95" s="4">
        <v>7.4799488374922701E-3</v>
      </c>
      <c r="AA95" s="3">
        <v>1.257509953</v>
      </c>
      <c r="AB95" s="4">
        <v>1358</v>
      </c>
      <c r="AC95" s="46">
        <f t="shared" si="50"/>
        <v>22.633333333333333</v>
      </c>
      <c r="AD95" s="47">
        <f t="shared" si="42"/>
        <v>0.16929617535524172</v>
      </c>
      <c r="AE95" s="50">
        <f t="shared" si="51"/>
        <v>0</v>
      </c>
      <c r="AG95" s="51">
        <v>45166.958333333336</v>
      </c>
      <c r="AH95" s="72">
        <v>1.2861010188509801E-2</v>
      </c>
      <c r="AI95" s="73">
        <v>0.562700329</v>
      </c>
      <c r="AJ95" s="52">
        <v>4303</v>
      </c>
      <c r="AK95" s="53">
        <f t="shared" si="52"/>
        <v>71.716666666666669</v>
      </c>
      <c r="AL95" s="72">
        <f t="shared" si="43"/>
        <v>0.92234878068596127</v>
      </c>
      <c r="AM95" s="54">
        <f t="shared" si="53"/>
        <v>35.69955160850747</v>
      </c>
      <c r="AO95" s="66">
        <v>45183.958333333336</v>
      </c>
      <c r="AP95" s="67">
        <v>7.3342412991595607E-2</v>
      </c>
      <c r="AQ95" s="68">
        <v>1.3790541089999999</v>
      </c>
      <c r="AR95" s="68">
        <v>7870</v>
      </c>
      <c r="AS95" s="68">
        <f t="shared" si="54"/>
        <v>131.16666666666666</v>
      </c>
      <c r="AT95" s="68">
        <f t="shared" si="44"/>
        <v>9.6200798373976237</v>
      </c>
      <c r="AU95" s="69">
        <f t="shared" si="55"/>
        <v>112.54240468732938</v>
      </c>
      <c r="BE95" s="87">
        <v>45048.208333333336</v>
      </c>
      <c r="BF95" s="118">
        <v>5.8218619343655999E-2</v>
      </c>
      <c r="BG95" s="88">
        <v>85.762083380000007</v>
      </c>
      <c r="BH95" s="89">
        <v>5027</v>
      </c>
      <c r="BI95" s="90">
        <f t="shared" si="56"/>
        <v>83.783333333333331</v>
      </c>
      <c r="BJ95" s="91">
        <f t="shared" si="57"/>
        <v>4.8777499906759783</v>
      </c>
      <c r="BK95" s="91">
        <f t="shared" si="58"/>
        <v>80.700216501286377</v>
      </c>
      <c r="BM95" s="93">
        <v>45050.208333333336</v>
      </c>
      <c r="BN95">
        <v>0.10742198420841501</v>
      </c>
      <c r="BO95" s="95">
        <v>110.9974619</v>
      </c>
      <c r="BP95" s="4">
        <v>4319</v>
      </c>
      <c r="BQ95" s="95">
        <f t="shared" si="59"/>
        <v>71.983333333333334</v>
      </c>
      <c r="BR95" s="94">
        <f t="shared" si="60"/>
        <v>7.7325924966024067</v>
      </c>
      <c r="BS95" s="96">
        <f t="shared" si="61"/>
        <v>101.1268328041553</v>
      </c>
      <c r="BU95" s="10">
        <v>45051.46875</v>
      </c>
      <c r="BV95" s="119">
        <v>9.2927327723139594E-2</v>
      </c>
      <c r="BW95" s="21">
        <v>95.138397370000007</v>
      </c>
      <c r="BX95" s="120">
        <v>3891</v>
      </c>
      <c r="BY95" s="21">
        <f t="shared" si="62"/>
        <v>64.849999999999994</v>
      </c>
      <c r="BZ95" s="21">
        <f t="shared" si="63"/>
        <v>6.0263372028456024</v>
      </c>
      <c r="CA95" s="21">
        <f t="shared" si="64"/>
        <v>89.504682601837686</v>
      </c>
    </row>
    <row r="96" spans="1:79" x14ac:dyDescent="0.25">
      <c r="A96" s="8"/>
      <c r="B96" s="1"/>
      <c r="C96" s="1"/>
      <c r="I96" s="25">
        <v>44781.969444444447</v>
      </c>
      <c r="J96" s="26">
        <v>4.2240790635549898E-3</v>
      </c>
      <c r="K96" s="27">
        <v>3.3236783504999998</v>
      </c>
      <c r="L96" s="28">
        <v>1326</v>
      </c>
      <c r="M96" s="29">
        <f t="shared" si="46"/>
        <v>22.1</v>
      </c>
      <c r="N96" s="26">
        <f t="shared" si="40"/>
        <v>9.3352147304565286E-2</v>
      </c>
      <c r="O96" s="29">
        <f t="shared" si="47"/>
        <v>0</v>
      </c>
      <c r="Q96" s="35">
        <v>45136.958333333336</v>
      </c>
      <c r="R96" s="71">
        <v>8.0316100528620808E-3</v>
      </c>
      <c r="S96" s="70">
        <v>1.654461261</v>
      </c>
      <c r="T96" s="36">
        <v>4394</v>
      </c>
      <c r="U96" s="37">
        <f t="shared" si="48"/>
        <v>73.233333333333334</v>
      </c>
      <c r="V96" s="37">
        <f t="shared" si="41"/>
        <v>0.58818157620459977</v>
      </c>
      <c r="W96" s="38">
        <f t="shared" si="49"/>
        <v>28.640680563368452</v>
      </c>
      <c r="Y96" s="45">
        <v>45151.96875</v>
      </c>
      <c r="Z96" s="4">
        <v>4.5972659347956199E-3</v>
      </c>
      <c r="AA96" s="3">
        <v>1.091323134</v>
      </c>
      <c r="AB96" s="4">
        <v>1089</v>
      </c>
      <c r="AC96" s="46">
        <f t="shared" si="50"/>
        <v>18.149999999999999</v>
      </c>
      <c r="AD96" s="47">
        <f t="shared" si="42"/>
        <v>8.344037671654049E-2</v>
      </c>
      <c r="AE96" s="50">
        <f t="shared" si="51"/>
        <v>0</v>
      </c>
      <c r="AG96" s="51">
        <v>45166.96875</v>
      </c>
      <c r="AH96" s="72">
        <v>1.02421598377785E-2</v>
      </c>
      <c r="AI96" s="73">
        <v>0.475692385</v>
      </c>
      <c r="AJ96" s="52">
        <v>3708</v>
      </c>
      <c r="AK96" s="53">
        <f t="shared" si="52"/>
        <v>61.8</v>
      </c>
      <c r="AL96" s="72">
        <f t="shared" si="43"/>
        <v>0.63296547797471125</v>
      </c>
      <c r="AM96" s="54">
        <f t="shared" si="53"/>
        <v>29.688577585078416</v>
      </c>
      <c r="AO96" s="66">
        <v>45183.96875</v>
      </c>
      <c r="AP96" s="67">
        <v>6.63745645184151E-2</v>
      </c>
      <c r="AQ96" s="68">
        <v>1.5809633519999999</v>
      </c>
      <c r="AR96" s="68">
        <v>7717</v>
      </c>
      <c r="AS96" s="68">
        <f t="shared" si="54"/>
        <v>128.61666666666667</v>
      </c>
      <c r="AT96" s="68">
        <f t="shared" si="44"/>
        <v>8.5368752398101559</v>
      </c>
      <c r="AU96" s="69">
        <f t="shared" si="55"/>
        <v>106.14772263372836</v>
      </c>
      <c r="BE96" s="87">
        <v>45048.21875</v>
      </c>
      <c r="BF96" s="118">
        <v>5.6562753387459398E-2</v>
      </c>
      <c r="BG96" s="88">
        <v>87.915213519999995</v>
      </c>
      <c r="BH96" s="89">
        <v>4917</v>
      </c>
      <c r="BI96" s="90">
        <f t="shared" si="56"/>
        <v>81.95</v>
      </c>
      <c r="BJ96" s="91">
        <f t="shared" si="57"/>
        <v>4.635317640102298</v>
      </c>
      <c r="BK96" s="91">
        <f t="shared" si="58"/>
        <v>78.710509537231189</v>
      </c>
      <c r="BM96" s="93">
        <v>45050.21875</v>
      </c>
      <c r="BN96">
        <v>8.2221809300291507E-2</v>
      </c>
      <c r="BO96" s="95">
        <v>109.01829240000001</v>
      </c>
      <c r="BP96" s="4">
        <v>4309</v>
      </c>
      <c r="BQ96" s="95">
        <f t="shared" si="59"/>
        <v>71.816666666666663</v>
      </c>
      <c r="BR96" s="94">
        <f t="shared" si="60"/>
        <v>5.9048962712492683</v>
      </c>
      <c r="BS96" s="96">
        <f t="shared" si="61"/>
        <v>88.616836602522028</v>
      </c>
      <c r="BU96" s="10">
        <v>45051.479166666664</v>
      </c>
      <c r="BV96" s="119">
        <v>0.10403863509563099</v>
      </c>
      <c r="BW96" s="21">
        <v>98.474887140000007</v>
      </c>
      <c r="BX96" s="120">
        <v>3829</v>
      </c>
      <c r="BY96" s="21">
        <f t="shared" si="62"/>
        <v>63.81666666666667</v>
      </c>
      <c r="BZ96" s="21">
        <f t="shared" si="63"/>
        <v>6.6393988963528514</v>
      </c>
      <c r="CA96" s="21">
        <f t="shared" si="64"/>
        <v>93.853408017893173</v>
      </c>
    </row>
    <row r="97" spans="1:79" x14ac:dyDescent="0.25">
      <c r="A97" s="8"/>
      <c r="B97" s="1"/>
      <c r="C97" s="1"/>
      <c r="I97" s="25">
        <v>44781.979861111111</v>
      </c>
      <c r="J97" s="26">
        <v>4.0585551869587099E-3</v>
      </c>
      <c r="K97" s="27">
        <v>3.2549971329999998</v>
      </c>
      <c r="L97" s="28">
        <v>1281</v>
      </c>
      <c r="M97" s="29">
        <f t="shared" si="46"/>
        <v>21.35</v>
      </c>
      <c r="N97" s="26">
        <f t="shared" si="40"/>
        <v>8.6650153241568467E-2</v>
      </c>
      <c r="O97" s="29">
        <f t="shared" si="47"/>
        <v>0</v>
      </c>
      <c r="Q97" s="35">
        <v>45136.96875</v>
      </c>
      <c r="R97" s="71">
        <v>7.2991931379905702E-3</v>
      </c>
      <c r="S97" s="70">
        <v>1.4444654269999999</v>
      </c>
      <c r="T97" s="36">
        <v>3944</v>
      </c>
      <c r="U97" s="37">
        <f t="shared" si="48"/>
        <v>65.733333333333334</v>
      </c>
      <c r="V97" s="37">
        <f t="shared" si="41"/>
        <v>0.47980029560391346</v>
      </c>
      <c r="W97" s="38">
        <f t="shared" si="49"/>
        <v>25.922024993699843</v>
      </c>
      <c r="Y97" s="45">
        <v>45151.979166666664</v>
      </c>
      <c r="Z97" s="4">
        <v>5.7985926547394996E-3</v>
      </c>
      <c r="AA97" s="3">
        <v>1.200201638</v>
      </c>
      <c r="AB97" s="4">
        <v>1231</v>
      </c>
      <c r="AC97" s="46">
        <f t="shared" si="50"/>
        <v>20.516666666666666</v>
      </c>
      <c r="AD97" s="47">
        <f t="shared" si="42"/>
        <v>0.11896779263307206</v>
      </c>
      <c r="AE97" s="50">
        <f t="shared" si="51"/>
        <v>0</v>
      </c>
      <c r="AG97" s="51">
        <v>45166.979166666664</v>
      </c>
      <c r="AH97" s="72">
        <v>1.3324224432231699E-2</v>
      </c>
      <c r="AI97" s="73">
        <v>0.475692385</v>
      </c>
      <c r="AJ97" s="52">
        <v>3555</v>
      </c>
      <c r="AK97" s="53">
        <f t="shared" si="52"/>
        <v>59.25</v>
      </c>
      <c r="AL97" s="72">
        <f t="shared" si="43"/>
        <v>0.78946029760972813</v>
      </c>
      <c r="AM97" s="54">
        <f t="shared" si="53"/>
        <v>33.08081782499211</v>
      </c>
      <c r="AO97" s="66">
        <v>45183.979166666664</v>
      </c>
      <c r="AP97" s="67">
        <v>6.8756285186304805E-2</v>
      </c>
      <c r="AQ97" s="68">
        <v>1.4444654269999999</v>
      </c>
      <c r="AR97" s="68">
        <v>8444</v>
      </c>
      <c r="AS97" s="68">
        <f t="shared" si="54"/>
        <v>140.73333333333332</v>
      </c>
      <c r="AT97" s="68">
        <f t="shared" si="44"/>
        <v>9.6763012018859627</v>
      </c>
      <c r="AU97" s="69">
        <f t="shared" si="55"/>
        <v>112.86400971102771</v>
      </c>
      <c r="BE97" s="87">
        <v>45048.229166666664</v>
      </c>
      <c r="BF97" s="118">
        <v>5.3881482007732302E-2</v>
      </c>
      <c r="BG97" s="88">
        <v>87.058386479999996</v>
      </c>
      <c r="BH97" s="89">
        <v>5173</v>
      </c>
      <c r="BI97" s="90">
        <f t="shared" si="56"/>
        <v>86.216666666666669</v>
      </c>
      <c r="BJ97" s="91">
        <f t="shared" si="57"/>
        <v>4.6454817737666536</v>
      </c>
      <c r="BK97" s="91">
        <f t="shared" si="58"/>
        <v>78.794981175166939</v>
      </c>
      <c r="BM97" s="93">
        <v>45050.229166666664</v>
      </c>
      <c r="BN97">
        <v>8.1388670504260005E-2</v>
      </c>
      <c r="BO97" s="95">
        <v>107.8236938</v>
      </c>
      <c r="BP97" s="4">
        <v>4463</v>
      </c>
      <c r="BQ97" s="95">
        <f t="shared" si="59"/>
        <v>74.38333333333334</v>
      </c>
      <c r="BR97" s="94">
        <f t="shared" si="60"/>
        <v>6.0539606076752071</v>
      </c>
      <c r="BS97" s="96">
        <f t="shared" si="61"/>
        <v>89.705357283736475</v>
      </c>
      <c r="BU97" s="10">
        <v>45051.489583333336</v>
      </c>
      <c r="BV97" s="119">
        <v>0.10769810020982699</v>
      </c>
      <c r="BW97" s="21">
        <v>90.915794009999999</v>
      </c>
      <c r="BX97" s="120">
        <v>4046</v>
      </c>
      <c r="BY97" s="21">
        <f t="shared" si="62"/>
        <v>67.433333333333337</v>
      </c>
      <c r="BZ97" s="21">
        <f t="shared" si="63"/>
        <v>7.2624418908160004</v>
      </c>
      <c r="CA97" s="21">
        <f t="shared" si="64"/>
        <v>98.067651810767472</v>
      </c>
    </row>
    <row r="98" spans="1:79" x14ac:dyDescent="0.25">
      <c r="A98" s="8"/>
      <c r="B98" s="1"/>
      <c r="C98" s="1"/>
      <c r="I98" s="25">
        <v>44781.990277777775</v>
      </c>
      <c r="J98" s="26">
        <v>4.1262590136064998E-3</v>
      </c>
      <c r="K98" s="27">
        <v>3.3297358964999999</v>
      </c>
      <c r="L98" s="28">
        <v>1324</v>
      </c>
      <c r="M98" s="29">
        <f t="shared" si="46"/>
        <v>22.066666666666666</v>
      </c>
      <c r="N98" s="26">
        <f t="shared" si="40"/>
        <v>9.1052782233583429E-2</v>
      </c>
      <c r="O98" s="29">
        <f t="shared" si="47"/>
        <v>0</v>
      </c>
      <c r="Q98" s="35">
        <v>45136.979166666664</v>
      </c>
      <c r="R98" s="71">
        <v>7.3404619826555198E-3</v>
      </c>
      <c r="S98" s="70">
        <v>1.654461261</v>
      </c>
      <c r="T98" s="36">
        <v>4270</v>
      </c>
      <c r="U98" s="37">
        <f t="shared" si="48"/>
        <v>71.166666666666671</v>
      </c>
      <c r="V98" s="37">
        <f t="shared" si="41"/>
        <v>0.52239621109898449</v>
      </c>
      <c r="W98" s="38">
        <f t="shared" si="49"/>
        <v>27.024533240405859</v>
      </c>
      <c r="Y98" s="45">
        <v>45151.989583333336</v>
      </c>
      <c r="Z98" s="4">
        <v>4.9418558586177396E-3</v>
      </c>
      <c r="AA98" s="3">
        <v>1.091323134</v>
      </c>
      <c r="AB98" s="4">
        <v>1249</v>
      </c>
      <c r="AC98" s="46">
        <f t="shared" si="50"/>
        <v>20.816666666666666</v>
      </c>
      <c r="AD98" s="47">
        <f t="shared" si="42"/>
        <v>0.10287296612355928</v>
      </c>
      <c r="AE98" s="50">
        <f t="shared" si="51"/>
        <v>0</v>
      </c>
      <c r="AG98" s="51">
        <v>45166.989583333336</v>
      </c>
      <c r="AH98" s="72">
        <v>1.3544568633006999E-2</v>
      </c>
      <c r="AI98" s="73">
        <v>0.53201108200000002</v>
      </c>
      <c r="AJ98" s="52">
        <v>4299</v>
      </c>
      <c r="AK98" s="53">
        <f t="shared" si="52"/>
        <v>71.650000000000006</v>
      </c>
      <c r="AL98" s="72">
        <f t="shared" si="43"/>
        <v>0.97046834255495151</v>
      </c>
      <c r="AM98" s="54">
        <f t="shared" si="53"/>
        <v>36.599771247132161</v>
      </c>
      <c r="AO98" s="66">
        <v>45183.989583333336</v>
      </c>
      <c r="AP98" s="67">
        <v>5.2860391631022803E-2</v>
      </c>
      <c r="AQ98" s="68">
        <v>1.091323134</v>
      </c>
      <c r="AR98" s="68">
        <v>8972</v>
      </c>
      <c r="AS98" s="68">
        <f t="shared" si="54"/>
        <v>149.53333333333333</v>
      </c>
      <c r="AT98" s="68">
        <f t="shared" si="44"/>
        <v>7.9043905618922761</v>
      </c>
      <c r="AU98" s="69">
        <f t="shared" si="55"/>
        <v>102.22091020609001</v>
      </c>
      <c r="BE98" s="87">
        <v>45048.239583333336</v>
      </c>
      <c r="BF98" s="118">
        <v>5.1844132465842699E-2</v>
      </c>
      <c r="BG98" s="88">
        <v>86.199962600000006</v>
      </c>
      <c r="BH98" s="89">
        <v>5410</v>
      </c>
      <c r="BI98" s="90">
        <f t="shared" si="56"/>
        <v>90.166666666666671</v>
      </c>
      <c r="BJ98" s="91">
        <f t="shared" si="57"/>
        <v>4.6746126106701507</v>
      </c>
      <c r="BK98" s="91">
        <f t="shared" si="58"/>
        <v>79.036559311057331</v>
      </c>
      <c r="BM98" s="93">
        <v>45050.239583333336</v>
      </c>
      <c r="BN98">
        <v>9.0531815948286895E-2</v>
      </c>
      <c r="BO98" s="95">
        <v>113.3477233</v>
      </c>
      <c r="BP98" s="4">
        <v>4326</v>
      </c>
      <c r="BQ98" s="95">
        <f t="shared" si="59"/>
        <v>72.099999999999994</v>
      </c>
      <c r="BR98" s="94">
        <f t="shared" si="60"/>
        <v>6.5273439298714848</v>
      </c>
      <c r="BS98" s="96">
        <f t="shared" si="61"/>
        <v>93.074359240155488</v>
      </c>
      <c r="BU98" s="10">
        <v>45051.5</v>
      </c>
      <c r="BV98" s="119">
        <v>0.113356883921284</v>
      </c>
      <c r="BW98" s="21">
        <v>101.3564556</v>
      </c>
      <c r="BX98" s="120">
        <v>3656</v>
      </c>
      <c r="BY98" s="21">
        <f t="shared" si="62"/>
        <v>60.93333333333333</v>
      </c>
      <c r="BZ98" s="21">
        <f t="shared" si="63"/>
        <v>6.9072127936035717</v>
      </c>
      <c r="CA98" s="21">
        <f t="shared" si="64"/>
        <v>95.688597969416961</v>
      </c>
    </row>
    <row r="99" spans="1:79" x14ac:dyDescent="0.25">
      <c r="I99" s="25">
        <v>44782.000694444447</v>
      </c>
      <c r="J99" s="26">
        <v>4.8494832153276202E-3</v>
      </c>
      <c r="K99" s="27">
        <v>3.3683360045000001</v>
      </c>
      <c r="L99" s="28">
        <v>1362</v>
      </c>
      <c r="M99" s="29">
        <f t="shared" si="46"/>
        <v>22.7</v>
      </c>
      <c r="N99" s="26">
        <f t="shared" ref="N99" si="66">M99*J99</f>
        <v>0.11008326898793698</v>
      </c>
      <c r="O99" s="29">
        <f t="shared" si="47"/>
        <v>0</v>
      </c>
      <c r="Q99" s="35">
        <v>45136.989583333336</v>
      </c>
      <c r="R99" s="71">
        <v>8.1048084086548008E-3</v>
      </c>
      <c r="S99" s="70">
        <v>1.729502407</v>
      </c>
      <c r="T99" s="36">
        <v>4299</v>
      </c>
      <c r="U99" s="37">
        <f t="shared" si="48"/>
        <v>71.650000000000006</v>
      </c>
      <c r="V99" s="37">
        <f t="shared" si="41"/>
        <v>0.58070952248011654</v>
      </c>
      <c r="W99" s="38">
        <f>IF(37.141*V99^0.4897&gt;22.6, 37.141*V99^0.4897, 0)</f>
        <v>28.461926274567773</v>
      </c>
      <c r="Y99" s="45">
        <v>45152</v>
      </c>
      <c r="Z99" s="4">
        <v>3.7873648888279501E-3</v>
      </c>
      <c r="AA99" s="3">
        <v>0.85462156099999997</v>
      </c>
      <c r="AB99" s="4">
        <v>958</v>
      </c>
      <c r="AC99" s="46">
        <f t="shared" si="50"/>
        <v>15.966666666666667</v>
      </c>
      <c r="AD99" s="47">
        <f t="shared" ref="AD99" si="67">AC99*Z99</f>
        <v>6.0471592724952936E-2</v>
      </c>
      <c r="AE99" s="50">
        <f t="shared" si="51"/>
        <v>0</v>
      </c>
      <c r="AG99" s="51">
        <v>45167</v>
      </c>
      <c r="AH99" s="72">
        <v>9.7988975464284207E-3</v>
      </c>
      <c r="AI99" s="73">
        <v>0.475692385</v>
      </c>
      <c r="AJ99" s="52">
        <v>3616</v>
      </c>
      <c r="AK99" s="53">
        <f t="shared" si="52"/>
        <v>60.266666666666666</v>
      </c>
      <c r="AL99" s="72">
        <f t="shared" ref="AL99" si="68">AK99*AH99</f>
        <v>0.59054689213141953</v>
      </c>
      <c r="AM99" s="54">
        <f t="shared" si="53"/>
        <v>28.697024376637046</v>
      </c>
      <c r="AO99" s="66">
        <v>45184</v>
      </c>
      <c r="AP99" s="67">
        <v>4.6886027111684499E-2</v>
      </c>
      <c r="AQ99" s="68">
        <v>1.091323134</v>
      </c>
      <c r="AR99" s="68">
        <v>9081</v>
      </c>
      <c r="AS99" s="68">
        <f t="shared" si="54"/>
        <v>151.35</v>
      </c>
      <c r="AT99" s="68">
        <f t="shared" ref="AT99" si="69">AS99*AP99</f>
        <v>7.0962002033534484</v>
      </c>
      <c r="AU99" s="69">
        <f t="shared" si="55"/>
        <v>96.961864078761835</v>
      </c>
      <c r="BE99" s="87">
        <v>45048.25</v>
      </c>
      <c r="BF99" s="118">
        <v>5.2616185150752101E-2</v>
      </c>
      <c r="BG99" s="88">
        <v>87.915213519999995</v>
      </c>
      <c r="BH99" s="89">
        <v>5318</v>
      </c>
      <c r="BI99" s="90">
        <f t="shared" si="56"/>
        <v>88.63333333333334</v>
      </c>
      <c r="BJ99" s="91">
        <f t="shared" si="57"/>
        <v>4.6635478771949952</v>
      </c>
      <c r="BK99" s="91">
        <f t="shared" si="58"/>
        <v>78.944891685831678</v>
      </c>
      <c r="BM99" s="93">
        <v>45050.25</v>
      </c>
      <c r="BN99">
        <v>8.6593569944977494E-2</v>
      </c>
      <c r="BO99" s="95">
        <v>116.4455014</v>
      </c>
      <c r="BP99" s="4">
        <v>4392</v>
      </c>
      <c r="BQ99" s="95">
        <f t="shared" si="59"/>
        <v>73.2</v>
      </c>
      <c r="BR99" s="94">
        <f t="shared" si="60"/>
        <v>6.3386493199723528</v>
      </c>
      <c r="BS99" s="96">
        <f t="shared" si="61"/>
        <v>91.746897928617159</v>
      </c>
      <c r="BU99" s="10">
        <v>45051.510416666664</v>
      </c>
      <c r="BV99" s="119">
        <v>0.13438043402341099</v>
      </c>
      <c r="BW99" s="21">
        <v>95.977802339999997</v>
      </c>
      <c r="BX99" s="120">
        <v>3586</v>
      </c>
      <c r="BY99" s="21">
        <f t="shared" si="62"/>
        <v>59.766666666666666</v>
      </c>
      <c r="BZ99" s="21">
        <f t="shared" si="63"/>
        <v>8.0314706067991963</v>
      </c>
      <c r="CA99" s="21">
        <f t="shared" si="64"/>
        <v>103.02241841356445</v>
      </c>
    </row>
    <row r="100" spans="1:79" x14ac:dyDescent="0.25">
      <c r="Q100" s="35">
        <v>45137</v>
      </c>
      <c r="R100" s="71">
        <v>7.3052188785446004E-3</v>
      </c>
      <c r="S100" s="70">
        <v>1.511415151</v>
      </c>
      <c r="T100" s="36">
        <v>3911</v>
      </c>
      <c r="U100" s="37">
        <f t="shared" si="48"/>
        <v>65.183333333333337</v>
      </c>
      <c r="V100" s="37">
        <f t="shared" si="41"/>
        <v>0.4761785172331322</v>
      </c>
      <c r="W100" s="38">
        <f t="shared" si="49"/>
        <v>25.826018806095679</v>
      </c>
      <c r="BE100" s="87">
        <v>45048.260416666664</v>
      </c>
      <c r="BF100" s="118">
        <v>5.2349656721349898E-2</v>
      </c>
      <c r="BG100" s="88">
        <v>84.460540300000005</v>
      </c>
      <c r="BH100" s="89">
        <v>5282</v>
      </c>
      <c r="BI100" s="90">
        <f t="shared" si="56"/>
        <v>88.033333333333331</v>
      </c>
      <c r="BJ100" s="91">
        <f t="shared" si="57"/>
        <v>4.6085147800361694</v>
      </c>
      <c r="BK100" s="91">
        <f t="shared" si="58"/>
        <v>78.487303157563844</v>
      </c>
      <c r="BM100" s="93">
        <v>45050.260416666664</v>
      </c>
      <c r="BN100">
        <v>9.7450429602227995E-2</v>
      </c>
      <c r="BO100" s="95">
        <v>111.7853645</v>
      </c>
      <c r="BP100" s="4">
        <v>4401</v>
      </c>
      <c r="BQ100" s="95">
        <f t="shared" si="59"/>
        <v>73.349999999999994</v>
      </c>
      <c r="BR100" s="94">
        <f t="shared" si="60"/>
        <v>7.147989011323423</v>
      </c>
      <c r="BS100" s="96">
        <f t="shared" si="61"/>
        <v>97.30775138187532</v>
      </c>
      <c r="BU100" s="10">
        <v>45051.520833333336</v>
      </c>
      <c r="BV100" s="119">
        <v>0.11428642601559499</v>
      </c>
      <c r="BW100" s="21">
        <v>101.3564556</v>
      </c>
      <c r="BX100" s="120">
        <v>3720</v>
      </c>
      <c r="BY100" s="21">
        <f t="shared" si="62"/>
        <v>62</v>
      </c>
      <c r="BZ100" s="21">
        <f t="shared" si="63"/>
        <v>7.0857584129668894</v>
      </c>
      <c r="CA100" s="21">
        <f t="shared" si="64"/>
        <v>96.891969528525919</v>
      </c>
    </row>
    <row r="101" spans="1:79" x14ac:dyDescent="0.25">
      <c r="BE101" s="87">
        <v>45048.270833333336</v>
      </c>
      <c r="BF101" s="118">
        <v>5.0385986252861198E-2</v>
      </c>
      <c r="BG101" s="88">
        <v>88.350109630000006</v>
      </c>
      <c r="BH101" s="89">
        <v>5619</v>
      </c>
      <c r="BI101" s="90">
        <f t="shared" si="56"/>
        <v>93.65</v>
      </c>
      <c r="BJ101" s="91">
        <f t="shared" si="57"/>
        <v>4.7186476125804511</v>
      </c>
      <c r="BK101" s="91">
        <f t="shared" si="58"/>
        <v>79.400281975333314</v>
      </c>
      <c r="BM101" s="93">
        <v>45050.270833333336</v>
      </c>
      <c r="BN101">
        <v>8.2204192890266994E-2</v>
      </c>
      <c r="BO101" s="95">
        <v>109.0251016</v>
      </c>
      <c r="BP101" s="4">
        <v>4457</v>
      </c>
      <c r="BQ101" s="95">
        <f t="shared" si="59"/>
        <v>74.283333333333331</v>
      </c>
      <c r="BR101" s="94">
        <f t="shared" si="60"/>
        <v>6.1064014618653335</v>
      </c>
      <c r="BS101" s="96">
        <f t="shared" si="61"/>
        <v>90.085040933887186</v>
      </c>
      <c r="BU101" s="10">
        <v>45051.53125</v>
      </c>
      <c r="BV101" s="119">
        <v>9.3030308060758404E-2</v>
      </c>
      <c r="BW101" s="21">
        <v>89.635700749999998</v>
      </c>
      <c r="BX101" s="120">
        <v>4336</v>
      </c>
      <c r="BY101" s="21">
        <f t="shared" si="62"/>
        <v>72.266666666666666</v>
      </c>
      <c r="BZ101" s="21">
        <f t="shared" si="63"/>
        <v>6.7229902625241404</v>
      </c>
      <c r="CA101" s="21">
        <f t="shared" si="64"/>
        <v>94.430206681554665</v>
      </c>
    </row>
    <row r="102" spans="1:79" x14ac:dyDescent="0.25">
      <c r="BE102" s="87">
        <v>45048.28125</v>
      </c>
      <c r="BF102" s="118">
        <v>4.9499674707769302E-2</v>
      </c>
      <c r="BG102" s="88">
        <v>84.891986889999998</v>
      </c>
      <c r="BH102" s="89">
        <v>5262</v>
      </c>
      <c r="BI102" s="90">
        <f t="shared" si="56"/>
        <v>87.7</v>
      </c>
      <c r="BJ102" s="91">
        <f t="shared" si="57"/>
        <v>4.341121471871368</v>
      </c>
      <c r="BK102" s="91">
        <f t="shared" si="58"/>
        <v>76.223214833757211</v>
      </c>
      <c r="BM102" s="93">
        <v>45050.28125</v>
      </c>
      <c r="BN102">
        <v>0.101095774562754</v>
      </c>
      <c r="BO102" s="95">
        <v>103.3988808</v>
      </c>
      <c r="BP102" s="4">
        <v>4269</v>
      </c>
      <c r="BQ102" s="95">
        <f t="shared" si="59"/>
        <v>71.150000000000006</v>
      </c>
      <c r="BR102" s="94">
        <f t="shared" si="60"/>
        <v>7.1929643601399471</v>
      </c>
      <c r="BS102" s="96">
        <f t="shared" si="61"/>
        <v>97.607096808186895</v>
      </c>
      <c r="BU102" s="10">
        <v>45051.541666666664</v>
      </c>
      <c r="BV102" s="119">
        <v>8.5312203573155901E-2</v>
      </c>
      <c r="BW102" s="21">
        <v>99.714355679999997</v>
      </c>
      <c r="BX102" s="120">
        <v>4289</v>
      </c>
      <c r="BY102" s="21">
        <f t="shared" si="62"/>
        <v>71.483333333333334</v>
      </c>
      <c r="BZ102" s="21">
        <f t="shared" si="63"/>
        <v>6.0984006854210948</v>
      </c>
      <c r="CA102" s="21">
        <f t="shared" si="64"/>
        <v>90.027221368255411</v>
      </c>
    </row>
    <row r="103" spans="1:79" x14ac:dyDescent="0.25">
      <c r="BE103" s="87">
        <v>45048.291666666664</v>
      </c>
      <c r="BF103" s="118">
        <v>5.4661558451575998E-2</v>
      </c>
      <c r="BG103" s="88">
        <v>84.891986889999998</v>
      </c>
      <c r="BH103" s="89">
        <v>5421</v>
      </c>
      <c r="BI103" s="90">
        <f t="shared" si="56"/>
        <v>90.35</v>
      </c>
      <c r="BJ103" s="91">
        <f t="shared" si="57"/>
        <v>4.9386718060998911</v>
      </c>
      <c r="BK103" s="91">
        <f t="shared" si="58"/>
        <v>81.192234018365667</v>
      </c>
      <c r="BM103" s="93">
        <v>45050.291666666664</v>
      </c>
      <c r="BN103">
        <v>0.101128799611506</v>
      </c>
      <c r="BO103" s="95">
        <v>107.0292163</v>
      </c>
      <c r="BP103" s="4">
        <v>4289</v>
      </c>
      <c r="BQ103" s="95">
        <f t="shared" si="59"/>
        <v>71.483333333333334</v>
      </c>
      <c r="BR103" s="94">
        <f t="shared" si="60"/>
        <v>7.2290236922291546</v>
      </c>
      <c r="BS103" s="96">
        <f t="shared" si="61"/>
        <v>97.846410091869757</v>
      </c>
      <c r="BU103" s="10">
        <v>45051.552083333336</v>
      </c>
      <c r="BV103" s="119">
        <v>8.3470110812574605E-2</v>
      </c>
      <c r="BW103" s="21">
        <v>86.192545629999998</v>
      </c>
      <c r="BX103" s="120">
        <v>4451</v>
      </c>
      <c r="BY103" s="21">
        <f t="shared" si="62"/>
        <v>74.183333333333337</v>
      </c>
      <c r="BZ103" s="21">
        <f t="shared" si="63"/>
        <v>6.1920910537794933</v>
      </c>
      <c r="CA103" s="21">
        <f t="shared" si="64"/>
        <v>90.701889658746708</v>
      </c>
    </row>
    <row r="104" spans="1:79" x14ac:dyDescent="0.25">
      <c r="BE104" s="87">
        <v>45048.302083333336</v>
      </c>
      <c r="BF104" s="118">
        <v>4.6483980321691799E-2</v>
      </c>
      <c r="BG104" s="88">
        <v>83.586986100000004</v>
      </c>
      <c r="BH104" s="89">
        <v>5647</v>
      </c>
      <c r="BI104" s="90">
        <f t="shared" si="56"/>
        <v>94.11666666666666</v>
      </c>
      <c r="BJ104" s="91">
        <f t="shared" si="57"/>
        <v>4.3749172812765593</v>
      </c>
      <c r="BK104" s="91">
        <f t="shared" si="58"/>
        <v>76.513228277851653</v>
      </c>
      <c r="BM104" s="93">
        <v>45050.302083333336</v>
      </c>
      <c r="BN104">
        <v>8.7004751600331304E-2</v>
      </c>
      <c r="BO104" s="95">
        <v>110.60554279999999</v>
      </c>
      <c r="BP104" s="4">
        <v>4308</v>
      </c>
      <c r="BQ104" s="95">
        <f t="shared" si="59"/>
        <v>71.8</v>
      </c>
      <c r="BR104" s="94">
        <f t="shared" si="60"/>
        <v>6.2469411649037871</v>
      </c>
      <c r="BS104" s="96">
        <f t="shared" si="61"/>
        <v>91.094451698623004</v>
      </c>
      <c r="BU104" s="10">
        <v>45051.5625</v>
      </c>
      <c r="BV104" s="119">
        <v>9.72560778149507E-2</v>
      </c>
      <c r="BW104" s="21">
        <v>100.5402337</v>
      </c>
      <c r="BX104" s="120">
        <v>4138</v>
      </c>
      <c r="BY104" s="21">
        <f t="shared" si="62"/>
        <v>68.966666666666669</v>
      </c>
      <c r="BZ104" s="21">
        <f t="shared" si="63"/>
        <v>6.7074274999711001</v>
      </c>
      <c r="CA104" s="21">
        <f t="shared" si="64"/>
        <v>94.323098662623849</v>
      </c>
    </row>
    <row r="105" spans="1:79" x14ac:dyDescent="0.25">
      <c r="BE105" s="87">
        <v>45048.3125</v>
      </c>
      <c r="BF105" s="118">
        <v>5.30868746243085E-2</v>
      </c>
      <c r="BG105" s="88">
        <v>84.891986889999998</v>
      </c>
      <c r="BH105" s="89">
        <v>5307</v>
      </c>
      <c r="BI105" s="90">
        <f t="shared" si="56"/>
        <v>88.45</v>
      </c>
      <c r="BJ105" s="91">
        <f t="shared" si="57"/>
        <v>4.695534060520087</v>
      </c>
      <c r="BK105" s="91">
        <f t="shared" si="58"/>
        <v>79.209584438192763</v>
      </c>
      <c r="BM105" s="93">
        <v>45050.3125</v>
      </c>
      <c r="BN105">
        <v>9.0428473747536806E-2</v>
      </c>
      <c r="BO105" s="95">
        <v>104.61473460000001</v>
      </c>
      <c r="BP105" s="4">
        <v>4351</v>
      </c>
      <c r="BQ105" s="95">
        <f t="shared" si="59"/>
        <v>72.516666666666666</v>
      </c>
      <c r="BR105" s="94">
        <f t="shared" si="60"/>
        <v>6.5575714879255438</v>
      </c>
      <c r="BS105" s="96">
        <f t="shared" si="61"/>
        <v>93.28518052938378</v>
      </c>
      <c r="BU105" s="10">
        <v>45051.572916666664</v>
      </c>
      <c r="BV105" s="119">
        <v>8.7326172761078805E-2</v>
      </c>
      <c r="BW105" s="21">
        <v>93.877037450000003</v>
      </c>
      <c r="BX105" s="120">
        <v>4346</v>
      </c>
      <c r="BY105" s="21">
        <f t="shared" si="62"/>
        <v>72.433333333333337</v>
      </c>
      <c r="BZ105" s="21">
        <f t="shared" si="63"/>
        <v>6.3253257803274749</v>
      </c>
      <c r="CA105" s="21">
        <f t="shared" si="64"/>
        <v>91.652409747644924</v>
      </c>
    </row>
    <row r="106" spans="1:79" x14ac:dyDescent="0.25">
      <c r="BE106" s="87">
        <v>45048.322916666664</v>
      </c>
      <c r="BF106" s="118">
        <v>5.1452142795135103E-2</v>
      </c>
      <c r="BG106" s="88">
        <v>84.460540300000005</v>
      </c>
      <c r="BH106" s="89">
        <v>5433</v>
      </c>
      <c r="BI106" s="90">
        <f t="shared" si="56"/>
        <v>90.55</v>
      </c>
      <c r="BJ106" s="91">
        <f t="shared" si="57"/>
        <v>4.6589915300994837</v>
      </c>
      <c r="BK106" s="91">
        <f t="shared" si="58"/>
        <v>78.907111612121881</v>
      </c>
      <c r="BM106" s="93">
        <v>45050.322916666664</v>
      </c>
      <c r="BN106">
        <v>9.0630886500395996E-2</v>
      </c>
      <c r="BO106" s="95">
        <v>107.8305381</v>
      </c>
      <c r="BP106" s="4">
        <v>4294</v>
      </c>
      <c r="BQ106" s="95">
        <f t="shared" si="59"/>
        <v>71.566666666666663</v>
      </c>
      <c r="BR106" s="94">
        <f t="shared" si="60"/>
        <v>6.4861504438783397</v>
      </c>
      <c r="BS106" s="96">
        <f t="shared" si="61"/>
        <v>92.786252654080201</v>
      </c>
      <c r="BU106" s="10">
        <v>45051.583333333336</v>
      </c>
      <c r="BV106" s="119">
        <v>8.4677768324801395E-2</v>
      </c>
      <c r="BW106" s="21">
        <v>95.145588619999998</v>
      </c>
      <c r="BX106" s="120">
        <v>4402</v>
      </c>
      <c r="BY106" s="21">
        <f t="shared" si="62"/>
        <v>73.36666666666666</v>
      </c>
      <c r="BZ106" s="21">
        <f t="shared" si="63"/>
        <v>6.2125256027629288</v>
      </c>
      <c r="CA106" s="21">
        <f t="shared" si="64"/>
        <v>90.848346252519647</v>
      </c>
    </row>
    <row r="107" spans="1:79" x14ac:dyDescent="0.25">
      <c r="BE107" s="87">
        <v>45048.333333333336</v>
      </c>
      <c r="BF107" s="118">
        <v>5.24608509325281E-2</v>
      </c>
      <c r="BG107" s="88">
        <v>82.711152870000006</v>
      </c>
      <c r="BH107" s="89">
        <v>5374</v>
      </c>
      <c r="BI107" s="90">
        <f t="shared" si="56"/>
        <v>89.566666666666663</v>
      </c>
      <c r="BJ107" s="91">
        <f t="shared" si="57"/>
        <v>4.6987435485234332</v>
      </c>
      <c r="BK107" s="91">
        <f t="shared" si="58"/>
        <v>79.236092799347745</v>
      </c>
      <c r="BM107" s="93">
        <v>45050.333333333336</v>
      </c>
      <c r="BN107">
        <v>8.1982963684330404E-2</v>
      </c>
      <c r="BO107" s="95">
        <v>99.304680700000006</v>
      </c>
      <c r="BP107" s="4">
        <v>4322</v>
      </c>
      <c r="BQ107" s="95">
        <f t="shared" si="59"/>
        <v>72.033333333333331</v>
      </c>
      <c r="BR107" s="94">
        <f t="shared" si="60"/>
        <v>5.9055061507279332</v>
      </c>
      <c r="BS107" s="96">
        <f t="shared" si="61"/>
        <v>88.621318548832164</v>
      </c>
      <c r="BU107" s="10">
        <v>45051.59375</v>
      </c>
      <c r="BV107" s="119">
        <v>8.5993454109461895E-2</v>
      </c>
      <c r="BW107" s="21">
        <v>100.9486689</v>
      </c>
      <c r="BX107" s="120">
        <v>4182</v>
      </c>
      <c r="BY107" s="21">
        <f t="shared" si="62"/>
        <v>69.7</v>
      </c>
      <c r="BZ107" s="21">
        <f t="shared" si="63"/>
        <v>5.993743751429494</v>
      </c>
      <c r="CA107" s="21">
        <f t="shared" si="64"/>
        <v>89.267297574637794</v>
      </c>
    </row>
    <row r="108" spans="1:79" x14ac:dyDescent="0.25">
      <c r="BE108" s="87">
        <v>45048.34375</v>
      </c>
      <c r="BF108" s="118">
        <v>5.1862546723748001E-2</v>
      </c>
      <c r="BG108" s="88">
        <v>89.635700749999998</v>
      </c>
      <c r="BH108" s="89">
        <v>5255</v>
      </c>
      <c r="BI108" s="90">
        <f t="shared" si="56"/>
        <v>87.583333333333329</v>
      </c>
      <c r="BJ108" s="91">
        <f t="shared" si="57"/>
        <v>4.5422947172215959</v>
      </c>
      <c r="BK108" s="91">
        <f t="shared" si="58"/>
        <v>77.93298510424863</v>
      </c>
      <c r="BM108" s="93">
        <v>45050.34375</v>
      </c>
      <c r="BN108">
        <v>0.10840110276242799</v>
      </c>
      <c r="BO108" s="95">
        <v>104.61473460000001</v>
      </c>
      <c r="BP108" s="4">
        <v>4452</v>
      </c>
      <c r="BQ108" s="95">
        <f t="shared" si="59"/>
        <v>74.2</v>
      </c>
      <c r="BR108" s="94">
        <f t="shared" si="60"/>
        <v>8.0433618249721572</v>
      </c>
      <c r="BS108" s="96">
        <f t="shared" si="61"/>
        <v>103.09708548977393</v>
      </c>
      <c r="BU108" s="10">
        <v>45051.604166666664</v>
      </c>
      <c r="BV108" s="119">
        <v>9.3749502028178403E-2</v>
      </c>
      <c r="BW108" s="21">
        <v>94.302932269999999</v>
      </c>
      <c r="BX108" s="120">
        <v>4306</v>
      </c>
      <c r="BY108" s="21">
        <f t="shared" si="62"/>
        <v>71.766666666666666</v>
      </c>
      <c r="BZ108" s="21">
        <f t="shared" si="63"/>
        <v>6.7280892622222703</v>
      </c>
      <c r="CA108" s="21">
        <f t="shared" si="64"/>
        <v>94.465272140632621</v>
      </c>
    </row>
    <row r="109" spans="1:79" x14ac:dyDescent="0.25">
      <c r="BE109" s="87">
        <v>45048.354166666664</v>
      </c>
      <c r="BF109" s="118">
        <v>5.5612827761979899E-2</v>
      </c>
      <c r="BG109" s="88">
        <v>85.762083380000007</v>
      </c>
      <c r="BH109" s="89">
        <v>5260</v>
      </c>
      <c r="BI109" s="90">
        <f t="shared" si="56"/>
        <v>87.666666666666671</v>
      </c>
      <c r="BJ109" s="91">
        <f t="shared" si="57"/>
        <v>4.8753912338002383</v>
      </c>
      <c r="BK109" s="91">
        <f t="shared" si="58"/>
        <v>80.681103801374221</v>
      </c>
      <c r="BM109" s="93">
        <v>45050.354166666664</v>
      </c>
      <c r="BN109">
        <v>9.0123021108230505E-2</v>
      </c>
      <c r="BO109" s="95">
        <v>104.61473460000001</v>
      </c>
      <c r="BP109" s="4">
        <v>4302</v>
      </c>
      <c r="BQ109" s="95">
        <f t="shared" si="59"/>
        <v>71.7</v>
      </c>
      <c r="BR109" s="94">
        <f t="shared" si="60"/>
        <v>6.4618206134601275</v>
      </c>
      <c r="BS109" s="96">
        <f t="shared" si="61"/>
        <v>92.615651468621266</v>
      </c>
      <c r="BU109" s="10">
        <v>45051.614583333336</v>
      </c>
      <c r="BV109" s="119">
        <v>9.5308349752074195E-2</v>
      </c>
      <c r="BW109" s="21">
        <v>100.5402337</v>
      </c>
      <c r="BX109" s="120">
        <v>4157</v>
      </c>
      <c r="BY109" s="21">
        <f t="shared" si="62"/>
        <v>69.283333333333331</v>
      </c>
      <c r="BZ109" s="21">
        <f t="shared" si="63"/>
        <v>6.6032801653228734</v>
      </c>
      <c r="CA109" s="21">
        <f t="shared" si="64"/>
        <v>93.603034769550433</v>
      </c>
    </row>
    <row r="110" spans="1:79" x14ac:dyDescent="0.25">
      <c r="BE110" s="87">
        <v>45048.364583333336</v>
      </c>
      <c r="BF110" s="118">
        <v>5.1439440075826598E-2</v>
      </c>
      <c r="BG110" s="88">
        <v>85.762083380000007</v>
      </c>
      <c r="BH110" s="89">
        <v>5466</v>
      </c>
      <c r="BI110" s="90">
        <f t="shared" si="56"/>
        <v>91.1</v>
      </c>
      <c r="BJ110" s="91">
        <f t="shared" si="57"/>
        <v>4.6861329909078027</v>
      </c>
      <c r="BK110" s="91">
        <f t="shared" si="58"/>
        <v>79.131884238344639</v>
      </c>
      <c r="BM110" s="93">
        <v>45050.364583333336</v>
      </c>
      <c r="BN110">
        <v>9.1623062079236303E-2</v>
      </c>
      <c r="BO110" s="95">
        <v>102.5822131</v>
      </c>
      <c r="BP110" s="4">
        <v>4151</v>
      </c>
      <c r="BQ110" s="95">
        <f t="shared" si="59"/>
        <v>69.183333333333337</v>
      </c>
      <c r="BR110" s="94">
        <f t="shared" si="60"/>
        <v>6.3387888448484988</v>
      </c>
      <c r="BS110" s="96">
        <f t="shared" si="61"/>
        <v>91.747886877796134</v>
      </c>
      <c r="BU110" s="10">
        <v>45051.625</v>
      </c>
      <c r="BV110" s="119">
        <v>0.101556584702909</v>
      </c>
      <c r="BW110" s="21">
        <v>98.474887140000007</v>
      </c>
      <c r="BX110" s="120">
        <v>4113</v>
      </c>
      <c r="BY110" s="21">
        <f t="shared" si="62"/>
        <v>68.55</v>
      </c>
      <c r="BZ110" s="21">
        <f t="shared" si="63"/>
        <v>6.9617038813844117</v>
      </c>
      <c r="CA110" s="21">
        <f t="shared" si="64"/>
        <v>96.057525729159664</v>
      </c>
    </row>
    <row r="111" spans="1:79" x14ac:dyDescent="0.25">
      <c r="BE111" s="87">
        <v>45048.375</v>
      </c>
      <c r="BF111" s="118">
        <v>5.0628859018793902E-2</v>
      </c>
      <c r="BG111" s="88">
        <v>84.891986889999998</v>
      </c>
      <c r="BH111" s="89">
        <v>5577</v>
      </c>
      <c r="BI111" s="90">
        <f t="shared" si="56"/>
        <v>92.95</v>
      </c>
      <c r="BJ111" s="91">
        <f t="shared" si="57"/>
        <v>4.7059524457968935</v>
      </c>
      <c r="BK111" s="91">
        <f t="shared" si="58"/>
        <v>79.295600112456114</v>
      </c>
      <c r="BM111" s="93">
        <v>45050.375</v>
      </c>
      <c r="BN111">
        <v>9.8267797204274795E-2</v>
      </c>
      <c r="BO111" s="95">
        <v>110.9974619</v>
      </c>
      <c r="BP111" s="4">
        <v>4257</v>
      </c>
      <c r="BQ111" s="95">
        <f t="shared" si="59"/>
        <v>70.95</v>
      </c>
      <c r="BR111" s="94">
        <f t="shared" si="60"/>
        <v>6.9721002116432969</v>
      </c>
      <c r="BS111" s="96">
        <f t="shared" si="61"/>
        <v>96.127745698223791</v>
      </c>
      <c r="BU111" s="10">
        <v>45051.635416666664</v>
      </c>
      <c r="BV111" s="119">
        <v>9.5629567103093394E-2</v>
      </c>
      <c r="BW111" s="21">
        <v>102.5822131</v>
      </c>
      <c r="BX111" s="120">
        <v>4035</v>
      </c>
      <c r="BY111" s="21">
        <f t="shared" si="62"/>
        <v>67.25</v>
      </c>
      <c r="BZ111" s="21">
        <f t="shared" si="63"/>
        <v>6.4310883876830305</v>
      </c>
      <c r="CA111" s="21">
        <f t="shared" si="64"/>
        <v>92.399687369307429</v>
      </c>
    </row>
    <row r="112" spans="1:79" x14ac:dyDescent="0.25">
      <c r="BE112" s="87">
        <v>45048.385416666664</v>
      </c>
      <c r="BF112" s="118">
        <v>5.4818753031814597E-2</v>
      </c>
      <c r="BG112" s="88">
        <v>85.762083380000007</v>
      </c>
      <c r="BH112" s="89">
        <v>5382</v>
      </c>
      <c r="BI112" s="90">
        <f t="shared" si="56"/>
        <v>89.7</v>
      </c>
      <c r="BJ112" s="91">
        <f t="shared" si="57"/>
        <v>4.9172421469537699</v>
      </c>
      <c r="BK112" s="91">
        <f t="shared" si="58"/>
        <v>81.01951852367381</v>
      </c>
      <c r="BM112" s="93">
        <v>45050.385416666664</v>
      </c>
      <c r="BN112">
        <v>0.103553459345354</v>
      </c>
      <c r="BO112" s="95">
        <v>105.0166174</v>
      </c>
      <c r="BP112" s="4">
        <v>4233</v>
      </c>
      <c r="BQ112" s="95">
        <f t="shared" si="59"/>
        <v>70.55</v>
      </c>
      <c r="BR112" s="94">
        <f t="shared" si="60"/>
        <v>7.3056965568147243</v>
      </c>
      <c r="BS112" s="96">
        <f t="shared" si="61"/>
        <v>98.353244881638545</v>
      </c>
      <c r="BU112" s="10">
        <v>45051.645833333336</v>
      </c>
      <c r="BV112" s="119">
        <v>9.9131303623412201E-2</v>
      </c>
      <c r="BW112" s="21">
        <v>101.7628931</v>
      </c>
      <c r="BX112" s="120">
        <v>4009</v>
      </c>
      <c r="BY112" s="21">
        <f t="shared" si="62"/>
        <v>66.816666666666663</v>
      </c>
      <c r="BZ112" s="21">
        <f t="shared" si="63"/>
        <v>6.6236232704376583</v>
      </c>
      <c r="CA112" s="21">
        <f t="shared" si="64"/>
        <v>93.74413787365657</v>
      </c>
    </row>
    <row r="113" spans="57:79" x14ac:dyDescent="0.25">
      <c r="BE113" s="87">
        <v>45048.395833333336</v>
      </c>
      <c r="BF113" s="118">
        <v>5.4934018789501299E-2</v>
      </c>
      <c r="BG113" s="88">
        <v>80.079324720000002</v>
      </c>
      <c r="BH113" s="89">
        <v>5405</v>
      </c>
      <c r="BI113" s="90">
        <f t="shared" si="56"/>
        <v>90.083333333333329</v>
      </c>
      <c r="BJ113" s="91">
        <f t="shared" si="57"/>
        <v>4.9486395259542419</v>
      </c>
      <c r="BK113" s="91">
        <f t="shared" si="58"/>
        <v>81.272440002759069</v>
      </c>
      <c r="BM113" s="93">
        <v>45050.395833333336</v>
      </c>
      <c r="BN113">
        <v>0.113614545657773</v>
      </c>
      <c r="BO113" s="95">
        <v>98.474887140000007</v>
      </c>
      <c r="BP113" s="4">
        <v>4309</v>
      </c>
      <c r="BQ113" s="95">
        <f t="shared" si="59"/>
        <v>71.816666666666663</v>
      </c>
      <c r="BR113" s="94">
        <f t="shared" si="60"/>
        <v>8.1594179539890632</v>
      </c>
      <c r="BS113" s="96">
        <f t="shared" si="61"/>
        <v>103.82288506491871</v>
      </c>
      <c r="BU113" s="10">
        <v>45051.65625</v>
      </c>
      <c r="BV113" s="119">
        <v>8.8792187764938094E-2</v>
      </c>
      <c r="BW113" s="21">
        <v>93.031286489999999</v>
      </c>
      <c r="BX113" s="120">
        <v>4050</v>
      </c>
      <c r="BY113" s="21">
        <f t="shared" si="62"/>
        <v>67.5</v>
      </c>
      <c r="BZ113" s="21">
        <f t="shared" si="63"/>
        <v>5.9934726741333213</v>
      </c>
      <c r="CA113" s="21">
        <f t="shared" si="64"/>
        <v>89.265320502678847</v>
      </c>
    </row>
    <row r="114" spans="57:79" x14ac:dyDescent="0.25">
      <c r="BE114" s="87">
        <v>45048.40625</v>
      </c>
      <c r="BF114" s="118">
        <v>5.1164934580226099E-2</v>
      </c>
      <c r="BG114" s="88">
        <v>85.762083380000007</v>
      </c>
      <c r="BH114" s="89">
        <v>5414</v>
      </c>
      <c r="BI114" s="90">
        <f t="shared" si="56"/>
        <v>90.233333333333334</v>
      </c>
      <c r="BJ114" s="91">
        <f t="shared" si="57"/>
        <v>4.6167825969557352</v>
      </c>
      <c r="BK114" s="91">
        <f t="shared" si="58"/>
        <v>78.556225608728454</v>
      </c>
      <c r="BM114" s="93">
        <v>45050.40625</v>
      </c>
      <c r="BN114">
        <v>0.106232057385132</v>
      </c>
      <c r="BO114" s="95">
        <v>102.5822131</v>
      </c>
      <c r="BP114" s="4">
        <v>4171</v>
      </c>
      <c r="BQ114" s="95">
        <f t="shared" si="59"/>
        <v>69.516666666666666</v>
      </c>
      <c r="BR114" s="94">
        <f t="shared" si="60"/>
        <v>7.3848985225564263</v>
      </c>
      <c r="BS114" s="96">
        <f t="shared" si="61"/>
        <v>98.873955801959596</v>
      </c>
      <c r="BU114" s="10">
        <v>45051.666666666664</v>
      </c>
      <c r="BV114" s="119">
        <v>8.6979309118384501E-2</v>
      </c>
      <c r="BW114" s="21">
        <v>99.297599469999994</v>
      </c>
      <c r="BX114" s="120">
        <v>4341</v>
      </c>
      <c r="BY114" s="21">
        <f t="shared" si="62"/>
        <v>72.349999999999994</v>
      </c>
      <c r="BZ114" s="21">
        <f t="shared" si="63"/>
        <v>6.2929530147151178</v>
      </c>
      <c r="CA114" s="21">
        <f t="shared" si="64"/>
        <v>91.422403775360976</v>
      </c>
    </row>
    <row r="115" spans="57:79" x14ac:dyDescent="0.25">
      <c r="BE115" s="87">
        <v>45048.416666666664</v>
      </c>
      <c r="BF115" s="118">
        <v>5.2012477238863403E-2</v>
      </c>
      <c r="BG115" s="88">
        <v>84.899432570000002</v>
      </c>
      <c r="BH115" s="89">
        <v>5593</v>
      </c>
      <c r="BI115" s="90">
        <f t="shared" si="56"/>
        <v>93.216666666666669</v>
      </c>
      <c r="BJ115" s="91">
        <f t="shared" si="57"/>
        <v>4.8484297532827165</v>
      </c>
      <c r="BK115" s="91">
        <f t="shared" si="58"/>
        <v>80.462302313523097</v>
      </c>
      <c r="BM115" s="93">
        <v>45050.416666666664</v>
      </c>
      <c r="BN115">
        <v>0.12891581735454399</v>
      </c>
      <c r="BO115" s="95">
        <v>98.062569339999996</v>
      </c>
      <c r="BP115" s="4">
        <v>4272</v>
      </c>
      <c r="BQ115" s="95">
        <f t="shared" si="59"/>
        <v>71.2</v>
      </c>
      <c r="BR115" s="94">
        <f t="shared" si="60"/>
        <v>9.1788061956435332</v>
      </c>
      <c r="BS115" s="96">
        <f t="shared" si="61"/>
        <v>109.984122680624</v>
      </c>
      <c r="BU115" s="10">
        <v>45051.677083333336</v>
      </c>
      <c r="BV115" s="119">
        <v>9.7802646867415605E-2</v>
      </c>
      <c r="BW115" s="21">
        <v>106.2245245</v>
      </c>
      <c r="BX115" s="120">
        <v>4038</v>
      </c>
      <c r="BY115" s="21">
        <f t="shared" si="62"/>
        <v>67.3</v>
      </c>
      <c r="BZ115" s="21">
        <f t="shared" si="63"/>
        <v>6.5821181341770698</v>
      </c>
      <c r="CA115" s="21">
        <f t="shared" si="64"/>
        <v>93.45601585593019</v>
      </c>
    </row>
    <row r="116" spans="57:79" x14ac:dyDescent="0.25">
      <c r="BE116" s="87">
        <v>45048.427083333336</v>
      </c>
      <c r="BF116" s="118">
        <v>5.1642894563737003E-2</v>
      </c>
      <c r="BG116" s="88">
        <v>83.594462070000006</v>
      </c>
      <c r="BH116" s="89">
        <v>5581</v>
      </c>
      <c r="BI116" s="90">
        <f t="shared" si="56"/>
        <v>93.016666666666666</v>
      </c>
      <c r="BJ116" s="91">
        <f t="shared" si="57"/>
        <v>4.8036499093369365</v>
      </c>
      <c r="BK116" s="91">
        <f t="shared" si="58"/>
        <v>80.097522299310597</v>
      </c>
      <c r="BM116" s="93">
        <v>45050.427083333336</v>
      </c>
      <c r="BN116">
        <v>0.108102418389966</v>
      </c>
      <c r="BO116" s="95">
        <v>98.474887140000007</v>
      </c>
      <c r="BP116" s="4">
        <v>4370</v>
      </c>
      <c r="BQ116" s="95">
        <f t="shared" si="59"/>
        <v>72.833333333333329</v>
      </c>
      <c r="BR116" s="94">
        <f t="shared" si="60"/>
        <v>7.8734594727358562</v>
      </c>
      <c r="BS116" s="96">
        <f t="shared" si="61"/>
        <v>102.02483127705305</v>
      </c>
      <c r="BU116" s="10">
        <v>45051.6875</v>
      </c>
      <c r="BV116" s="119">
        <v>8.6988061713861198E-2</v>
      </c>
      <c r="BW116" s="21">
        <v>100.9486689</v>
      </c>
      <c r="BX116" s="120">
        <v>4245</v>
      </c>
      <c r="BY116" s="21">
        <f t="shared" si="62"/>
        <v>70.75</v>
      </c>
      <c r="BZ116" s="21">
        <f t="shared" si="63"/>
        <v>6.1544053662556797</v>
      </c>
      <c r="CA116" s="21">
        <f t="shared" si="64"/>
        <v>90.431144002205158</v>
      </c>
    </row>
    <row r="117" spans="57:79" x14ac:dyDescent="0.25">
      <c r="BE117" s="87">
        <v>45048.4375</v>
      </c>
      <c r="BF117" s="118">
        <v>4.7470607976759303E-2</v>
      </c>
      <c r="BG117" s="88">
        <v>80.086877509999994</v>
      </c>
      <c r="BH117" s="89">
        <v>5493</v>
      </c>
      <c r="BI117" s="90">
        <f t="shared" si="56"/>
        <v>91.55</v>
      </c>
      <c r="BJ117" s="91">
        <f t="shared" si="57"/>
        <v>4.3459341602723143</v>
      </c>
      <c r="BK117" s="91">
        <f t="shared" si="58"/>
        <v>76.264584343618679</v>
      </c>
      <c r="BM117" s="93">
        <v>45050.4375</v>
      </c>
      <c r="BN117">
        <v>9.4704927853071497E-2</v>
      </c>
      <c r="BO117" s="95">
        <v>98.474887140000007</v>
      </c>
      <c r="BP117" s="4">
        <v>4329</v>
      </c>
      <c r="BQ117" s="95">
        <f t="shared" si="59"/>
        <v>72.150000000000006</v>
      </c>
      <c r="BR117" s="94">
        <f t="shared" si="60"/>
        <v>6.8329605445991088</v>
      </c>
      <c r="BS117" s="96">
        <f t="shared" si="61"/>
        <v>95.183479650137087</v>
      </c>
      <c r="BU117" s="10">
        <v>45051.697916666664</v>
      </c>
      <c r="BV117" s="119">
        <v>9.8249438117006802E-2</v>
      </c>
      <c r="BW117" s="21">
        <v>105.0166174</v>
      </c>
      <c r="BX117" s="120">
        <v>4150</v>
      </c>
      <c r="BY117" s="21">
        <f t="shared" si="62"/>
        <v>69.166666666666671</v>
      </c>
      <c r="BZ117" s="21">
        <f t="shared" si="63"/>
        <v>6.7955861364263042</v>
      </c>
      <c r="CA117" s="21">
        <f t="shared" si="64"/>
        <v>94.928171638108026</v>
      </c>
    </row>
    <row r="118" spans="57:79" x14ac:dyDescent="0.25">
      <c r="BE118" s="87">
        <v>45048.447916666664</v>
      </c>
      <c r="BF118" s="118">
        <v>5.0984201612623202E-2</v>
      </c>
      <c r="BG118" s="88">
        <v>85.762083380000007</v>
      </c>
      <c r="BH118" s="89">
        <v>5709</v>
      </c>
      <c r="BI118" s="90">
        <f t="shared" si="56"/>
        <v>95.15</v>
      </c>
      <c r="BJ118" s="91">
        <f t="shared" si="57"/>
        <v>4.8511467834410977</v>
      </c>
      <c r="BK118" s="91">
        <f t="shared" si="58"/>
        <v>80.484380013445275</v>
      </c>
      <c r="BM118" s="93">
        <v>45050.447916666664</v>
      </c>
      <c r="BN118">
        <v>0.113167073270188</v>
      </c>
      <c r="BO118" s="95">
        <v>93.038532979999999</v>
      </c>
      <c r="BP118" s="4">
        <v>4505</v>
      </c>
      <c r="BQ118" s="95">
        <f t="shared" si="59"/>
        <v>75.083333333333329</v>
      </c>
      <c r="BR118" s="94">
        <f t="shared" si="60"/>
        <v>8.4969610847032815</v>
      </c>
      <c r="BS118" s="96">
        <f t="shared" si="61"/>
        <v>105.90439703700785</v>
      </c>
      <c r="BU118" s="10">
        <v>45051.708333333336</v>
      </c>
      <c r="BV118" s="119">
        <v>8.84290778653333E-2</v>
      </c>
      <c r="BW118" s="21">
        <v>106.2245245</v>
      </c>
      <c r="BX118" s="120">
        <v>4300</v>
      </c>
      <c r="BY118" s="21">
        <f t="shared" si="62"/>
        <v>71.666666666666671</v>
      </c>
      <c r="BZ118" s="21">
        <f t="shared" si="63"/>
        <v>6.3374172470155532</v>
      </c>
      <c r="CA118" s="21">
        <f t="shared" si="64"/>
        <v>91.738164541057742</v>
      </c>
    </row>
    <row r="119" spans="57:79" x14ac:dyDescent="0.25">
      <c r="BE119" s="87">
        <v>45048.458333333336</v>
      </c>
      <c r="BF119" s="118">
        <v>5.2852456913476203E-2</v>
      </c>
      <c r="BG119" s="88">
        <v>80.086877509999994</v>
      </c>
      <c r="BH119" s="89">
        <v>5348</v>
      </c>
      <c r="BI119" s="90">
        <f t="shared" si="56"/>
        <v>89.13333333333334</v>
      </c>
      <c r="BJ119" s="91">
        <f t="shared" si="57"/>
        <v>4.7109156595545123</v>
      </c>
      <c r="BK119" s="91">
        <f t="shared" si="58"/>
        <v>79.336542938701925</v>
      </c>
      <c r="BM119" s="93">
        <v>45050.458333333336</v>
      </c>
      <c r="BN119">
        <v>0.104938191369287</v>
      </c>
      <c r="BO119" s="95">
        <v>91.767774239999994</v>
      </c>
      <c r="BP119" s="4">
        <v>4385</v>
      </c>
      <c r="BQ119" s="95">
        <f t="shared" si="59"/>
        <v>73.083333333333329</v>
      </c>
      <c r="BR119" s="94">
        <f t="shared" si="60"/>
        <v>7.6692328192387249</v>
      </c>
      <c r="BS119" s="96">
        <f t="shared" si="61"/>
        <v>100.72020683221007</v>
      </c>
      <c r="BU119" s="10">
        <v>45051.71875</v>
      </c>
      <c r="BV119" s="119">
        <v>9.37431742491526E-2</v>
      </c>
      <c r="BW119" s="21">
        <v>102.9873886</v>
      </c>
      <c r="BX119" s="120">
        <v>4354</v>
      </c>
      <c r="BY119" s="21">
        <f t="shared" si="62"/>
        <v>72.566666666666663</v>
      </c>
      <c r="BZ119" s="21">
        <f t="shared" si="63"/>
        <v>6.8026296780135063</v>
      </c>
      <c r="CA119" s="21">
        <f t="shared" si="64"/>
        <v>94.976341408145316</v>
      </c>
    </row>
    <row r="120" spans="57:79" x14ac:dyDescent="0.25">
      <c r="BE120" s="87">
        <v>45048.46875</v>
      </c>
      <c r="BF120" s="118">
        <v>4.71338565388797E-2</v>
      </c>
      <c r="BG120" s="88">
        <v>81.405228940000001</v>
      </c>
      <c r="BH120" s="89">
        <v>5689</v>
      </c>
      <c r="BI120" s="90">
        <f t="shared" si="56"/>
        <v>94.816666666666663</v>
      </c>
      <c r="BJ120" s="91">
        <f t="shared" si="57"/>
        <v>4.4690751641614437</v>
      </c>
      <c r="BK120" s="91">
        <f t="shared" si="58"/>
        <v>77.315252809523471</v>
      </c>
      <c r="BM120" s="93">
        <v>45050.46875</v>
      </c>
      <c r="BN120">
        <v>0.11162682553245599</v>
      </c>
      <c r="BO120" s="95">
        <v>96.393321510000007</v>
      </c>
      <c r="BP120" s="4">
        <v>4021</v>
      </c>
      <c r="BQ120" s="95">
        <f t="shared" si="59"/>
        <v>67.016666666666666</v>
      </c>
      <c r="BR120" s="94">
        <f t="shared" si="60"/>
        <v>7.480857757766759</v>
      </c>
      <c r="BS120" s="96">
        <f t="shared" si="61"/>
        <v>99.501033529171536</v>
      </c>
      <c r="BU120" s="10">
        <v>45051.729166666664</v>
      </c>
      <c r="BV120" s="119">
        <v>8.6727902713294197E-2</v>
      </c>
      <c r="BW120" s="21">
        <v>98.474887140000007</v>
      </c>
      <c r="BX120" s="120">
        <v>4383</v>
      </c>
      <c r="BY120" s="21">
        <f t="shared" si="62"/>
        <v>73.05</v>
      </c>
      <c r="BZ120" s="21">
        <f t="shared" si="63"/>
        <v>6.3354732932061406</v>
      </c>
      <c r="CA120" s="21">
        <f t="shared" si="64"/>
        <v>91.724383317280882</v>
      </c>
    </row>
    <row r="121" spans="57:79" x14ac:dyDescent="0.25">
      <c r="BE121" s="87">
        <v>45048.479166666664</v>
      </c>
      <c r="BF121" s="118">
        <v>4.7450664346863299E-2</v>
      </c>
      <c r="BG121" s="88">
        <v>79.202259850000004</v>
      </c>
      <c r="BH121" s="89">
        <v>5624</v>
      </c>
      <c r="BI121" s="90">
        <f t="shared" si="56"/>
        <v>93.733333333333334</v>
      </c>
      <c r="BJ121" s="91">
        <f t="shared" si="57"/>
        <v>4.4477089381126529</v>
      </c>
      <c r="BK121" s="91">
        <f t="shared" si="58"/>
        <v>77.134020271730336</v>
      </c>
      <c r="BM121" s="93">
        <v>45050.479166666664</v>
      </c>
      <c r="BN121">
        <v>0.102574623968425</v>
      </c>
      <c r="BO121" s="95">
        <v>105.0166174</v>
      </c>
      <c r="BP121" s="4">
        <v>3984</v>
      </c>
      <c r="BQ121" s="95">
        <f t="shared" si="59"/>
        <v>66.400000000000006</v>
      </c>
      <c r="BR121" s="94">
        <f t="shared" si="60"/>
        <v>6.8109550315034202</v>
      </c>
      <c r="BS121" s="96">
        <f t="shared" si="61"/>
        <v>95.033244496914804</v>
      </c>
      <c r="BV121" s="119"/>
      <c r="BW121" s="21"/>
      <c r="BX121" s="120"/>
      <c r="BY121" s="6"/>
      <c r="BZ121" s="6"/>
    </row>
    <row r="122" spans="57:79" x14ac:dyDescent="0.25">
      <c r="BE122" s="87">
        <v>45048.489583333336</v>
      </c>
      <c r="BF122" s="118">
        <v>5.28821263052296E-2</v>
      </c>
      <c r="BG122" s="88">
        <v>81.405228940000001</v>
      </c>
      <c r="BH122" s="89">
        <v>5537</v>
      </c>
      <c r="BI122" s="90">
        <f t="shared" si="56"/>
        <v>92.283333333333331</v>
      </c>
      <c r="BJ122" s="91">
        <f t="shared" si="57"/>
        <v>4.8801388892009383</v>
      </c>
      <c r="BK122" s="91">
        <f t="shared" si="58"/>
        <v>80.719568628470725</v>
      </c>
      <c r="BM122" s="93">
        <v>45050.489583333336</v>
      </c>
      <c r="BN122">
        <v>0.101857424690474</v>
      </c>
      <c r="BO122" s="95">
        <v>108.2271172</v>
      </c>
      <c r="BP122" s="4">
        <v>3937</v>
      </c>
      <c r="BQ122" s="95">
        <f t="shared" si="59"/>
        <v>65.61666666666666</v>
      </c>
      <c r="BR122" s="94">
        <f t="shared" si="60"/>
        <v>6.6835446834399352</v>
      </c>
      <c r="BS122" s="96">
        <f t="shared" si="61"/>
        <v>94.158482374515629</v>
      </c>
    </row>
    <row r="123" spans="57:79" x14ac:dyDescent="0.25">
      <c r="BE123" s="87">
        <v>45048.5</v>
      </c>
      <c r="BF123" s="118">
        <v>5.2597535017687803E-2</v>
      </c>
      <c r="BG123" s="88">
        <v>83.594462070000006</v>
      </c>
      <c r="BH123" s="89">
        <v>5520</v>
      </c>
      <c r="BI123" s="90">
        <f t="shared" si="56"/>
        <v>92</v>
      </c>
      <c r="BJ123" s="91">
        <f t="shared" si="57"/>
        <v>4.8389732216272776</v>
      </c>
      <c r="BK123" s="91">
        <f t="shared" si="58"/>
        <v>80.3854123564292</v>
      </c>
      <c r="BM123" s="93">
        <v>45050.5</v>
      </c>
      <c r="BN123">
        <v>0.12005836434482201</v>
      </c>
      <c r="BO123" s="95">
        <v>97.229596529999995</v>
      </c>
      <c r="BP123" s="4">
        <v>4111</v>
      </c>
      <c r="BQ123" s="95">
        <f t="shared" si="59"/>
        <v>68.516666666666666</v>
      </c>
      <c r="BR123" s="94">
        <f t="shared" si="60"/>
        <v>8.2259989303593883</v>
      </c>
      <c r="BS123" s="96">
        <f t="shared" si="61"/>
        <v>104.23689686956476</v>
      </c>
    </row>
    <row r="124" spans="57:79" x14ac:dyDescent="0.25">
      <c r="BE124" s="87">
        <v>45048.510416666664</v>
      </c>
      <c r="BF124" s="118">
        <v>4.8439824009424801E-2</v>
      </c>
      <c r="BG124" s="88">
        <v>83.586986100000004</v>
      </c>
      <c r="BH124" s="89">
        <v>5539</v>
      </c>
      <c r="BI124" s="90">
        <f t="shared" si="56"/>
        <v>92.316666666666663</v>
      </c>
      <c r="BJ124" s="91">
        <f t="shared" si="57"/>
        <v>4.4718030864700662</v>
      </c>
      <c r="BK124" s="91">
        <f t="shared" si="58"/>
        <v>77.338359726276551</v>
      </c>
      <c r="BM124" s="78"/>
      <c r="BN124" s="5"/>
      <c r="BO124" s="6"/>
      <c r="BP124" s="2"/>
      <c r="BQ124" s="6"/>
      <c r="BR124" s="5"/>
      <c r="BS124" s="7"/>
    </row>
    <row r="125" spans="57:79" x14ac:dyDescent="0.25">
      <c r="BE125" s="87">
        <v>45048.520833333336</v>
      </c>
      <c r="BF125" s="118">
        <v>5.11684831207187E-2</v>
      </c>
      <c r="BG125" s="88">
        <v>84.020316870000002</v>
      </c>
      <c r="BH125" s="89">
        <v>5684</v>
      </c>
      <c r="BI125" s="90">
        <f t="shared" si="56"/>
        <v>94.733333333333334</v>
      </c>
      <c r="BJ125" s="91">
        <f t="shared" si="57"/>
        <v>4.8473609676360851</v>
      </c>
      <c r="BK125" s="91">
        <f t="shared" si="58"/>
        <v>80.453615980148953</v>
      </c>
      <c r="BM125" s="78"/>
      <c r="BN125" s="5"/>
      <c r="BO125" s="6"/>
      <c r="BP125" s="2"/>
      <c r="BQ125" s="6"/>
      <c r="BR125" s="5"/>
      <c r="BS125" s="7"/>
    </row>
    <row r="126" spans="57:79" x14ac:dyDescent="0.25">
      <c r="BE126" s="87">
        <v>45048.53125</v>
      </c>
      <c r="BF126" s="118">
        <v>4.97860169284772E-2</v>
      </c>
      <c r="BG126" s="88">
        <v>80.079324720000002</v>
      </c>
      <c r="BH126" s="89">
        <v>5674</v>
      </c>
      <c r="BI126" s="90">
        <f t="shared" si="56"/>
        <v>94.566666666666663</v>
      </c>
      <c r="BJ126" s="91">
        <f t="shared" si="57"/>
        <v>4.7080976675363271</v>
      </c>
      <c r="BK126" s="91">
        <f t="shared" si="58"/>
        <v>79.313299300559237</v>
      </c>
      <c r="BM126" s="78"/>
      <c r="BN126" s="5"/>
      <c r="BO126" s="6"/>
      <c r="BP126" s="2"/>
      <c r="BQ126" s="6"/>
      <c r="BR126" s="5"/>
      <c r="BS126" s="7"/>
    </row>
    <row r="127" spans="57:79" x14ac:dyDescent="0.25">
      <c r="BE127" s="87">
        <v>45048.541666666664</v>
      </c>
      <c r="BF127" s="118">
        <v>5.47595170124235E-2</v>
      </c>
      <c r="BG127" s="88">
        <v>81.397704649999994</v>
      </c>
      <c r="BH127" s="89">
        <v>5399</v>
      </c>
      <c r="BI127" s="90">
        <f t="shared" si="56"/>
        <v>89.983333333333334</v>
      </c>
      <c r="BJ127" s="91">
        <f t="shared" si="57"/>
        <v>4.9274438725012413</v>
      </c>
      <c r="BK127" s="91">
        <f t="shared" si="58"/>
        <v>81.101788635018096</v>
      </c>
      <c r="BM127" s="78"/>
      <c r="BN127" s="5"/>
      <c r="BO127" s="6"/>
      <c r="BP127" s="2"/>
      <c r="BQ127" s="6"/>
      <c r="BR127" s="5"/>
      <c r="BS127" s="7"/>
    </row>
    <row r="128" spans="57:79" x14ac:dyDescent="0.25">
      <c r="BE128" s="87">
        <v>45048.552083333336</v>
      </c>
      <c r="BF128" s="118">
        <v>5.0295307715652299E-2</v>
      </c>
      <c r="BG128" s="88">
        <v>85.762083380000007</v>
      </c>
      <c r="BH128" s="89">
        <v>5201</v>
      </c>
      <c r="BI128" s="90">
        <f t="shared" si="56"/>
        <v>86.683333333333337</v>
      </c>
      <c r="BJ128" s="91">
        <f t="shared" si="57"/>
        <v>4.3597649238184601</v>
      </c>
      <c r="BK128" s="91">
        <f t="shared" si="58"/>
        <v>76.383342595868754</v>
      </c>
      <c r="BM128" s="78"/>
      <c r="BN128" s="5"/>
      <c r="BO128" s="6"/>
      <c r="BP128" s="2"/>
      <c r="BQ128" s="6"/>
      <c r="BR128" s="5"/>
      <c r="BS128" s="7"/>
    </row>
    <row r="129" spans="57:71" x14ac:dyDescent="0.25">
      <c r="BE129" s="87">
        <v>45048.5625</v>
      </c>
      <c r="BF129" s="118">
        <v>5.3640870823044799E-2</v>
      </c>
      <c r="BG129" s="88">
        <v>81.405228940000001</v>
      </c>
      <c r="BH129" s="89">
        <v>5386</v>
      </c>
      <c r="BI129" s="90">
        <f t="shared" si="56"/>
        <v>89.766666666666666</v>
      </c>
      <c r="BJ129" s="91">
        <f t="shared" si="57"/>
        <v>4.8151621708819885</v>
      </c>
      <c r="BK129" s="91">
        <f t="shared" si="58"/>
        <v>80.19146718886941</v>
      </c>
      <c r="BM129" s="78"/>
      <c r="BN129" s="5"/>
      <c r="BO129" s="6"/>
      <c r="BP129" s="2"/>
      <c r="BQ129" s="6"/>
      <c r="BR129" s="5"/>
      <c r="BS129" s="7"/>
    </row>
    <row r="130" spans="57:71" x14ac:dyDescent="0.25">
      <c r="BE130" s="87">
        <v>45048.572916666664</v>
      </c>
      <c r="BF130" s="118">
        <v>5.2532194654259498E-2</v>
      </c>
      <c r="BG130" s="88">
        <v>81.405228940000001</v>
      </c>
      <c r="BH130" s="89">
        <v>5515</v>
      </c>
      <c r="BI130" s="90">
        <f t="shared" si="56"/>
        <v>91.916666666666671</v>
      </c>
      <c r="BJ130" s="91">
        <f t="shared" si="57"/>
        <v>4.8285842253040192</v>
      </c>
      <c r="BK130" s="91">
        <f t="shared" si="58"/>
        <v>80.300852192324996</v>
      </c>
      <c r="BM130" s="78"/>
      <c r="BN130" s="5"/>
      <c r="BO130" s="6"/>
      <c r="BP130" s="2"/>
      <c r="BQ130" s="6"/>
      <c r="BR130" s="5"/>
      <c r="BS130" s="7"/>
    </row>
    <row r="131" spans="57:71" x14ac:dyDescent="0.25">
      <c r="BE131" s="87">
        <v>45048.583333333336</v>
      </c>
      <c r="BF131" s="118">
        <v>5.2554736207046301E-2</v>
      </c>
      <c r="BG131" s="88">
        <v>86.192545629999998</v>
      </c>
      <c r="BH131" s="89">
        <v>5326</v>
      </c>
      <c r="BI131" s="90">
        <f t="shared" si="56"/>
        <v>88.766666666666666</v>
      </c>
      <c r="BJ131" s="91">
        <f t="shared" si="57"/>
        <v>4.6651087506454765</v>
      </c>
      <c r="BK131" s="91">
        <f t="shared" si="58"/>
        <v>78.957829720424073</v>
      </c>
      <c r="BM131" s="78"/>
      <c r="BN131" s="5"/>
      <c r="BO131" s="6"/>
      <c r="BP131" s="2"/>
      <c r="BQ131" s="6"/>
      <c r="BR131" s="5"/>
      <c r="BS131" s="7"/>
    </row>
    <row r="132" spans="57:71" x14ac:dyDescent="0.25">
      <c r="BE132" s="87">
        <v>45048.59375</v>
      </c>
      <c r="BF132" s="118">
        <v>5.4806170662054399E-2</v>
      </c>
      <c r="BG132" s="88">
        <v>83.586986100000004</v>
      </c>
      <c r="BH132" s="89">
        <v>5377</v>
      </c>
      <c r="BI132" s="90">
        <f t="shared" ref="BI132:BI155" si="70">BH132/60</f>
        <v>89.61666666666666</v>
      </c>
      <c r="BJ132" s="91">
        <f t="shared" ref="BJ132:BJ155" si="71">BI132*BF132</f>
        <v>4.9115463274977751</v>
      </c>
      <c r="BK132" s="91">
        <f t="shared" ref="BK132:BK155" si="72">IF(37.141*BJ132^0.4897&gt;22.6, 37.141*BJ132^0.4897, 0)</f>
        <v>80.973547646278249</v>
      </c>
      <c r="BM132" s="78"/>
      <c r="BN132" s="5"/>
      <c r="BO132" s="6"/>
      <c r="BP132" s="2"/>
      <c r="BQ132" s="6"/>
      <c r="BR132" s="5"/>
      <c r="BS132" s="7"/>
    </row>
    <row r="133" spans="57:71" x14ac:dyDescent="0.25">
      <c r="BE133" s="87">
        <v>45048.604166666664</v>
      </c>
      <c r="BF133" s="118">
        <v>5.0954234643737502E-2</v>
      </c>
      <c r="BG133" s="88">
        <v>84.891986889999998</v>
      </c>
      <c r="BH133" s="89">
        <v>5366</v>
      </c>
      <c r="BI133" s="90">
        <f t="shared" si="70"/>
        <v>89.433333333333337</v>
      </c>
      <c r="BJ133" s="91">
        <f t="shared" si="71"/>
        <v>4.5570070516382577</v>
      </c>
      <c r="BK133" s="91">
        <f t="shared" si="72"/>
        <v>78.056494279066953</v>
      </c>
      <c r="BM133" s="78"/>
      <c r="BN133" s="5"/>
      <c r="BO133" s="6"/>
      <c r="BP133" s="2"/>
      <c r="BQ133" s="6"/>
      <c r="BR133" s="5"/>
      <c r="BS133" s="7"/>
    </row>
    <row r="134" spans="57:71" x14ac:dyDescent="0.25">
      <c r="BE134" s="87">
        <v>45048.614583333336</v>
      </c>
      <c r="BF134" s="118">
        <v>5.5587883641213399E-2</v>
      </c>
      <c r="BG134" s="88">
        <v>80.523852189999999</v>
      </c>
      <c r="BH134" s="89">
        <v>5297</v>
      </c>
      <c r="BI134" s="90">
        <f t="shared" si="70"/>
        <v>88.283333333333331</v>
      </c>
      <c r="BJ134" s="91">
        <f t="shared" si="71"/>
        <v>4.9074836607917893</v>
      </c>
      <c r="BK134" s="91">
        <f t="shared" si="72"/>
        <v>80.940741296693048</v>
      </c>
      <c r="BM134" s="78"/>
      <c r="BN134" s="5"/>
      <c r="BO134" s="6"/>
      <c r="BP134" s="2"/>
      <c r="BQ134" s="6"/>
      <c r="BR134" s="5"/>
      <c r="BS134" s="7"/>
    </row>
    <row r="135" spans="57:71" x14ac:dyDescent="0.25">
      <c r="BE135" s="87">
        <v>45048.625</v>
      </c>
      <c r="BF135" s="118">
        <v>5.1387095399370898E-2</v>
      </c>
      <c r="BG135" s="88">
        <v>84.027783200000002</v>
      </c>
      <c r="BH135" s="89">
        <v>5189</v>
      </c>
      <c r="BI135" s="90">
        <f t="shared" si="70"/>
        <v>86.483333333333334</v>
      </c>
      <c r="BJ135" s="91">
        <f t="shared" si="71"/>
        <v>4.4441273004555928</v>
      </c>
      <c r="BK135" s="91">
        <f t="shared" si="72"/>
        <v>77.103596670484791</v>
      </c>
      <c r="BM135" s="78"/>
      <c r="BN135" s="5"/>
      <c r="BO135" s="6"/>
      <c r="BP135" s="2"/>
      <c r="BQ135" s="6"/>
      <c r="BR135" s="5"/>
      <c r="BS135" s="7"/>
    </row>
    <row r="136" spans="57:71" x14ac:dyDescent="0.25">
      <c r="BE136" s="87">
        <v>45048.635416666664</v>
      </c>
      <c r="BF136" s="118">
        <v>5.6520128876914599E-2</v>
      </c>
      <c r="BG136" s="88">
        <v>93.884261949999996</v>
      </c>
      <c r="BH136" s="89">
        <v>5249</v>
      </c>
      <c r="BI136" s="90">
        <f t="shared" si="70"/>
        <v>87.483333333333334</v>
      </c>
      <c r="BJ136" s="91">
        <f t="shared" si="71"/>
        <v>4.9445692745820793</v>
      </c>
      <c r="BK136" s="91">
        <f t="shared" si="72"/>
        <v>81.239698396323718</v>
      </c>
      <c r="BM136" s="78"/>
      <c r="BN136" s="5"/>
      <c r="BO136" s="6"/>
      <c r="BP136" s="2"/>
      <c r="BQ136" s="6"/>
      <c r="BR136" s="5"/>
      <c r="BS136" s="7"/>
    </row>
    <row r="137" spans="57:71" x14ac:dyDescent="0.25">
      <c r="BE137" s="87">
        <v>45048.645833333336</v>
      </c>
      <c r="BF137" s="118">
        <v>6.1261476115461899E-2</v>
      </c>
      <c r="BG137" s="88">
        <v>89.635700749999998</v>
      </c>
      <c r="BH137" s="89">
        <v>4925</v>
      </c>
      <c r="BI137" s="90">
        <f t="shared" si="70"/>
        <v>82.083333333333329</v>
      </c>
      <c r="BJ137" s="91">
        <f t="shared" si="71"/>
        <v>5.0285461644774969</v>
      </c>
      <c r="BK137" s="91">
        <f t="shared" si="72"/>
        <v>81.912457625915266</v>
      </c>
      <c r="BM137" s="78"/>
      <c r="BN137" s="5"/>
      <c r="BO137" s="6"/>
      <c r="BP137" s="2"/>
      <c r="BQ137" s="6"/>
      <c r="BR137" s="5"/>
      <c r="BS137" s="7"/>
    </row>
    <row r="138" spans="57:71" x14ac:dyDescent="0.25">
      <c r="BE138" s="87">
        <v>45048.65625</v>
      </c>
      <c r="BF138" s="118">
        <v>5.8689331421147697E-2</v>
      </c>
      <c r="BG138" s="88">
        <v>86.199962600000006</v>
      </c>
      <c r="BH138" s="89">
        <v>4842</v>
      </c>
      <c r="BI138" s="90">
        <f t="shared" si="70"/>
        <v>80.7</v>
      </c>
      <c r="BJ138" s="91">
        <f t="shared" si="71"/>
        <v>4.7362290456866196</v>
      </c>
      <c r="BK138" s="91">
        <f t="shared" si="72"/>
        <v>79.545017979875212</v>
      </c>
      <c r="BM138" s="78"/>
      <c r="BN138" s="5"/>
      <c r="BO138" s="6"/>
      <c r="BP138" s="2"/>
      <c r="BQ138" s="6"/>
      <c r="BR138" s="5"/>
      <c r="BS138" s="7"/>
    </row>
    <row r="139" spans="57:71" x14ac:dyDescent="0.25">
      <c r="BE139" s="87">
        <v>45048.666666666664</v>
      </c>
      <c r="BF139" s="118">
        <v>6.3073503173554799E-2</v>
      </c>
      <c r="BG139" s="88">
        <v>90.915794009999999</v>
      </c>
      <c r="BH139" s="89">
        <v>4790</v>
      </c>
      <c r="BI139" s="90">
        <f t="shared" si="70"/>
        <v>79.833333333333329</v>
      </c>
      <c r="BJ139" s="91">
        <f t="shared" si="71"/>
        <v>5.0353680033554582</v>
      </c>
      <c r="BK139" s="91">
        <f t="shared" si="72"/>
        <v>81.9668563640315</v>
      </c>
      <c r="BM139" s="78"/>
      <c r="BN139" s="5"/>
      <c r="BO139" s="6"/>
      <c r="BP139" s="2"/>
      <c r="BQ139" s="6"/>
      <c r="BR139" s="5"/>
      <c r="BS139" s="7"/>
    </row>
    <row r="140" spans="57:71" x14ac:dyDescent="0.25">
      <c r="BE140" s="87">
        <v>45048.677083333336</v>
      </c>
      <c r="BF140" s="118">
        <v>5.8186634782729299E-2</v>
      </c>
      <c r="BG140" s="88">
        <v>88.350109630000006</v>
      </c>
      <c r="BH140" s="89">
        <v>5006</v>
      </c>
      <c r="BI140" s="90">
        <f t="shared" si="70"/>
        <v>83.433333333333337</v>
      </c>
      <c r="BJ140" s="91">
        <f t="shared" si="71"/>
        <v>4.8547048953723815</v>
      </c>
      <c r="BK140" s="91">
        <f t="shared" si="72"/>
        <v>80.513282529111677</v>
      </c>
      <c r="BM140" s="78"/>
      <c r="BN140" s="5"/>
      <c r="BO140" s="6"/>
      <c r="BP140" s="2"/>
      <c r="BQ140" s="6"/>
      <c r="BR140" s="5"/>
      <c r="BS140" s="7"/>
    </row>
    <row r="141" spans="57:71" x14ac:dyDescent="0.25">
      <c r="BE141" s="87">
        <v>45048.6875</v>
      </c>
      <c r="BF141" s="118">
        <v>5.8338313387358003E-2</v>
      </c>
      <c r="BG141" s="88">
        <v>91.767774239999994</v>
      </c>
      <c r="BH141" s="89">
        <v>4964</v>
      </c>
      <c r="BI141" s="90">
        <f t="shared" si="70"/>
        <v>82.733333333333334</v>
      </c>
      <c r="BJ141" s="91">
        <f t="shared" si="71"/>
        <v>4.8265231275807521</v>
      </c>
      <c r="BK141" s="91">
        <f t="shared" si="72"/>
        <v>80.284065066797666</v>
      </c>
      <c r="BM141" s="78"/>
      <c r="BN141" s="5"/>
      <c r="BO141" s="6"/>
      <c r="BP141" s="2"/>
      <c r="BQ141" s="6"/>
      <c r="BR141" s="5"/>
      <c r="BS141" s="7"/>
    </row>
    <row r="142" spans="57:71" x14ac:dyDescent="0.25">
      <c r="BE142" s="87">
        <v>45048.697916666664</v>
      </c>
      <c r="BF142" s="118">
        <v>6.0076706421720499E-2</v>
      </c>
      <c r="BG142" s="88">
        <v>96.393321510000007</v>
      </c>
      <c r="BH142" s="89">
        <v>4847</v>
      </c>
      <c r="BI142" s="90">
        <f t="shared" si="70"/>
        <v>80.783333333333331</v>
      </c>
      <c r="BJ142" s="91">
        <f t="shared" si="71"/>
        <v>4.8531966004346545</v>
      </c>
      <c r="BK142" s="91">
        <f t="shared" si="72"/>
        <v>80.501031981386177</v>
      </c>
      <c r="BM142" s="78"/>
      <c r="BN142" s="5"/>
      <c r="BO142" s="6"/>
      <c r="BP142" s="2"/>
      <c r="BQ142" s="6"/>
      <c r="BR142" s="5"/>
      <c r="BS142" s="7"/>
    </row>
    <row r="143" spans="57:71" x14ac:dyDescent="0.25">
      <c r="BE143" s="87">
        <v>45048.708333333336</v>
      </c>
      <c r="BF143" s="118">
        <v>6.0397646156502803E-2</v>
      </c>
      <c r="BG143" s="88">
        <v>102.9873886</v>
      </c>
      <c r="BH143" s="89">
        <v>4703</v>
      </c>
      <c r="BI143" s="90">
        <f t="shared" si="70"/>
        <v>78.38333333333334</v>
      </c>
      <c r="BJ143" s="91">
        <f t="shared" si="71"/>
        <v>4.7341688312338785</v>
      </c>
      <c r="BK143" s="91">
        <f t="shared" si="72"/>
        <v>79.528071830499584</v>
      </c>
      <c r="BM143" s="78"/>
      <c r="BN143" s="5"/>
      <c r="BO143" s="6"/>
      <c r="BP143" s="2"/>
      <c r="BQ143" s="6"/>
      <c r="BR143" s="5"/>
      <c r="BS143" s="7"/>
    </row>
    <row r="144" spans="57:71" x14ac:dyDescent="0.25">
      <c r="BE144" s="87">
        <v>45048.71875</v>
      </c>
      <c r="BF144" s="118">
        <v>5.7277374887768399E-2</v>
      </c>
      <c r="BG144" s="88">
        <v>99.297599469999994</v>
      </c>
      <c r="BH144" s="89">
        <v>4851</v>
      </c>
      <c r="BI144" s="90">
        <f t="shared" si="70"/>
        <v>80.849999999999994</v>
      </c>
      <c r="BJ144" s="91">
        <f t="shared" si="71"/>
        <v>4.6308757596760746</v>
      </c>
      <c r="BK144" s="91">
        <f t="shared" si="72"/>
        <v>78.673564473892895</v>
      </c>
      <c r="BM144" s="78"/>
      <c r="BN144" s="5"/>
      <c r="BO144" s="6"/>
      <c r="BP144" s="2"/>
      <c r="BQ144" s="6"/>
      <c r="BR144" s="5"/>
      <c r="BS144" s="7"/>
    </row>
    <row r="145" spans="57:71" x14ac:dyDescent="0.25">
      <c r="BE145" s="87">
        <v>45048.729166666664</v>
      </c>
      <c r="BF145" s="118">
        <v>5.6913203746287402E-2</v>
      </c>
      <c r="BG145" s="88">
        <v>110.9974619</v>
      </c>
      <c r="BH145" s="89">
        <v>5095</v>
      </c>
      <c r="BI145" s="90">
        <f t="shared" si="70"/>
        <v>84.916666666666671</v>
      </c>
      <c r="BJ145" s="91">
        <f t="shared" si="71"/>
        <v>4.832879551455572</v>
      </c>
      <c r="BK145" s="91">
        <f t="shared" si="72"/>
        <v>80.335824803024266</v>
      </c>
      <c r="BM145" s="78"/>
      <c r="BN145" s="5"/>
      <c r="BO145" s="6"/>
      <c r="BP145" s="2"/>
      <c r="BQ145" s="6"/>
      <c r="BR145" s="5"/>
      <c r="BS145" s="7"/>
    </row>
    <row r="146" spans="57:71" x14ac:dyDescent="0.25">
      <c r="BE146" s="87">
        <v>45048.739583333336</v>
      </c>
      <c r="BF146" s="118">
        <v>6.4448845072485203E-2</v>
      </c>
      <c r="BG146" s="88">
        <v>122.1341827</v>
      </c>
      <c r="BH146" s="89">
        <v>4671</v>
      </c>
      <c r="BI146" s="90">
        <f t="shared" si="70"/>
        <v>77.849999999999994</v>
      </c>
      <c r="BJ146" s="91">
        <f t="shared" si="71"/>
        <v>5.0173425888929728</v>
      </c>
      <c r="BK146" s="91">
        <f t="shared" si="72"/>
        <v>81.823036247756932</v>
      </c>
      <c r="BM146" s="78"/>
      <c r="BN146" s="5"/>
      <c r="BO146" s="6"/>
      <c r="BP146" s="2"/>
      <c r="BQ146" s="6"/>
      <c r="BR146" s="5"/>
      <c r="BS146" s="7"/>
    </row>
    <row r="147" spans="57:71" x14ac:dyDescent="0.25">
      <c r="BE147" s="87">
        <v>45048.75</v>
      </c>
      <c r="BF147" s="118">
        <v>6.2321285571784603E-2</v>
      </c>
      <c r="BG147" s="88">
        <v>113.3544048</v>
      </c>
      <c r="BH147" s="89">
        <v>4535</v>
      </c>
      <c r="BI147" s="90">
        <f t="shared" si="70"/>
        <v>75.583333333333329</v>
      </c>
      <c r="BJ147" s="91">
        <f t="shared" si="71"/>
        <v>4.7104505011340523</v>
      </c>
      <c r="BK147" s="91">
        <f t="shared" si="72"/>
        <v>79.332706662424229</v>
      </c>
      <c r="BM147" s="78"/>
      <c r="BN147" s="5"/>
      <c r="BO147" s="6"/>
      <c r="BP147" s="2"/>
      <c r="BQ147" s="6"/>
      <c r="BR147" s="5"/>
      <c r="BS147" s="7"/>
    </row>
    <row r="148" spans="57:71" x14ac:dyDescent="0.25">
      <c r="BE148" s="87">
        <v>45048.760416666664</v>
      </c>
      <c r="BF148" s="118">
        <v>6.7690018744910693E-2</v>
      </c>
      <c r="BG148" s="88">
        <v>118.36070239999999</v>
      </c>
      <c r="BH148" s="89">
        <v>4702</v>
      </c>
      <c r="BI148" s="90">
        <f t="shared" si="70"/>
        <v>78.36666666666666</v>
      </c>
      <c r="BJ148" s="91">
        <f t="shared" si="71"/>
        <v>5.304641135642834</v>
      </c>
      <c r="BK148" s="91">
        <f t="shared" si="72"/>
        <v>84.084828007221162</v>
      </c>
      <c r="BM148" s="78"/>
      <c r="BN148" s="5"/>
      <c r="BO148" s="6"/>
      <c r="BP148" s="2"/>
      <c r="BQ148" s="6"/>
      <c r="BR148" s="5"/>
      <c r="BS148" s="7"/>
    </row>
    <row r="149" spans="57:71" x14ac:dyDescent="0.25">
      <c r="BE149" s="87">
        <v>45048.770833333336</v>
      </c>
      <c r="BF149" s="118">
        <v>5.8989712134753999E-2</v>
      </c>
      <c r="BG149" s="88">
        <v>114.9053189</v>
      </c>
      <c r="BH149" s="89">
        <v>4854</v>
      </c>
      <c r="BI149" s="90">
        <f t="shared" si="70"/>
        <v>80.900000000000006</v>
      </c>
      <c r="BJ149" s="91">
        <f t="shared" si="71"/>
        <v>4.7722677117015992</v>
      </c>
      <c r="BK149" s="91">
        <f t="shared" si="72"/>
        <v>79.840845333413483</v>
      </c>
      <c r="BM149" s="78"/>
      <c r="BN149" s="5"/>
      <c r="BO149" s="6"/>
      <c r="BP149" s="2"/>
      <c r="BQ149" s="6"/>
      <c r="BR149" s="5"/>
      <c r="BS149" s="7"/>
    </row>
    <row r="150" spans="57:71" x14ac:dyDescent="0.25">
      <c r="BE150" s="87">
        <v>45048.78125</v>
      </c>
      <c r="BF150" s="118">
        <v>6.5181094865799594E-2</v>
      </c>
      <c r="BG150" s="88">
        <v>119.12362779999999</v>
      </c>
      <c r="BH150" s="89">
        <v>4781</v>
      </c>
      <c r="BI150" s="90">
        <f t="shared" si="70"/>
        <v>79.683333333333337</v>
      </c>
      <c r="BJ150" s="91">
        <f t="shared" si="71"/>
        <v>5.1938469092231312</v>
      </c>
      <c r="BK150" s="91">
        <f t="shared" si="72"/>
        <v>83.220175387400374</v>
      </c>
      <c r="BM150" s="78"/>
      <c r="BN150" s="5"/>
      <c r="BO150" s="6"/>
      <c r="BP150" s="2"/>
      <c r="BQ150" s="6"/>
      <c r="BR150" s="5"/>
      <c r="BS150" s="7"/>
    </row>
    <row r="151" spans="57:71" x14ac:dyDescent="0.25">
      <c r="BE151" s="87">
        <v>45048.791666666664</v>
      </c>
      <c r="BF151" s="118">
        <v>6.2356852223128499E-2</v>
      </c>
      <c r="BG151" s="88">
        <v>116.4455014</v>
      </c>
      <c r="BH151" s="89">
        <v>4838</v>
      </c>
      <c r="BI151" s="90">
        <f t="shared" si="70"/>
        <v>80.63333333333334</v>
      </c>
      <c r="BJ151" s="91">
        <f t="shared" si="71"/>
        <v>5.0280408509249286</v>
      </c>
      <c r="BK151" s="91">
        <f t="shared" si="72"/>
        <v>81.908426654665263</v>
      </c>
      <c r="BM151" s="78"/>
      <c r="BN151" s="5"/>
      <c r="BO151" s="6"/>
      <c r="BP151" s="2"/>
      <c r="BQ151" s="6"/>
      <c r="BR151" s="5"/>
      <c r="BS151" s="7"/>
    </row>
    <row r="152" spans="57:71" x14ac:dyDescent="0.25">
      <c r="BE152" s="87">
        <v>45048.802083333336</v>
      </c>
      <c r="BF152" s="118">
        <v>5.9309564865943701E-2</v>
      </c>
      <c r="BG152" s="88">
        <v>112.18199679999999</v>
      </c>
      <c r="BH152" s="89">
        <v>4784</v>
      </c>
      <c r="BI152" s="90">
        <f t="shared" si="70"/>
        <v>79.733333333333334</v>
      </c>
      <c r="BJ152" s="91">
        <f t="shared" si="71"/>
        <v>4.7289493053112448</v>
      </c>
      <c r="BK152" s="91">
        <f t="shared" si="72"/>
        <v>79.485122134372787</v>
      </c>
      <c r="BM152" s="78"/>
      <c r="BN152" s="5"/>
      <c r="BO152" s="6"/>
      <c r="BP152" s="2"/>
      <c r="BQ152" s="6"/>
      <c r="BR152" s="5"/>
      <c r="BS152" s="7"/>
    </row>
    <row r="153" spans="57:71" x14ac:dyDescent="0.25">
      <c r="BE153" s="87">
        <v>45048.8125</v>
      </c>
      <c r="BF153" s="118">
        <v>6.0798831998882599E-2</v>
      </c>
      <c r="BG153" s="88">
        <v>129.48707379999999</v>
      </c>
      <c r="BH153" s="89">
        <v>4710</v>
      </c>
      <c r="BI153" s="90">
        <f t="shared" si="70"/>
        <v>78.5</v>
      </c>
      <c r="BJ153" s="91">
        <f t="shared" si="71"/>
        <v>4.7727083119122842</v>
      </c>
      <c r="BK153" s="91">
        <f t="shared" si="72"/>
        <v>79.844454981822423</v>
      </c>
      <c r="BM153" s="78"/>
      <c r="BN153" s="5"/>
      <c r="BO153" s="6"/>
      <c r="BP153" s="2"/>
      <c r="BQ153" s="6"/>
      <c r="BR153" s="5"/>
      <c r="BS153" s="7"/>
    </row>
    <row r="154" spans="57:71" x14ac:dyDescent="0.25">
      <c r="BE154" s="87">
        <v>45048.822916666664</v>
      </c>
      <c r="BF154" s="118">
        <v>6.16372210383615E-2</v>
      </c>
      <c r="BG154" s="88">
        <v>125.108964</v>
      </c>
      <c r="BH154" s="89">
        <v>4673</v>
      </c>
      <c r="BI154" s="90">
        <f t="shared" si="70"/>
        <v>77.88333333333334</v>
      </c>
      <c r="BJ154" s="91">
        <f t="shared" si="71"/>
        <v>4.8005122318710551</v>
      </c>
      <c r="BK154" s="91">
        <f t="shared" si="72"/>
        <v>80.071897614404079</v>
      </c>
      <c r="BM154" s="78"/>
      <c r="BN154" s="5"/>
      <c r="BO154" s="6"/>
      <c r="BP154" s="2"/>
      <c r="BQ154" s="6"/>
      <c r="BR154" s="5"/>
      <c r="BS154" s="7"/>
    </row>
    <row r="155" spans="57:71" x14ac:dyDescent="0.25">
      <c r="BE155" s="87">
        <v>45048.833333333336</v>
      </c>
      <c r="BF155" s="118">
        <v>6.0503503466209897E-2</v>
      </c>
      <c r="BG155" s="88">
        <v>117.9749527</v>
      </c>
      <c r="BH155" s="89">
        <v>4503</v>
      </c>
      <c r="BI155" s="90">
        <f t="shared" si="70"/>
        <v>75.05</v>
      </c>
      <c r="BJ155" s="91">
        <f t="shared" si="71"/>
        <v>4.5407879351390523</v>
      </c>
      <c r="BK155" s="91">
        <f t="shared" si="72"/>
        <v>77.920324241039069</v>
      </c>
      <c r="BM155" s="78"/>
      <c r="BN155" s="5"/>
      <c r="BO155" s="6"/>
      <c r="BP155" s="2"/>
      <c r="BQ155" s="6"/>
      <c r="BR155" s="5"/>
      <c r="BS15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 results</vt:lpstr>
      <vt:lpstr>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2025-11-20T20:30:25Z</dcterms:modified>
</cp:coreProperties>
</file>