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Results\calculations\"/>
    </mc:Choice>
  </mc:AlternateContent>
  <xr:revisionPtr revIDLastSave="0" documentId="13_ncr:1_{C698CF4C-F7D3-4F69-AC8C-6565C57D7E95}" xr6:coauthVersionLast="47" xr6:coauthVersionMax="47" xr10:uidLastSave="{00000000-0000-0000-0000-000000000000}"/>
  <bookViews>
    <workbookView xWindow="-25320" yWindow="360" windowWidth="25440" windowHeight="15270" xr2:uid="{00000000-000D-0000-FFFF-FFFF00000000}"/>
  </bookViews>
  <sheets>
    <sheet name="max results" sheetId="1" r:id="rId1"/>
    <sheet name="time ser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" i="2" l="1"/>
  <c r="AU1" i="2"/>
  <c r="AM1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3" i="2"/>
  <c r="AM19" i="2"/>
  <c r="AM37" i="2"/>
  <c r="AM55" i="2"/>
  <c r="AM73" i="2"/>
  <c r="AM91" i="2"/>
  <c r="W72" i="2"/>
  <c r="AP1" i="2"/>
  <c r="AS4" i="2"/>
  <c r="AT4" i="2" s="1"/>
  <c r="AS5" i="2"/>
  <c r="AS6" i="2"/>
  <c r="AT6" i="2" s="1"/>
  <c r="AS7" i="2"/>
  <c r="AT7" i="2" s="1"/>
  <c r="AS8" i="2"/>
  <c r="AS9" i="2"/>
  <c r="AT9" i="2" s="1"/>
  <c r="AS10" i="2"/>
  <c r="AT10" i="2" s="1"/>
  <c r="AS11" i="2"/>
  <c r="AS12" i="2"/>
  <c r="AT12" i="2" s="1"/>
  <c r="AS13" i="2"/>
  <c r="AT13" i="2" s="1"/>
  <c r="AS14" i="2"/>
  <c r="AS15" i="2"/>
  <c r="AT15" i="2" s="1"/>
  <c r="AS16" i="2"/>
  <c r="AT16" i="2" s="1"/>
  <c r="AS17" i="2"/>
  <c r="AT17" i="2" s="1"/>
  <c r="AS18" i="2"/>
  <c r="AT18" i="2" s="1"/>
  <c r="AS19" i="2"/>
  <c r="AT19" i="2" s="1"/>
  <c r="AS20" i="2"/>
  <c r="AS21" i="2"/>
  <c r="AT21" i="2" s="1"/>
  <c r="AS22" i="2"/>
  <c r="AT22" i="2" s="1"/>
  <c r="AS23" i="2"/>
  <c r="AS24" i="2"/>
  <c r="AT24" i="2" s="1"/>
  <c r="AS25" i="2"/>
  <c r="AT25" i="2" s="1"/>
  <c r="AS26" i="2"/>
  <c r="AS27" i="2"/>
  <c r="AT27" i="2" s="1"/>
  <c r="AS28" i="2"/>
  <c r="AT28" i="2" s="1"/>
  <c r="AS29" i="2"/>
  <c r="AS30" i="2"/>
  <c r="AT30" i="2" s="1"/>
  <c r="AS31" i="2"/>
  <c r="AT31" i="2" s="1"/>
  <c r="AS32" i="2"/>
  <c r="AS33" i="2"/>
  <c r="AT33" i="2" s="1"/>
  <c r="AS34" i="2"/>
  <c r="AT34" i="2" s="1"/>
  <c r="AS35" i="2"/>
  <c r="AT35" i="2" s="1"/>
  <c r="AS36" i="2"/>
  <c r="AT36" i="2" s="1"/>
  <c r="AS37" i="2"/>
  <c r="AT37" i="2" s="1"/>
  <c r="AS38" i="2"/>
  <c r="AS39" i="2"/>
  <c r="AT39" i="2" s="1"/>
  <c r="AS40" i="2"/>
  <c r="AT40" i="2" s="1"/>
  <c r="AS41" i="2"/>
  <c r="AS42" i="2"/>
  <c r="AT42" i="2" s="1"/>
  <c r="AS43" i="2"/>
  <c r="AT43" i="2" s="1"/>
  <c r="AS44" i="2"/>
  <c r="AS45" i="2"/>
  <c r="AT45" i="2" s="1"/>
  <c r="AS46" i="2"/>
  <c r="AT46" i="2" s="1"/>
  <c r="AS47" i="2"/>
  <c r="AS48" i="2"/>
  <c r="AT48" i="2" s="1"/>
  <c r="AS49" i="2"/>
  <c r="AT49" i="2" s="1"/>
  <c r="AS50" i="2"/>
  <c r="AS51" i="2"/>
  <c r="AT51" i="2" s="1"/>
  <c r="AS52" i="2"/>
  <c r="AT52" i="2" s="1"/>
  <c r="AS53" i="2"/>
  <c r="AT53" i="2" s="1"/>
  <c r="AS54" i="2"/>
  <c r="AT54" i="2" s="1"/>
  <c r="AS55" i="2"/>
  <c r="AT55" i="2" s="1"/>
  <c r="AS56" i="2"/>
  <c r="AS57" i="2"/>
  <c r="AT57" i="2" s="1"/>
  <c r="AS58" i="2"/>
  <c r="AT58" i="2" s="1"/>
  <c r="AS59" i="2"/>
  <c r="AS60" i="2"/>
  <c r="AT60" i="2" s="1"/>
  <c r="AS61" i="2"/>
  <c r="AT61" i="2" s="1"/>
  <c r="AS62" i="2"/>
  <c r="AS63" i="2"/>
  <c r="AT63" i="2" s="1"/>
  <c r="AS64" i="2"/>
  <c r="AT64" i="2" s="1"/>
  <c r="AS65" i="2"/>
  <c r="AS66" i="2"/>
  <c r="AT66" i="2" s="1"/>
  <c r="AS67" i="2"/>
  <c r="AT67" i="2" s="1"/>
  <c r="AS68" i="2"/>
  <c r="AS69" i="2"/>
  <c r="AT69" i="2" s="1"/>
  <c r="AS70" i="2"/>
  <c r="AT70" i="2" s="1"/>
  <c r="AS71" i="2"/>
  <c r="AT71" i="2" s="1"/>
  <c r="AS72" i="2"/>
  <c r="AT72" i="2" s="1"/>
  <c r="AS73" i="2"/>
  <c r="AT73" i="2" s="1"/>
  <c r="AS74" i="2"/>
  <c r="AS75" i="2"/>
  <c r="AT75" i="2" s="1"/>
  <c r="AS76" i="2"/>
  <c r="AT76" i="2" s="1"/>
  <c r="AS77" i="2"/>
  <c r="AS78" i="2"/>
  <c r="AT78" i="2" s="1"/>
  <c r="AS79" i="2"/>
  <c r="AT79" i="2" s="1"/>
  <c r="AS80" i="2"/>
  <c r="AS81" i="2"/>
  <c r="AT81" i="2" s="1"/>
  <c r="AS82" i="2"/>
  <c r="AT82" i="2" s="1"/>
  <c r="AS83" i="2"/>
  <c r="AS84" i="2"/>
  <c r="AT84" i="2" s="1"/>
  <c r="AS85" i="2"/>
  <c r="AT85" i="2" s="1"/>
  <c r="AS86" i="2"/>
  <c r="AS87" i="2"/>
  <c r="AT87" i="2" s="1"/>
  <c r="AS88" i="2"/>
  <c r="AT88" i="2" s="1"/>
  <c r="AS89" i="2"/>
  <c r="AS90" i="2"/>
  <c r="AT90" i="2" s="1"/>
  <c r="AS91" i="2"/>
  <c r="AT91" i="2" s="1"/>
  <c r="AS92" i="2"/>
  <c r="AS93" i="2"/>
  <c r="AT93" i="2" s="1"/>
  <c r="AS94" i="2"/>
  <c r="AT94" i="2" s="1"/>
  <c r="AS95" i="2"/>
  <c r="AS96" i="2"/>
  <c r="AT96" i="2" s="1"/>
  <c r="AS97" i="2"/>
  <c r="AT97" i="2" s="1"/>
  <c r="AS98" i="2"/>
  <c r="AS99" i="2"/>
  <c r="AT99" i="2" s="1"/>
  <c r="AS3" i="2"/>
  <c r="AT3" i="2" s="1"/>
  <c r="AK4" i="2"/>
  <c r="AL4" i="2" s="1"/>
  <c r="AM4" i="2" s="1"/>
  <c r="AK5" i="2"/>
  <c r="AL5" i="2" s="1"/>
  <c r="AM5" i="2" s="1"/>
  <c r="AK6" i="2"/>
  <c r="AK7" i="2"/>
  <c r="AL7" i="2" s="1"/>
  <c r="AM7" i="2" s="1"/>
  <c r="AK8" i="2"/>
  <c r="AL8" i="2" s="1"/>
  <c r="AM8" i="2" s="1"/>
  <c r="AK9" i="2"/>
  <c r="AL9" i="2" s="1"/>
  <c r="AM9" i="2" s="1"/>
  <c r="AK10" i="2"/>
  <c r="AL10" i="2" s="1"/>
  <c r="AM10" i="2" s="1"/>
  <c r="AK11" i="2"/>
  <c r="AL11" i="2" s="1"/>
  <c r="AM11" i="2" s="1"/>
  <c r="AK12" i="2"/>
  <c r="AK13" i="2"/>
  <c r="AL13" i="2" s="1"/>
  <c r="AM13" i="2" s="1"/>
  <c r="AK14" i="2"/>
  <c r="AL14" i="2" s="1"/>
  <c r="AM14" i="2" s="1"/>
  <c r="AK15" i="2"/>
  <c r="AL15" i="2" s="1"/>
  <c r="AM15" i="2" s="1"/>
  <c r="AK16" i="2"/>
  <c r="AK17" i="2"/>
  <c r="AL17" i="2" s="1"/>
  <c r="AM17" i="2" s="1"/>
  <c r="AK18" i="2"/>
  <c r="AK19" i="2"/>
  <c r="AL19" i="2" s="1"/>
  <c r="AK20" i="2"/>
  <c r="AK21" i="2"/>
  <c r="AL21" i="2" s="1"/>
  <c r="AM21" i="2" s="1"/>
  <c r="AK22" i="2"/>
  <c r="AL22" i="2" s="1"/>
  <c r="AM22" i="2" s="1"/>
  <c r="AK23" i="2"/>
  <c r="AL23" i="2" s="1"/>
  <c r="AM23" i="2" s="1"/>
  <c r="AK24" i="2"/>
  <c r="AK25" i="2"/>
  <c r="AL25" i="2" s="1"/>
  <c r="AM25" i="2" s="1"/>
  <c r="AK26" i="2"/>
  <c r="AL26" i="2" s="1"/>
  <c r="AM26" i="2" s="1"/>
  <c r="AK27" i="2"/>
  <c r="AL27" i="2" s="1"/>
  <c r="AM27" i="2" s="1"/>
  <c r="AK28" i="2"/>
  <c r="AL28" i="2" s="1"/>
  <c r="AM28" i="2" s="1"/>
  <c r="AK29" i="2"/>
  <c r="AK30" i="2"/>
  <c r="AK31" i="2"/>
  <c r="AL31" i="2" s="1"/>
  <c r="AM31" i="2" s="1"/>
  <c r="AK32" i="2"/>
  <c r="AK33" i="2"/>
  <c r="AL33" i="2" s="1"/>
  <c r="AM33" i="2" s="1"/>
  <c r="AK34" i="2"/>
  <c r="AL34" i="2" s="1"/>
  <c r="AM34" i="2" s="1"/>
  <c r="AK35" i="2"/>
  <c r="AK36" i="2"/>
  <c r="AK37" i="2"/>
  <c r="AL37" i="2" s="1"/>
  <c r="AK38" i="2"/>
  <c r="AL38" i="2" s="1"/>
  <c r="AM38" i="2" s="1"/>
  <c r="AK39" i="2"/>
  <c r="AL39" i="2" s="1"/>
  <c r="AM39" i="2" s="1"/>
  <c r="AK40" i="2"/>
  <c r="AL40" i="2" s="1"/>
  <c r="AM40" i="2" s="1"/>
  <c r="AK41" i="2"/>
  <c r="AK42" i="2"/>
  <c r="AK43" i="2"/>
  <c r="AL43" i="2" s="1"/>
  <c r="AM43" i="2" s="1"/>
  <c r="AK44" i="2"/>
  <c r="AL44" i="2" s="1"/>
  <c r="AM44" i="2" s="1"/>
  <c r="AK45" i="2"/>
  <c r="AL45" i="2" s="1"/>
  <c r="AM45" i="2" s="1"/>
  <c r="AK46" i="2"/>
  <c r="AL46" i="2" s="1"/>
  <c r="AM46" i="2" s="1"/>
  <c r="AK47" i="2"/>
  <c r="AK48" i="2"/>
  <c r="AK49" i="2"/>
  <c r="AL49" i="2" s="1"/>
  <c r="AM49" i="2" s="1"/>
  <c r="AK50" i="2"/>
  <c r="AK51" i="2"/>
  <c r="AL51" i="2" s="1"/>
  <c r="AM51" i="2" s="1"/>
  <c r="AK52" i="2"/>
  <c r="AL52" i="2" s="1"/>
  <c r="AM52" i="2" s="1"/>
  <c r="AK53" i="2"/>
  <c r="AK54" i="2"/>
  <c r="AK55" i="2"/>
  <c r="AL55" i="2" s="1"/>
  <c r="AK56" i="2"/>
  <c r="AL56" i="2" s="1"/>
  <c r="AM56" i="2" s="1"/>
  <c r="AK57" i="2"/>
  <c r="AL57" i="2" s="1"/>
  <c r="AM57" i="2" s="1"/>
  <c r="AK58" i="2"/>
  <c r="AL58" i="2" s="1"/>
  <c r="AM58" i="2" s="1"/>
  <c r="AK59" i="2"/>
  <c r="AK60" i="2"/>
  <c r="AK61" i="2"/>
  <c r="AL61" i="2" s="1"/>
  <c r="AM61" i="2" s="1"/>
  <c r="AK62" i="2"/>
  <c r="AL62" i="2" s="1"/>
  <c r="AM62" i="2" s="1"/>
  <c r="AK63" i="2"/>
  <c r="AL63" i="2" s="1"/>
  <c r="AM63" i="2" s="1"/>
  <c r="AK64" i="2"/>
  <c r="AL64" i="2" s="1"/>
  <c r="AM64" i="2" s="1"/>
  <c r="AK65" i="2"/>
  <c r="AK66" i="2"/>
  <c r="AK67" i="2"/>
  <c r="AL67" i="2" s="1"/>
  <c r="AM67" i="2" s="1"/>
  <c r="AK68" i="2"/>
  <c r="AK69" i="2"/>
  <c r="AL69" i="2" s="1"/>
  <c r="AM69" i="2" s="1"/>
  <c r="AK70" i="2"/>
  <c r="AL70" i="2" s="1"/>
  <c r="AM70" i="2" s="1"/>
  <c r="AK71" i="2"/>
  <c r="AK72" i="2"/>
  <c r="AK73" i="2"/>
  <c r="AL73" i="2" s="1"/>
  <c r="AK74" i="2"/>
  <c r="AL74" i="2" s="1"/>
  <c r="AM74" i="2" s="1"/>
  <c r="AK75" i="2"/>
  <c r="AL75" i="2" s="1"/>
  <c r="AM75" i="2" s="1"/>
  <c r="AK76" i="2"/>
  <c r="AL76" i="2" s="1"/>
  <c r="AM76" i="2" s="1"/>
  <c r="AK77" i="2"/>
  <c r="AK78" i="2"/>
  <c r="AK79" i="2"/>
  <c r="AL79" i="2" s="1"/>
  <c r="AM79" i="2" s="1"/>
  <c r="AK80" i="2"/>
  <c r="AL80" i="2" s="1"/>
  <c r="AM80" i="2" s="1"/>
  <c r="AK81" i="2"/>
  <c r="AL81" i="2" s="1"/>
  <c r="AM81" i="2" s="1"/>
  <c r="AK82" i="2"/>
  <c r="AL82" i="2" s="1"/>
  <c r="AM82" i="2" s="1"/>
  <c r="AK83" i="2"/>
  <c r="AK84" i="2"/>
  <c r="AK85" i="2"/>
  <c r="AL85" i="2" s="1"/>
  <c r="AM85" i="2" s="1"/>
  <c r="AK86" i="2"/>
  <c r="AK87" i="2"/>
  <c r="AL87" i="2" s="1"/>
  <c r="AM87" i="2" s="1"/>
  <c r="AK88" i="2"/>
  <c r="AL88" i="2" s="1"/>
  <c r="AM88" i="2" s="1"/>
  <c r="AK89" i="2"/>
  <c r="AK90" i="2"/>
  <c r="AL90" i="2" s="1"/>
  <c r="AM90" i="2" s="1"/>
  <c r="AK91" i="2"/>
  <c r="AL91" i="2" s="1"/>
  <c r="AK92" i="2"/>
  <c r="AL92" i="2" s="1"/>
  <c r="AM92" i="2" s="1"/>
  <c r="AK93" i="2"/>
  <c r="AL93" i="2" s="1"/>
  <c r="AM93" i="2" s="1"/>
  <c r="AK94" i="2"/>
  <c r="AL94" i="2" s="1"/>
  <c r="AM94" i="2" s="1"/>
  <c r="AK95" i="2"/>
  <c r="AK96" i="2"/>
  <c r="AL96" i="2" s="1"/>
  <c r="AM96" i="2" s="1"/>
  <c r="AK97" i="2"/>
  <c r="AL97" i="2" s="1"/>
  <c r="AM97" i="2" s="1"/>
  <c r="AK98" i="2"/>
  <c r="AL98" i="2" s="1"/>
  <c r="AM98" i="2" s="1"/>
  <c r="AK99" i="2"/>
  <c r="AL99" i="2" s="1"/>
  <c r="AM99" i="2" s="1"/>
  <c r="AH1" i="2"/>
  <c r="AK3" i="2"/>
  <c r="AL3" i="2" s="1"/>
  <c r="AM3" i="2" s="1"/>
  <c r="AC4" i="2"/>
  <c r="AD4" i="2" s="1"/>
  <c r="AE4" i="2" s="1"/>
  <c r="AC5" i="2"/>
  <c r="AC6" i="2"/>
  <c r="AD6" i="2" s="1"/>
  <c r="AE6" i="2" s="1"/>
  <c r="AC7" i="2"/>
  <c r="AD7" i="2" s="1"/>
  <c r="AE7" i="2" s="1"/>
  <c r="AC8" i="2"/>
  <c r="AD8" i="2" s="1"/>
  <c r="AE8" i="2" s="1"/>
  <c r="AC9" i="2"/>
  <c r="AC10" i="2"/>
  <c r="AD10" i="2" s="1"/>
  <c r="AE10" i="2" s="1"/>
  <c r="AC11" i="2"/>
  <c r="AC12" i="2"/>
  <c r="AD12" i="2" s="1"/>
  <c r="AE12" i="2" s="1"/>
  <c r="AC13" i="2"/>
  <c r="AD13" i="2" s="1"/>
  <c r="AE13" i="2" s="1"/>
  <c r="AC14" i="2"/>
  <c r="AC15" i="2"/>
  <c r="AC16" i="2"/>
  <c r="AD16" i="2" s="1"/>
  <c r="AE16" i="2" s="1"/>
  <c r="AC17" i="2"/>
  <c r="AC18" i="2"/>
  <c r="AD18" i="2" s="1"/>
  <c r="AE18" i="2" s="1"/>
  <c r="AC19" i="2"/>
  <c r="AD19" i="2" s="1"/>
  <c r="AE19" i="2" s="1"/>
  <c r="AC20" i="2"/>
  <c r="AD20" i="2" s="1"/>
  <c r="AE20" i="2" s="1"/>
  <c r="AC21" i="2"/>
  <c r="AC22" i="2"/>
  <c r="AD22" i="2" s="1"/>
  <c r="AE22" i="2" s="1"/>
  <c r="AC23" i="2"/>
  <c r="AC24" i="2"/>
  <c r="AD24" i="2" s="1"/>
  <c r="AE24" i="2" s="1"/>
  <c r="AC25" i="2"/>
  <c r="AD25" i="2" s="1"/>
  <c r="AE25" i="2" s="1"/>
  <c r="AC26" i="2"/>
  <c r="AD26" i="2" s="1"/>
  <c r="AE26" i="2" s="1"/>
  <c r="AC27" i="2"/>
  <c r="AC28" i="2"/>
  <c r="AD28" i="2" s="1"/>
  <c r="AE28" i="2" s="1"/>
  <c r="AC29" i="2"/>
  <c r="AC30" i="2"/>
  <c r="AD30" i="2" s="1"/>
  <c r="AE30" i="2" s="1"/>
  <c r="AC31" i="2"/>
  <c r="AD31" i="2" s="1"/>
  <c r="AE31" i="2" s="1"/>
  <c r="AC32" i="2"/>
  <c r="AC33" i="2"/>
  <c r="AC34" i="2"/>
  <c r="AD34" i="2" s="1"/>
  <c r="AE34" i="2" s="1"/>
  <c r="AC35" i="2"/>
  <c r="AC36" i="2"/>
  <c r="AD36" i="2" s="1"/>
  <c r="AE36" i="2" s="1"/>
  <c r="AC37" i="2"/>
  <c r="AC38" i="2"/>
  <c r="AC39" i="2"/>
  <c r="AC40" i="2"/>
  <c r="AD40" i="2" s="1"/>
  <c r="AE40" i="2" s="1"/>
  <c r="AC41" i="2"/>
  <c r="AC42" i="2"/>
  <c r="AD42" i="2" s="1"/>
  <c r="AE42" i="2" s="1"/>
  <c r="AC43" i="2"/>
  <c r="AD43" i="2" s="1"/>
  <c r="AE43" i="2" s="1"/>
  <c r="AC44" i="2"/>
  <c r="AD44" i="2" s="1"/>
  <c r="AE44" i="2" s="1"/>
  <c r="AC45" i="2"/>
  <c r="AC46" i="2"/>
  <c r="AD46" i="2" s="1"/>
  <c r="AE46" i="2" s="1"/>
  <c r="AC47" i="2"/>
  <c r="AC48" i="2"/>
  <c r="AD48" i="2" s="1"/>
  <c r="AE48" i="2" s="1"/>
  <c r="AC49" i="2"/>
  <c r="AD49" i="2" s="1"/>
  <c r="AE49" i="2" s="1"/>
  <c r="AC50" i="2"/>
  <c r="AD50" i="2" s="1"/>
  <c r="AE50" i="2" s="1"/>
  <c r="AC51" i="2"/>
  <c r="AC52" i="2"/>
  <c r="AD52" i="2" s="1"/>
  <c r="AE52" i="2" s="1"/>
  <c r="AC53" i="2"/>
  <c r="AC54" i="2"/>
  <c r="AD54" i="2" s="1"/>
  <c r="AE54" i="2" s="1"/>
  <c r="AC55" i="2"/>
  <c r="AC56" i="2"/>
  <c r="AC57" i="2"/>
  <c r="AC58" i="2"/>
  <c r="AD58" i="2" s="1"/>
  <c r="AE58" i="2" s="1"/>
  <c r="AC59" i="2"/>
  <c r="AC60" i="2"/>
  <c r="AD60" i="2" s="1"/>
  <c r="AE60" i="2" s="1"/>
  <c r="AC61" i="2"/>
  <c r="AC62" i="2"/>
  <c r="AC63" i="2"/>
  <c r="AC64" i="2"/>
  <c r="AD64" i="2" s="1"/>
  <c r="AE64" i="2" s="1"/>
  <c r="AC65" i="2"/>
  <c r="AC66" i="2"/>
  <c r="AD66" i="2" s="1"/>
  <c r="AE66" i="2" s="1"/>
  <c r="AC67" i="2"/>
  <c r="AD67" i="2" s="1"/>
  <c r="AE67" i="2" s="1"/>
  <c r="AC68" i="2"/>
  <c r="AD68" i="2" s="1"/>
  <c r="AE68" i="2" s="1"/>
  <c r="AC69" i="2"/>
  <c r="AC70" i="2"/>
  <c r="AD70" i="2" s="1"/>
  <c r="AE70" i="2" s="1"/>
  <c r="AC71" i="2"/>
  <c r="AC72" i="2"/>
  <c r="AD72" i="2" s="1"/>
  <c r="AE72" i="2" s="1"/>
  <c r="AC73" i="2"/>
  <c r="AC74" i="2"/>
  <c r="AC75" i="2"/>
  <c r="AC76" i="2"/>
  <c r="AC77" i="2"/>
  <c r="AC78" i="2"/>
  <c r="AD78" i="2" s="1"/>
  <c r="AE78" i="2" s="1"/>
  <c r="AC79" i="2"/>
  <c r="AD79" i="2" s="1"/>
  <c r="AE79" i="2" s="1"/>
  <c r="AC80" i="2"/>
  <c r="AC81" i="2"/>
  <c r="AC82" i="2"/>
  <c r="AD82" i="2" s="1"/>
  <c r="AE82" i="2" s="1"/>
  <c r="AC83" i="2"/>
  <c r="AC84" i="2"/>
  <c r="AD84" i="2" s="1"/>
  <c r="AE84" i="2" s="1"/>
  <c r="AC85" i="2"/>
  <c r="AD85" i="2" s="1"/>
  <c r="AE85" i="2" s="1"/>
  <c r="AC86" i="2"/>
  <c r="AC87" i="2"/>
  <c r="AC88" i="2"/>
  <c r="AD88" i="2" s="1"/>
  <c r="AE88" i="2" s="1"/>
  <c r="AC89" i="2"/>
  <c r="AC90" i="2"/>
  <c r="AD90" i="2" s="1"/>
  <c r="AE90" i="2" s="1"/>
  <c r="AC91" i="2"/>
  <c r="AC92" i="2"/>
  <c r="AC93" i="2"/>
  <c r="AC94" i="2"/>
  <c r="AD94" i="2" s="1"/>
  <c r="AE94" i="2" s="1"/>
  <c r="AC95" i="2"/>
  <c r="AC96" i="2"/>
  <c r="AD96" i="2" s="1"/>
  <c r="AE96" i="2" s="1"/>
  <c r="AC97" i="2"/>
  <c r="AD97" i="2" s="1"/>
  <c r="AE97" i="2" s="1"/>
  <c r="AC98" i="2"/>
  <c r="AC99" i="2"/>
  <c r="AC3" i="2"/>
  <c r="AD3" i="2" s="1"/>
  <c r="AE3" i="2" s="1"/>
  <c r="Z1" i="2"/>
  <c r="R1" i="2"/>
  <c r="U4" i="2"/>
  <c r="V4" i="2" s="1"/>
  <c r="W4" i="2" s="1"/>
  <c r="U5" i="2"/>
  <c r="U6" i="2"/>
  <c r="V6" i="2" s="1"/>
  <c r="W6" i="2" s="1"/>
  <c r="U7" i="2"/>
  <c r="V7" i="2" s="1"/>
  <c r="W7" i="2" s="1"/>
  <c r="U8" i="2"/>
  <c r="V8" i="2" s="1"/>
  <c r="W8" i="2" s="1"/>
  <c r="U9" i="2"/>
  <c r="U10" i="2"/>
  <c r="V10" i="2" s="1"/>
  <c r="W10" i="2" s="1"/>
  <c r="U11" i="2"/>
  <c r="U12" i="2"/>
  <c r="V12" i="2" s="1"/>
  <c r="W12" i="2" s="1"/>
  <c r="U13" i="2"/>
  <c r="V13" i="2" s="1"/>
  <c r="W13" i="2" s="1"/>
  <c r="U14" i="2"/>
  <c r="V14" i="2" s="1"/>
  <c r="W14" i="2" s="1"/>
  <c r="U15" i="2"/>
  <c r="U16" i="2"/>
  <c r="V16" i="2" s="1"/>
  <c r="W16" i="2" s="1"/>
  <c r="U17" i="2"/>
  <c r="U18" i="2"/>
  <c r="V18" i="2" s="1"/>
  <c r="W18" i="2" s="1"/>
  <c r="U19" i="2"/>
  <c r="U20" i="2"/>
  <c r="U21" i="2"/>
  <c r="U22" i="2"/>
  <c r="V22" i="2" s="1"/>
  <c r="W22" i="2" s="1"/>
  <c r="U23" i="2"/>
  <c r="U24" i="2"/>
  <c r="V24" i="2" s="1"/>
  <c r="W24" i="2" s="1"/>
  <c r="U25" i="2"/>
  <c r="V25" i="2" s="1"/>
  <c r="W25" i="2" s="1"/>
  <c r="U26" i="2"/>
  <c r="V26" i="2" s="1"/>
  <c r="W26" i="2" s="1"/>
  <c r="U27" i="2"/>
  <c r="U28" i="2"/>
  <c r="V28" i="2" s="1"/>
  <c r="W28" i="2" s="1"/>
  <c r="U29" i="2"/>
  <c r="U30" i="2"/>
  <c r="V30" i="2" s="1"/>
  <c r="W30" i="2" s="1"/>
  <c r="U31" i="2"/>
  <c r="V31" i="2" s="1"/>
  <c r="W31" i="2" s="1"/>
  <c r="U32" i="2"/>
  <c r="V32" i="2" s="1"/>
  <c r="W32" i="2" s="1"/>
  <c r="U33" i="2"/>
  <c r="U34" i="2"/>
  <c r="U35" i="2"/>
  <c r="U36" i="2"/>
  <c r="V36" i="2" s="1"/>
  <c r="W36" i="2" s="1"/>
  <c r="U37" i="2"/>
  <c r="V37" i="2" s="1"/>
  <c r="W37" i="2" s="1"/>
  <c r="U38" i="2"/>
  <c r="V38" i="2" s="1"/>
  <c r="W38" i="2" s="1"/>
  <c r="U39" i="2"/>
  <c r="U40" i="2"/>
  <c r="V40" i="2" s="1"/>
  <c r="W40" i="2" s="1"/>
  <c r="U41" i="2"/>
  <c r="U42" i="2"/>
  <c r="V42" i="2" s="1"/>
  <c r="W42" i="2" s="1"/>
  <c r="U43" i="2"/>
  <c r="V43" i="2" s="1"/>
  <c r="W43" i="2" s="1"/>
  <c r="U44" i="2"/>
  <c r="V44" i="2" s="1"/>
  <c r="W44" i="2" s="1"/>
  <c r="U45" i="2"/>
  <c r="U46" i="2"/>
  <c r="V46" i="2" s="1"/>
  <c r="W46" i="2" s="1"/>
  <c r="U47" i="2"/>
  <c r="U48" i="2"/>
  <c r="V48" i="2" s="1"/>
  <c r="W48" i="2" s="1"/>
  <c r="U49" i="2"/>
  <c r="V49" i="2" s="1"/>
  <c r="W49" i="2" s="1"/>
  <c r="U50" i="2"/>
  <c r="V50" i="2" s="1"/>
  <c r="W50" i="2" s="1"/>
  <c r="U51" i="2"/>
  <c r="U52" i="2"/>
  <c r="V52" i="2" s="1"/>
  <c r="W52" i="2" s="1"/>
  <c r="U53" i="2"/>
  <c r="U54" i="2"/>
  <c r="V54" i="2" s="1"/>
  <c r="W54" i="2" s="1"/>
  <c r="U55" i="2"/>
  <c r="U56" i="2"/>
  <c r="U57" i="2"/>
  <c r="U58" i="2"/>
  <c r="V58" i="2" s="1"/>
  <c r="W58" i="2" s="1"/>
  <c r="U59" i="2"/>
  <c r="U60" i="2"/>
  <c r="V60" i="2" s="1"/>
  <c r="W60" i="2" s="1"/>
  <c r="U61" i="2"/>
  <c r="V61" i="2" s="1"/>
  <c r="W61" i="2" s="1"/>
  <c r="U62" i="2"/>
  <c r="V62" i="2" s="1"/>
  <c r="W62" i="2" s="1"/>
  <c r="U63" i="2"/>
  <c r="U64" i="2"/>
  <c r="V64" i="2" s="1"/>
  <c r="W64" i="2" s="1"/>
  <c r="U65" i="2"/>
  <c r="U66" i="2"/>
  <c r="V66" i="2" s="1"/>
  <c r="W66" i="2" s="1"/>
  <c r="U67" i="2"/>
  <c r="V67" i="2" s="1"/>
  <c r="W67" i="2" s="1"/>
  <c r="U68" i="2"/>
  <c r="V68" i="2" s="1"/>
  <c r="W68" i="2" s="1"/>
  <c r="U69" i="2"/>
  <c r="U70" i="2"/>
  <c r="V70" i="2" s="1"/>
  <c r="W70" i="2" s="1"/>
  <c r="U71" i="2"/>
  <c r="U72" i="2"/>
  <c r="V72" i="2" s="1"/>
  <c r="U73" i="2"/>
  <c r="U74" i="2"/>
  <c r="U75" i="2"/>
  <c r="U76" i="2"/>
  <c r="V76" i="2" s="1"/>
  <c r="W76" i="2" s="1"/>
  <c r="U77" i="2"/>
  <c r="U78" i="2"/>
  <c r="V78" i="2" s="1"/>
  <c r="W78" i="2" s="1"/>
  <c r="U79" i="2"/>
  <c r="V79" i="2" s="1"/>
  <c r="W79" i="2" s="1"/>
  <c r="U80" i="2"/>
  <c r="V80" i="2" s="1"/>
  <c r="W80" i="2" s="1"/>
  <c r="U81" i="2"/>
  <c r="U82" i="2"/>
  <c r="V82" i="2" s="1"/>
  <c r="W82" i="2" s="1"/>
  <c r="U83" i="2"/>
  <c r="U84" i="2"/>
  <c r="V84" i="2" s="1"/>
  <c r="W84" i="2" s="1"/>
  <c r="U85" i="2"/>
  <c r="V85" i="2" s="1"/>
  <c r="W85" i="2" s="1"/>
  <c r="U86" i="2"/>
  <c r="V86" i="2" s="1"/>
  <c r="W86" i="2" s="1"/>
  <c r="U87" i="2"/>
  <c r="U88" i="2"/>
  <c r="V88" i="2" s="1"/>
  <c r="W88" i="2" s="1"/>
  <c r="U89" i="2"/>
  <c r="U90" i="2"/>
  <c r="V90" i="2" s="1"/>
  <c r="W90" i="2" s="1"/>
  <c r="U91" i="2"/>
  <c r="U92" i="2"/>
  <c r="U93" i="2"/>
  <c r="U94" i="2"/>
  <c r="V94" i="2" s="1"/>
  <c r="W94" i="2" s="1"/>
  <c r="U95" i="2"/>
  <c r="U96" i="2"/>
  <c r="V96" i="2" s="1"/>
  <c r="W96" i="2" s="1"/>
  <c r="U97" i="2"/>
  <c r="V97" i="2" s="1"/>
  <c r="W97" i="2" s="1"/>
  <c r="U98" i="2"/>
  <c r="V98" i="2" s="1"/>
  <c r="W98" i="2" s="1"/>
  <c r="U99" i="2"/>
  <c r="U100" i="2"/>
  <c r="U3" i="2"/>
  <c r="V3" i="2" s="1"/>
  <c r="W3" i="2" s="1"/>
  <c r="K1" i="2"/>
  <c r="C1" i="2"/>
  <c r="M4" i="2"/>
  <c r="N4" i="2" s="1"/>
  <c r="O4" i="2" s="1"/>
  <c r="M5" i="2"/>
  <c r="N5" i="2" s="1"/>
  <c r="O5" i="2" s="1"/>
  <c r="M6" i="2"/>
  <c r="M7" i="2"/>
  <c r="N7" i="2" s="1"/>
  <c r="O7" i="2" s="1"/>
  <c r="M8" i="2"/>
  <c r="N8" i="2" s="1"/>
  <c r="O8" i="2" s="1"/>
  <c r="M9" i="2"/>
  <c r="M10" i="2"/>
  <c r="N10" i="2" s="1"/>
  <c r="O10" i="2" s="1"/>
  <c r="M11" i="2"/>
  <c r="N11" i="2" s="1"/>
  <c r="O11" i="2" s="1"/>
  <c r="M12" i="2"/>
  <c r="M13" i="2"/>
  <c r="N13" i="2" s="1"/>
  <c r="O13" i="2" s="1"/>
  <c r="M14" i="2"/>
  <c r="N14" i="2" s="1"/>
  <c r="O14" i="2" s="1"/>
  <c r="M15" i="2"/>
  <c r="N15" i="2" s="1"/>
  <c r="O15" i="2" s="1"/>
  <c r="M16" i="2"/>
  <c r="N16" i="2" s="1"/>
  <c r="O16" i="2" s="1"/>
  <c r="M17" i="2"/>
  <c r="N17" i="2" s="1"/>
  <c r="O17" i="2" s="1"/>
  <c r="M18" i="2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M25" i="2"/>
  <c r="N25" i="2" s="1"/>
  <c r="O25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M49" i="2"/>
  <c r="N49" i="2" s="1"/>
  <c r="O49" i="2" s="1"/>
  <c r="M50" i="2"/>
  <c r="N50" i="2" s="1"/>
  <c r="O50" i="2" s="1"/>
  <c r="M51" i="2"/>
  <c r="N51" i="2" s="1"/>
  <c r="O51" i="2" s="1"/>
  <c r="M52" i="2"/>
  <c r="N52" i="2" s="1"/>
  <c r="O52" i="2" s="1"/>
  <c r="M53" i="2"/>
  <c r="N53" i="2" s="1"/>
  <c r="O53" i="2" s="1"/>
  <c r="M54" i="2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M67" i="2"/>
  <c r="N67" i="2" s="1"/>
  <c r="O67" i="2" s="1"/>
  <c r="M68" i="2"/>
  <c r="N68" i="2" s="1"/>
  <c r="O68" i="2" s="1"/>
  <c r="M69" i="2"/>
  <c r="N69" i="2" s="1"/>
  <c r="O69" i="2" s="1"/>
  <c r="M70" i="2"/>
  <c r="M71" i="2"/>
  <c r="N71" i="2" s="1"/>
  <c r="O71" i="2" s="1"/>
  <c r="M72" i="2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M79" i="2"/>
  <c r="N79" i="2" s="1"/>
  <c r="O79" i="2" s="1"/>
  <c r="M80" i="2"/>
  <c r="N80" i="2" s="1"/>
  <c r="O80" i="2" s="1"/>
  <c r="M81" i="2"/>
  <c r="N81" i="2" s="1"/>
  <c r="O81" i="2" s="1"/>
  <c r="M82" i="2"/>
  <c r="N82" i="2" s="1"/>
  <c r="O82" i="2" s="1"/>
  <c r="M83" i="2"/>
  <c r="N83" i="2" s="1"/>
  <c r="O83" i="2" s="1"/>
  <c r="M84" i="2"/>
  <c r="M85" i="2"/>
  <c r="N85" i="2" s="1"/>
  <c r="O85" i="2" s="1"/>
  <c r="M86" i="2"/>
  <c r="N86" i="2" s="1"/>
  <c r="O86" i="2" s="1"/>
  <c r="M87" i="2"/>
  <c r="N87" i="2" s="1"/>
  <c r="O87" i="2" s="1"/>
  <c r="M88" i="2"/>
  <c r="M89" i="2"/>
  <c r="N89" i="2" s="1"/>
  <c r="O89" i="2" s="1"/>
  <c r="M90" i="2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M97" i="2"/>
  <c r="N97" i="2" s="1"/>
  <c r="O97" i="2" s="1"/>
  <c r="M98" i="2"/>
  <c r="N98" i="2" s="1"/>
  <c r="O98" i="2" s="1"/>
  <c r="M99" i="2"/>
  <c r="M3" i="2"/>
  <c r="N3" i="2" s="1"/>
  <c r="O3" i="2" s="1"/>
  <c r="J1" i="2"/>
  <c r="AL41" i="2" l="1"/>
  <c r="AM41" i="2" s="1"/>
  <c r="AD62" i="2"/>
  <c r="AE62" i="2" s="1"/>
  <c r="AD38" i="2"/>
  <c r="AE38" i="2" s="1"/>
  <c r="AL16" i="2"/>
  <c r="AM16" i="2" s="1"/>
  <c r="AL95" i="2"/>
  <c r="AM95" i="2" s="1"/>
  <c r="AD61" i="2"/>
  <c r="AE61" i="2" s="1"/>
  <c r="AD32" i="2"/>
  <c r="AE32" i="2" s="1"/>
  <c r="AD14" i="2"/>
  <c r="AE14" i="2" s="1"/>
  <c r="AL89" i="2"/>
  <c r="AM89" i="2" s="1"/>
  <c r="AL71" i="2"/>
  <c r="AM71" i="2" s="1"/>
  <c r="AL53" i="2"/>
  <c r="AM53" i="2" s="1"/>
  <c r="AL35" i="2"/>
  <c r="AM35" i="2" s="1"/>
  <c r="AL59" i="2"/>
  <c r="AM59" i="2" s="1"/>
  <c r="AD56" i="2"/>
  <c r="AE56" i="2" s="1"/>
  <c r="AL86" i="2"/>
  <c r="AM86" i="2" s="1"/>
  <c r="AL68" i="2"/>
  <c r="AM68" i="2" s="1"/>
  <c r="AL50" i="2"/>
  <c r="AM50" i="2" s="1"/>
  <c r="AL32" i="2"/>
  <c r="AM32" i="2" s="1"/>
  <c r="AT89" i="2"/>
  <c r="AL77" i="2"/>
  <c r="AM77" i="2" s="1"/>
  <c r="AL83" i="2"/>
  <c r="AM83" i="2" s="1"/>
  <c r="AL65" i="2"/>
  <c r="AM65" i="2" s="1"/>
  <c r="AL47" i="2"/>
  <c r="AM47" i="2" s="1"/>
  <c r="AL29" i="2"/>
  <c r="AM29" i="2" s="1"/>
  <c r="AD91" i="2"/>
  <c r="AE91" i="2" s="1"/>
  <c r="AD73" i="2"/>
  <c r="AE73" i="2" s="1"/>
  <c r="AD55" i="2"/>
  <c r="AE55" i="2" s="1"/>
  <c r="AD37" i="2"/>
  <c r="AE37" i="2" s="1"/>
  <c r="AD95" i="2"/>
  <c r="AE95" i="2" s="1"/>
  <c r="AD83" i="2"/>
  <c r="AE83" i="2" s="1"/>
  <c r="AD77" i="2"/>
  <c r="AE77" i="2" s="1"/>
  <c r="AD71" i="2"/>
  <c r="AE71" i="2" s="1"/>
  <c r="AD65" i="2"/>
  <c r="AE65" i="2" s="1"/>
  <c r="AD59" i="2"/>
  <c r="AE59" i="2" s="1"/>
  <c r="AD53" i="2"/>
  <c r="AE53" i="2" s="1"/>
  <c r="AD47" i="2"/>
  <c r="AE47" i="2" s="1"/>
  <c r="AD41" i="2"/>
  <c r="AE41" i="2" s="1"/>
  <c r="AD35" i="2"/>
  <c r="AE35" i="2" s="1"/>
  <c r="AD29" i="2"/>
  <c r="AE29" i="2" s="1"/>
  <c r="AD23" i="2"/>
  <c r="AE23" i="2" s="1"/>
  <c r="AD17" i="2"/>
  <c r="AE17" i="2" s="1"/>
  <c r="AD11" i="2"/>
  <c r="AE11" i="2" s="1"/>
  <c r="AD5" i="2"/>
  <c r="AE5" i="2" s="1"/>
  <c r="AD86" i="2"/>
  <c r="AE86" i="2" s="1"/>
  <c r="AL84" i="2"/>
  <c r="AM84" i="2" s="1"/>
  <c r="AL78" i="2"/>
  <c r="AM78" i="2" s="1"/>
  <c r="AL72" i="2"/>
  <c r="AM72" i="2" s="1"/>
  <c r="AL66" i="2"/>
  <c r="AM66" i="2" s="1"/>
  <c r="AL60" i="2"/>
  <c r="AM60" i="2" s="1"/>
  <c r="AL54" i="2"/>
  <c r="AM54" i="2" s="1"/>
  <c r="AL48" i="2"/>
  <c r="AM48" i="2" s="1"/>
  <c r="AL42" i="2"/>
  <c r="AM42" i="2" s="1"/>
  <c r="AL36" i="2"/>
  <c r="AM36" i="2" s="1"/>
  <c r="AL30" i="2"/>
  <c r="AM30" i="2" s="1"/>
  <c r="AL24" i="2"/>
  <c r="AM24" i="2" s="1"/>
  <c r="AL18" i="2"/>
  <c r="AM18" i="2" s="1"/>
  <c r="AL12" i="2"/>
  <c r="AM12" i="2" s="1"/>
  <c r="AL6" i="2"/>
  <c r="AM6" i="2" s="1"/>
  <c r="AD92" i="2"/>
  <c r="AE92" i="2" s="1"/>
  <c r="AD74" i="2"/>
  <c r="AE74" i="2" s="1"/>
  <c r="AD89" i="2"/>
  <c r="AE89" i="2" s="1"/>
  <c r="AD76" i="2"/>
  <c r="AE76" i="2" s="1"/>
  <c r="AT98" i="2"/>
  <c r="AT92" i="2"/>
  <c r="AT86" i="2"/>
  <c r="AT80" i="2"/>
  <c r="AT74" i="2"/>
  <c r="AT68" i="2"/>
  <c r="AT62" i="2"/>
  <c r="AT56" i="2"/>
  <c r="AT50" i="2"/>
  <c r="AT44" i="2"/>
  <c r="AT38" i="2"/>
  <c r="AT32" i="2"/>
  <c r="AT26" i="2"/>
  <c r="AT20" i="2"/>
  <c r="AT14" i="2"/>
  <c r="AT8" i="2"/>
  <c r="AD99" i="2"/>
  <c r="AE99" i="2" s="1"/>
  <c r="AD93" i="2"/>
  <c r="AE93" i="2" s="1"/>
  <c r="AD87" i="2"/>
  <c r="AE87" i="2" s="1"/>
  <c r="AD81" i="2"/>
  <c r="AE81" i="2" s="1"/>
  <c r="AD75" i="2"/>
  <c r="AE75" i="2" s="1"/>
  <c r="AD69" i="2"/>
  <c r="AE69" i="2" s="1"/>
  <c r="AD63" i="2"/>
  <c r="AE63" i="2" s="1"/>
  <c r="AD57" i="2"/>
  <c r="AE57" i="2" s="1"/>
  <c r="AD51" i="2"/>
  <c r="AE51" i="2" s="1"/>
  <c r="AD45" i="2"/>
  <c r="AE45" i="2" s="1"/>
  <c r="AD39" i="2"/>
  <c r="AE39" i="2" s="1"/>
  <c r="AD33" i="2"/>
  <c r="AE33" i="2" s="1"/>
  <c r="AD27" i="2"/>
  <c r="AE27" i="2" s="1"/>
  <c r="AD21" i="2"/>
  <c r="AE21" i="2" s="1"/>
  <c r="AD15" i="2"/>
  <c r="AE15" i="2" s="1"/>
  <c r="AD9" i="2"/>
  <c r="AE9" i="2" s="1"/>
  <c r="AD98" i="2"/>
  <c r="AE98" i="2" s="1"/>
  <c r="AD80" i="2"/>
  <c r="AE80" i="2" s="1"/>
  <c r="AL20" i="2"/>
  <c r="AM20" i="2" s="1"/>
  <c r="AT95" i="2"/>
  <c r="AT77" i="2"/>
  <c r="AT59" i="2"/>
  <c r="AT41" i="2"/>
  <c r="AT23" i="2"/>
  <c r="AT5" i="2"/>
  <c r="AT83" i="2"/>
  <c r="AT65" i="2"/>
  <c r="AT47" i="2"/>
  <c r="AT29" i="2"/>
  <c r="AT11" i="2"/>
  <c r="N96" i="2"/>
  <c r="O96" i="2" s="1"/>
  <c r="N78" i="2"/>
  <c r="O78" i="2" s="1"/>
  <c r="N66" i="2"/>
  <c r="O66" i="2" s="1"/>
  <c r="N48" i="2"/>
  <c r="O48" i="2" s="1"/>
  <c r="N12" i="2"/>
  <c r="O12" i="2" s="1"/>
  <c r="V100" i="2"/>
  <c r="W100" i="2" s="1"/>
  <c r="N90" i="2"/>
  <c r="O90" i="2" s="1"/>
  <c r="N72" i="2"/>
  <c r="O72" i="2" s="1"/>
  <c r="N60" i="2"/>
  <c r="O60" i="2" s="1"/>
  <c r="N54" i="2"/>
  <c r="O54" i="2" s="1"/>
  <c r="N42" i="2"/>
  <c r="O42" i="2" s="1"/>
  <c r="N30" i="2"/>
  <c r="O30" i="2" s="1"/>
  <c r="N24" i="2"/>
  <c r="O24" i="2" s="1"/>
  <c r="N18" i="2"/>
  <c r="O18" i="2" s="1"/>
  <c r="N6" i="2"/>
  <c r="O6" i="2" s="1"/>
  <c r="N88" i="2"/>
  <c r="O88" i="2" s="1"/>
  <c r="N70" i="2"/>
  <c r="O70" i="2" s="1"/>
  <c r="N84" i="2"/>
  <c r="O84" i="2" s="1"/>
  <c r="N99" i="2"/>
  <c r="O99" i="2" s="1"/>
  <c r="N9" i="2"/>
  <c r="O9" i="2" s="1"/>
  <c r="N36" i="2"/>
  <c r="O36" i="2" s="1"/>
  <c r="V91" i="2"/>
  <c r="W91" i="2" s="1"/>
  <c r="V73" i="2"/>
  <c r="W73" i="2" s="1"/>
  <c r="V55" i="2"/>
  <c r="W55" i="2" s="1"/>
  <c r="V19" i="2"/>
  <c r="W19" i="2" s="1"/>
  <c r="V34" i="2"/>
  <c r="W34" i="2" s="1"/>
  <c r="V95" i="2"/>
  <c r="W95" i="2" s="1"/>
  <c r="V89" i="2"/>
  <c r="W89" i="2" s="1"/>
  <c r="V83" i="2"/>
  <c r="W83" i="2" s="1"/>
  <c r="V77" i="2"/>
  <c r="W77" i="2" s="1"/>
  <c r="V71" i="2"/>
  <c r="W71" i="2" s="1"/>
  <c r="V65" i="2"/>
  <c r="W65" i="2" s="1"/>
  <c r="V59" i="2"/>
  <c r="W59" i="2" s="1"/>
  <c r="V53" i="2"/>
  <c r="W53" i="2" s="1"/>
  <c r="V47" i="2"/>
  <c r="W47" i="2" s="1"/>
  <c r="V41" i="2"/>
  <c r="W41" i="2" s="1"/>
  <c r="V35" i="2"/>
  <c r="W35" i="2" s="1"/>
  <c r="V29" i="2"/>
  <c r="W29" i="2" s="1"/>
  <c r="V23" i="2"/>
  <c r="W23" i="2" s="1"/>
  <c r="V17" i="2"/>
  <c r="W17" i="2" s="1"/>
  <c r="V11" i="2"/>
  <c r="W11" i="2" s="1"/>
  <c r="V5" i="2"/>
  <c r="W5" i="2" s="1"/>
  <c r="V99" i="2"/>
  <c r="W99" i="2" s="1"/>
  <c r="V93" i="2"/>
  <c r="W93" i="2" s="1"/>
  <c r="V87" i="2"/>
  <c r="W87" i="2" s="1"/>
  <c r="V81" i="2"/>
  <c r="W81" i="2" s="1"/>
  <c r="V75" i="2"/>
  <c r="W75" i="2" s="1"/>
  <c r="V69" i="2"/>
  <c r="W69" i="2" s="1"/>
  <c r="V63" i="2"/>
  <c r="W63" i="2" s="1"/>
  <c r="V57" i="2"/>
  <c r="W57" i="2" s="1"/>
  <c r="V51" i="2"/>
  <c r="W51" i="2" s="1"/>
  <c r="V45" i="2"/>
  <c r="W45" i="2" s="1"/>
  <c r="V39" i="2"/>
  <c r="W39" i="2" s="1"/>
  <c r="V33" i="2"/>
  <c r="W33" i="2" s="1"/>
  <c r="V27" i="2"/>
  <c r="W27" i="2" s="1"/>
  <c r="V21" i="2"/>
  <c r="W21" i="2" s="1"/>
  <c r="V15" i="2"/>
  <c r="W15" i="2" s="1"/>
  <c r="V9" i="2"/>
  <c r="W9" i="2" s="1"/>
  <c r="V92" i="2"/>
  <c r="W92" i="2" s="1"/>
  <c r="V74" i="2"/>
  <c r="W74" i="2" s="1"/>
  <c r="V56" i="2"/>
  <c r="W56" i="2" s="1"/>
  <c r="V20" i="2"/>
  <c r="W20" i="2" s="1"/>
  <c r="W1" i="2" l="1"/>
  <c r="O1" i="2"/>
  <c r="AT1" i="2"/>
  <c r="AD1" i="2"/>
  <c r="V1" i="2"/>
  <c r="AL1" i="2"/>
  <c r="N1" i="2"/>
  <c r="B1" i="2" l="1"/>
  <c r="E4" i="2"/>
  <c r="F4" i="2" s="1"/>
  <c r="G4" i="2" s="1"/>
  <c r="E5" i="2"/>
  <c r="F5" i="2" s="1"/>
  <c r="G5" i="2" s="1"/>
  <c r="E6" i="2"/>
  <c r="F6" i="2" s="1"/>
  <c r="G6" i="2" s="1"/>
  <c r="E7" i="2"/>
  <c r="F7" i="2" s="1"/>
  <c r="G7" i="2" s="1"/>
  <c r="E8" i="2"/>
  <c r="F8" i="2" s="1"/>
  <c r="G8" i="2" s="1"/>
  <c r="E9" i="2"/>
  <c r="F9" i="2" s="1"/>
  <c r="G9" i="2" s="1"/>
  <c r="E10" i="2"/>
  <c r="F10" i="2" s="1"/>
  <c r="G10" i="2" s="1"/>
  <c r="E11" i="2"/>
  <c r="F11" i="2" s="1"/>
  <c r="G11" i="2" s="1"/>
  <c r="E12" i="2"/>
  <c r="F12" i="2" s="1"/>
  <c r="G12" i="2" s="1"/>
  <c r="E13" i="2"/>
  <c r="F13" i="2" s="1"/>
  <c r="G13" i="2" s="1"/>
  <c r="E14" i="2"/>
  <c r="F14" i="2" s="1"/>
  <c r="G14" i="2" s="1"/>
  <c r="E15" i="2"/>
  <c r="F15" i="2" s="1"/>
  <c r="G15" i="2" s="1"/>
  <c r="E16" i="2"/>
  <c r="F16" i="2" s="1"/>
  <c r="G16" i="2" s="1"/>
  <c r="E17" i="2"/>
  <c r="F17" i="2" s="1"/>
  <c r="G17" i="2" s="1"/>
  <c r="E18" i="2"/>
  <c r="F18" i="2" s="1"/>
  <c r="G18" i="2" s="1"/>
  <c r="E19" i="2"/>
  <c r="F19" i="2" s="1"/>
  <c r="G19" i="2" s="1"/>
  <c r="E20" i="2"/>
  <c r="F20" i="2" s="1"/>
  <c r="G20" i="2" s="1"/>
  <c r="E21" i="2"/>
  <c r="E22" i="2"/>
  <c r="F22" i="2" s="1"/>
  <c r="G22" i="2" s="1"/>
  <c r="E23" i="2"/>
  <c r="F23" i="2" s="1"/>
  <c r="G23" i="2" s="1"/>
  <c r="E24" i="2"/>
  <c r="F24" i="2" s="1"/>
  <c r="G24" i="2" s="1"/>
  <c r="E25" i="2"/>
  <c r="F25" i="2" s="1"/>
  <c r="G25" i="2" s="1"/>
  <c r="E26" i="2"/>
  <c r="F26" i="2" s="1"/>
  <c r="G26" i="2" s="1"/>
  <c r="E27" i="2"/>
  <c r="E28" i="2"/>
  <c r="F28" i="2" s="1"/>
  <c r="G28" i="2" s="1"/>
  <c r="E29" i="2"/>
  <c r="F29" i="2" s="1"/>
  <c r="G29" i="2" s="1"/>
  <c r="E30" i="2"/>
  <c r="F30" i="2" s="1"/>
  <c r="G30" i="2" s="1"/>
  <c r="E31" i="2"/>
  <c r="F31" i="2" s="1"/>
  <c r="G31" i="2" s="1"/>
  <c r="E32" i="2"/>
  <c r="F32" i="2" s="1"/>
  <c r="G32" i="2" s="1"/>
  <c r="E33" i="2"/>
  <c r="E34" i="2"/>
  <c r="F34" i="2" s="1"/>
  <c r="G34" i="2" s="1"/>
  <c r="E35" i="2"/>
  <c r="F35" i="2" s="1"/>
  <c r="G35" i="2" s="1"/>
  <c r="E36" i="2"/>
  <c r="F36" i="2" s="1"/>
  <c r="G36" i="2" s="1"/>
  <c r="E37" i="2"/>
  <c r="F37" i="2" s="1"/>
  <c r="G37" i="2" s="1"/>
  <c r="E38" i="2"/>
  <c r="F38" i="2" s="1"/>
  <c r="G38" i="2" s="1"/>
  <c r="E39" i="2"/>
  <c r="E40" i="2"/>
  <c r="F40" i="2" s="1"/>
  <c r="G40" i="2" s="1"/>
  <c r="E41" i="2"/>
  <c r="F41" i="2" s="1"/>
  <c r="G41" i="2" s="1"/>
  <c r="E42" i="2"/>
  <c r="F42" i="2" s="1"/>
  <c r="G42" i="2" s="1"/>
  <c r="E43" i="2"/>
  <c r="F43" i="2" s="1"/>
  <c r="G43" i="2" s="1"/>
  <c r="E44" i="2"/>
  <c r="F44" i="2" s="1"/>
  <c r="G44" i="2" s="1"/>
  <c r="E45" i="2"/>
  <c r="E46" i="2"/>
  <c r="F46" i="2" s="1"/>
  <c r="G46" i="2" s="1"/>
  <c r="E47" i="2"/>
  <c r="F47" i="2" s="1"/>
  <c r="G47" i="2" s="1"/>
  <c r="E48" i="2"/>
  <c r="F48" i="2" s="1"/>
  <c r="G48" i="2" s="1"/>
  <c r="E49" i="2"/>
  <c r="F49" i="2" s="1"/>
  <c r="G49" i="2" s="1"/>
  <c r="E50" i="2"/>
  <c r="F50" i="2" s="1"/>
  <c r="G50" i="2" s="1"/>
  <c r="E51" i="2"/>
  <c r="E52" i="2"/>
  <c r="F52" i="2" s="1"/>
  <c r="G52" i="2" s="1"/>
  <c r="E53" i="2"/>
  <c r="F53" i="2" s="1"/>
  <c r="G53" i="2" s="1"/>
  <c r="E54" i="2"/>
  <c r="F54" i="2" s="1"/>
  <c r="G54" i="2" s="1"/>
  <c r="E55" i="2"/>
  <c r="F55" i="2" s="1"/>
  <c r="G55" i="2" s="1"/>
  <c r="E56" i="2"/>
  <c r="F56" i="2" s="1"/>
  <c r="G56" i="2" s="1"/>
  <c r="E57" i="2"/>
  <c r="E58" i="2"/>
  <c r="F58" i="2" s="1"/>
  <c r="G58" i="2" s="1"/>
  <c r="E59" i="2"/>
  <c r="F59" i="2" s="1"/>
  <c r="G59" i="2" s="1"/>
  <c r="E60" i="2"/>
  <c r="F60" i="2" s="1"/>
  <c r="G60" i="2" s="1"/>
  <c r="E61" i="2"/>
  <c r="F61" i="2" s="1"/>
  <c r="G61" i="2" s="1"/>
  <c r="E62" i="2"/>
  <c r="F62" i="2" s="1"/>
  <c r="G62" i="2" s="1"/>
  <c r="E63" i="2"/>
  <c r="E64" i="2"/>
  <c r="F64" i="2" s="1"/>
  <c r="G64" i="2" s="1"/>
  <c r="E65" i="2"/>
  <c r="F65" i="2" s="1"/>
  <c r="G65" i="2" s="1"/>
  <c r="E66" i="2"/>
  <c r="F66" i="2" s="1"/>
  <c r="G66" i="2" s="1"/>
  <c r="E67" i="2"/>
  <c r="F67" i="2" s="1"/>
  <c r="G67" i="2" s="1"/>
  <c r="E68" i="2"/>
  <c r="F68" i="2" s="1"/>
  <c r="G68" i="2" s="1"/>
  <c r="E69" i="2"/>
  <c r="E70" i="2"/>
  <c r="F70" i="2" s="1"/>
  <c r="G70" i="2" s="1"/>
  <c r="E71" i="2"/>
  <c r="F71" i="2" s="1"/>
  <c r="G71" i="2" s="1"/>
  <c r="E72" i="2"/>
  <c r="F72" i="2" s="1"/>
  <c r="G72" i="2" s="1"/>
  <c r="E73" i="2"/>
  <c r="F73" i="2" s="1"/>
  <c r="G73" i="2" s="1"/>
  <c r="E74" i="2"/>
  <c r="F74" i="2" s="1"/>
  <c r="G74" i="2" s="1"/>
  <c r="E75" i="2"/>
  <c r="E76" i="2"/>
  <c r="F76" i="2" s="1"/>
  <c r="G76" i="2" s="1"/>
  <c r="E77" i="2"/>
  <c r="F77" i="2" s="1"/>
  <c r="G77" i="2" s="1"/>
  <c r="E78" i="2"/>
  <c r="F78" i="2" s="1"/>
  <c r="G78" i="2" s="1"/>
  <c r="E79" i="2"/>
  <c r="F79" i="2" s="1"/>
  <c r="G79" i="2" s="1"/>
  <c r="E80" i="2"/>
  <c r="F80" i="2" s="1"/>
  <c r="G80" i="2" s="1"/>
  <c r="E81" i="2"/>
  <c r="E82" i="2"/>
  <c r="F82" i="2" s="1"/>
  <c r="G82" i="2" s="1"/>
  <c r="E83" i="2"/>
  <c r="F83" i="2" s="1"/>
  <c r="G83" i="2" s="1"/>
  <c r="E84" i="2"/>
  <c r="F84" i="2" s="1"/>
  <c r="G84" i="2" s="1"/>
  <c r="E85" i="2"/>
  <c r="F85" i="2" s="1"/>
  <c r="G85" i="2" s="1"/>
  <c r="E86" i="2"/>
  <c r="F86" i="2" s="1"/>
  <c r="G86" i="2" s="1"/>
  <c r="E87" i="2"/>
  <c r="E88" i="2"/>
  <c r="F88" i="2" s="1"/>
  <c r="G88" i="2" s="1"/>
  <c r="E89" i="2"/>
  <c r="F89" i="2" s="1"/>
  <c r="G89" i="2" s="1"/>
  <c r="E90" i="2"/>
  <c r="F90" i="2" s="1"/>
  <c r="G90" i="2" s="1"/>
  <c r="E91" i="2"/>
  <c r="F91" i="2" s="1"/>
  <c r="G91" i="2" s="1"/>
  <c r="E92" i="2"/>
  <c r="F92" i="2" s="1"/>
  <c r="G92" i="2" s="1"/>
  <c r="E93" i="2"/>
  <c r="E94" i="2"/>
  <c r="F94" i="2" s="1"/>
  <c r="G94" i="2" s="1"/>
  <c r="E3" i="2"/>
  <c r="F3" i="2" s="1"/>
  <c r="G3" i="2" s="1"/>
  <c r="F93" i="2" l="1"/>
  <c r="G93" i="2" s="1"/>
  <c r="F87" i="2"/>
  <c r="G87" i="2" s="1"/>
  <c r="F81" i="2"/>
  <c r="G81" i="2" s="1"/>
  <c r="F69" i="2"/>
  <c r="G69" i="2" s="1"/>
  <c r="F63" i="2"/>
  <c r="G63" i="2" s="1"/>
  <c r="F57" i="2"/>
  <c r="G57" i="2" s="1"/>
  <c r="F51" i="2"/>
  <c r="G51" i="2" s="1"/>
  <c r="F45" i="2"/>
  <c r="G45" i="2" s="1"/>
  <c r="F39" i="2"/>
  <c r="G39" i="2" s="1"/>
  <c r="F33" i="2"/>
  <c r="G33" i="2" s="1"/>
  <c r="F27" i="2"/>
  <c r="G27" i="2" s="1"/>
  <c r="F21" i="2"/>
  <c r="G21" i="2" s="1"/>
  <c r="F75" i="2"/>
  <c r="G75" i="2" s="1"/>
  <c r="G1" i="2" l="1"/>
  <c r="F1" i="2"/>
</calcChain>
</file>

<file path=xl/sharedStrings.xml><?xml version="1.0" encoding="utf-8"?>
<sst xmlns="http://schemas.openxmlformats.org/spreadsheetml/2006/main" count="87" uniqueCount="48">
  <si>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</si>
  <si>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</si>
  <si>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</si>
  <si>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</si>
  <si>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</si>
  <si>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</si>
  <si>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</si>
  <si>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</si>
  <si>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</si>
  <si>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</si>
  <si>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</si>
  <si>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</si>
  <si>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</si>
  <si>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</si>
  <si>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</si>
  <si>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</si>
  <si>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</si>
  <si>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</si>
  <si>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</si>
  <si>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</si>
  <si>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</si>
  <si>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</si>
  <si>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</si>
  <si>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</si>
  <si>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</si>
  <si>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</si>
  <si>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</si>
  <si>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</si>
  <si>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</si>
  <si>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</si>
  <si>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</si>
  <si>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</si>
  <si>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Ch2 Impulses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</si>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</sst>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168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168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164" fontId="1" fillId="6" borderId="0" xfId="0" applyNumberFormat="1" applyFont="1" applyFill="1"/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1" borderId="0" xfId="0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1 -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series'!$G$3:$G$94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0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series'!$K$3:$K$99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series'!$O$3:$O$99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series'!$S$3:$S$100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series'!$W$4:$W$100</c:f>
              <c:numCache>
                <c:formatCode>0.000</c:formatCode>
                <c:ptCount val="97"/>
                <c:pt idx="0">
                  <c:v>24.834623711052632</c:v>
                </c:pt>
                <c:pt idx="1">
                  <c:v>29.921368797033395</c:v>
                </c:pt>
                <c:pt idx="2">
                  <c:v>0</c:v>
                </c:pt>
                <c:pt idx="3">
                  <c:v>31.416100892084852</c:v>
                </c:pt>
                <c:pt idx="4">
                  <c:v>31.72190310962235</c:v>
                </c:pt>
                <c:pt idx="5">
                  <c:v>32.296096210611431</c:v>
                </c:pt>
                <c:pt idx="6">
                  <c:v>0</c:v>
                </c:pt>
                <c:pt idx="7">
                  <c:v>28.745635725673324</c:v>
                </c:pt>
                <c:pt idx="8">
                  <c:v>0</c:v>
                </c:pt>
                <c:pt idx="9">
                  <c:v>0</c:v>
                </c:pt>
                <c:pt idx="10">
                  <c:v>25.000150459147054</c:v>
                </c:pt>
                <c:pt idx="11">
                  <c:v>0</c:v>
                </c:pt>
                <c:pt idx="12">
                  <c:v>25.851328026017967</c:v>
                </c:pt>
                <c:pt idx="13">
                  <c:v>24.344066247837816</c:v>
                </c:pt>
                <c:pt idx="14">
                  <c:v>0</c:v>
                </c:pt>
                <c:pt idx="15">
                  <c:v>25.042965983382995</c:v>
                </c:pt>
                <c:pt idx="16">
                  <c:v>34.074083109995165</c:v>
                </c:pt>
                <c:pt idx="17">
                  <c:v>23.299505046324192</c:v>
                </c:pt>
                <c:pt idx="18">
                  <c:v>0</c:v>
                </c:pt>
                <c:pt idx="19">
                  <c:v>24.481562219331547</c:v>
                </c:pt>
                <c:pt idx="20">
                  <c:v>26.305713580823937</c:v>
                </c:pt>
                <c:pt idx="21">
                  <c:v>0</c:v>
                </c:pt>
                <c:pt idx="22">
                  <c:v>0</c:v>
                </c:pt>
                <c:pt idx="23">
                  <c:v>28.029419693648578</c:v>
                </c:pt>
                <c:pt idx="24">
                  <c:v>0</c:v>
                </c:pt>
                <c:pt idx="25">
                  <c:v>23.617769736132988</c:v>
                </c:pt>
                <c:pt idx="26">
                  <c:v>0</c:v>
                </c:pt>
                <c:pt idx="27">
                  <c:v>0</c:v>
                </c:pt>
                <c:pt idx="28">
                  <c:v>34.072659579360547</c:v>
                </c:pt>
                <c:pt idx="29">
                  <c:v>36.075288113137567</c:v>
                </c:pt>
                <c:pt idx="30">
                  <c:v>33.162763445790141</c:v>
                </c:pt>
                <c:pt idx="31">
                  <c:v>33.154611821964082</c:v>
                </c:pt>
                <c:pt idx="32">
                  <c:v>33.299564222719859</c:v>
                </c:pt>
                <c:pt idx="33">
                  <c:v>30.497558859900899</c:v>
                </c:pt>
                <c:pt idx="34">
                  <c:v>30.662751949554721</c:v>
                </c:pt>
                <c:pt idx="35">
                  <c:v>26.413777935966973</c:v>
                </c:pt>
                <c:pt idx="36">
                  <c:v>31.648459436364803</c:v>
                </c:pt>
                <c:pt idx="37">
                  <c:v>27.358674605746323</c:v>
                </c:pt>
                <c:pt idx="38">
                  <c:v>30.783289155104974</c:v>
                </c:pt>
                <c:pt idx="39">
                  <c:v>24.968028454143379</c:v>
                </c:pt>
                <c:pt idx="40">
                  <c:v>32.017461353840112</c:v>
                </c:pt>
                <c:pt idx="41">
                  <c:v>25.807271531844108</c:v>
                </c:pt>
                <c:pt idx="42">
                  <c:v>0</c:v>
                </c:pt>
                <c:pt idx="43">
                  <c:v>0</c:v>
                </c:pt>
                <c:pt idx="44">
                  <c:v>23.029285130619289</c:v>
                </c:pt>
                <c:pt idx="45">
                  <c:v>0</c:v>
                </c:pt>
                <c:pt idx="46">
                  <c:v>23.363546554934821</c:v>
                </c:pt>
                <c:pt idx="47">
                  <c:v>28.447231957877804</c:v>
                </c:pt>
                <c:pt idx="48">
                  <c:v>0</c:v>
                </c:pt>
                <c:pt idx="49">
                  <c:v>0</c:v>
                </c:pt>
                <c:pt idx="50">
                  <c:v>27.631963081806077</c:v>
                </c:pt>
                <c:pt idx="51">
                  <c:v>0</c:v>
                </c:pt>
                <c:pt idx="52">
                  <c:v>23.323837793864588</c:v>
                </c:pt>
                <c:pt idx="53">
                  <c:v>30.475025054476774</c:v>
                </c:pt>
                <c:pt idx="54">
                  <c:v>39.976974540218343</c:v>
                </c:pt>
                <c:pt idx="55">
                  <c:v>44.357726288728202</c:v>
                </c:pt>
                <c:pt idx="56">
                  <c:v>35.519168131343648</c:v>
                </c:pt>
                <c:pt idx="57">
                  <c:v>45.33368254123814</c:v>
                </c:pt>
                <c:pt idx="58">
                  <c:v>54.471179758949042</c:v>
                </c:pt>
                <c:pt idx="59">
                  <c:v>66.475800518584137</c:v>
                </c:pt>
                <c:pt idx="60">
                  <c:v>67.895630319562855</c:v>
                </c:pt>
                <c:pt idx="61">
                  <c:v>74.369135417746435</c:v>
                </c:pt>
                <c:pt idx="62">
                  <c:v>75.463396074733694</c:v>
                </c:pt>
                <c:pt idx="63">
                  <c:v>72.887401129850275</c:v>
                </c:pt>
                <c:pt idx="64">
                  <c:v>62.926854263426122</c:v>
                </c:pt>
                <c:pt idx="65">
                  <c:v>68.058800694432833</c:v>
                </c:pt>
                <c:pt idx="66">
                  <c:v>70.468009795221292</c:v>
                </c:pt>
                <c:pt idx="67">
                  <c:v>64.629613249745333</c:v>
                </c:pt>
                <c:pt idx="68">
                  <c:v>66.88126761185822</c:v>
                </c:pt>
                <c:pt idx="69">
                  <c:v>55.372613673813277</c:v>
                </c:pt>
                <c:pt idx="70">
                  <c:v>54.095331733934266</c:v>
                </c:pt>
                <c:pt idx="71">
                  <c:v>50.626120782656123</c:v>
                </c:pt>
                <c:pt idx="72">
                  <c:v>50.571011673526229</c:v>
                </c:pt>
                <c:pt idx="73">
                  <c:v>44.121621251906596</c:v>
                </c:pt>
                <c:pt idx="74">
                  <c:v>47.547214629001694</c:v>
                </c:pt>
                <c:pt idx="75">
                  <c:v>42.572631686625165</c:v>
                </c:pt>
                <c:pt idx="76">
                  <c:v>40.070420028323532</c:v>
                </c:pt>
                <c:pt idx="77">
                  <c:v>42.498084377982146</c:v>
                </c:pt>
                <c:pt idx="78">
                  <c:v>33.937431496062899</c:v>
                </c:pt>
                <c:pt idx="79">
                  <c:v>36.855333381216369</c:v>
                </c:pt>
                <c:pt idx="80">
                  <c:v>38.071665105915713</c:v>
                </c:pt>
                <c:pt idx="81">
                  <c:v>47.072201205244433</c:v>
                </c:pt>
                <c:pt idx="82">
                  <c:v>45.078553070083458</c:v>
                </c:pt>
                <c:pt idx="83">
                  <c:v>41.386267006171423</c:v>
                </c:pt>
                <c:pt idx="84">
                  <c:v>42.245370956387312</c:v>
                </c:pt>
                <c:pt idx="85">
                  <c:v>35.631584116137674</c:v>
                </c:pt>
                <c:pt idx="86">
                  <c:v>32.853333490527433</c:v>
                </c:pt>
                <c:pt idx="87">
                  <c:v>28.940109598441055</c:v>
                </c:pt>
                <c:pt idx="88">
                  <c:v>34.940571287453785</c:v>
                </c:pt>
                <c:pt idx="89">
                  <c:v>27.320662019534588</c:v>
                </c:pt>
                <c:pt idx="90">
                  <c:v>31.385143033866363</c:v>
                </c:pt>
                <c:pt idx="91">
                  <c:v>26.560697547969596</c:v>
                </c:pt>
                <c:pt idx="92">
                  <c:v>28.640680563368452</c:v>
                </c:pt>
                <c:pt idx="93">
                  <c:v>25.922024993699843</c:v>
                </c:pt>
                <c:pt idx="94">
                  <c:v>27.024533240405859</c:v>
                </c:pt>
                <c:pt idx="95">
                  <c:v>28.461926274567773</c:v>
                </c:pt>
                <c:pt idx="96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series'!$AA$3:$AA$99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series'!$AE$4:$AE$99</c:f>
              <c:numCache>
                <c:formatCode>0.00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36.822785439690144</c:v>
                </c:pt>
                <c:pt idx="74">
                  <c:v>41.575767813015752</c:v>
                </c:pt>
                <c:pt idx="75">
                  <c:v>34.109760413043801</c:v>
                </c:pt>
                <c:pt idx="76">
                  <c:v>29.560290618491003</c:v>
                </c:pt>
                <c:pt idx="77">
                  <c:v>24.977325558323379</c:v>
                </c:pt>
                <c:pt idx="78">
                  <c:v>0</c:v>
                </c:pt>
                <c:pt idx="79">
                  <c:v>23.237583535286383</c:v>
                </c:pt>
                <c:pt idx="80">
                  <c:v>25.165047965570441</c:v>
                </c:pt>
                <c:pt idx="81">
                  <c:v>27.938958525291447</c:v>
                </c:pt>
                <c:pt idx="82">
                  <c:v>43.539555051420827</c:v>
                </c:pt>
                <c:pt idx="83">
                  <c:v>37.676387217171367</c:v>
                </c:pt>
                <c:pt idx="84">
                  <c:v>29.02674252086134</c:v>
                </c:pt>
                <c:pt idx="85">
                  <c:v>23.634466339689034</c:v>
                </c:pt>
                <c:pt idx="86">
                  <c:v>0</c:v>
                </c:pt>
                <c:pt idx="87">
                  <c:v>23.848209119595776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series'!$AG$3:$AG$99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series'!$AI$3:$AI$99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series'!$AG$3:$AG$99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series'!$AM$4:$AM$99</c:f>
              <c:numCache>
                <c:formatCode>0.000</c:formatCode>
                <c:ptCount val="96"/>
                <c:pt idx="0">
                  <c:v>39.645456583396225</c:v>
                </c:pt>
                <c:pt idx="1">
                  <c:v>28.742904854222196</c:v>
                </c:pt>
                <c:pt idx="2">
                  <c:v>39.369533421059508</c:v>
                </c:pt>
                <c:pt idx="3">
                  <c:v>35.640768428102852</c:v>
                </c:pt>
                <c:pt idx="4">
                  <c:v>38.355507714735971</c:v>
                </c:pt>
                <c:pt idx="5">
                  <c:v>29.345566839890022</c:v>
                </c:pt>
                <c:pt idx="6">
                  <c:v>36.463198159789307</c:v>
                </c:pt>
                <c:pt idx="7">
                  <c:v>35.455946879836603</c:v>
                </c:pt>
                <c:pt idx="8">
                  <c:v>25.443584699087346</c:v>
                </c:pt>
                <c:pt idx="9">
                  <c:v>24.456389878309288</c:v>
                </c:pt>
                <c:pt idx="10">
                  <c:v>26.032136115911982</c:v>
                </c:pt>
                <c:pt idx="11">
                  <c:v>0</c:v>
                </c:pt>
                <c:pt idx="12">
                  <c:v>0</c:v>
                </c:pt>
                <c:pt idx="13">
                  <c:v>35.187040386560966</c:v>
                </c:pt>
                <c:pt idx="14">
                  <c:v>29.810545471853466</c:v>
                </c:pt>
                <c:pt idx="15">
                  <c:v>0</c:v>
                </c:pt>
                <c:pt idx="16">
                  <c:v>34.406977289796167</c:v>
                </c:pt>
                <c:pt idx="17">
                  <c:v>24.729441430649075</c:v>
                </c:pt>
                <c:pt idx="18">
                  <c:v>30.425202491694701</c:v>
                </c:pt>
                <c:pt idx="19">
                  <c:v>27.962656108126847</c:v>
                </c:pt>
                <c:pt idx="20">
                  <c:v>38.263805902213079</c:v>
                </c:pt>
                <c:pt idx="21">
                  <c:v>40.919234617726914</c:v>
                </c:pt>
                <c:pt idx="22">
                  <c:v>32.232064192136171</c:v>
                </c:pt>
                <c:pt idx="23">
                  <c:v>23.911198459324371</c:v>
                </c:pt>
                <c:pt idx="24">
                  <c:v>0</c:v>
                </c:pt>
                <c:pt idx="25">
                  <c:v>32.285996877975236</c:v>
                </c:pt>
                <c:pt idx="26">
                  <c:v>29.232837847728149</c:v>
                </c:pt>
                <c:pt idx="27">
                  <c:v>0</c:v>
                </c:pt>
                <c:pt idx="28">
                  <c:v>0</c:v>
                </c:pt>
                <c:pt idx="29">
                  <c:v>27.691201483776123</c:v>
                </c:pt>
                <c:pt idx="30">
                  <c:v>44.036775639007523</c:v>
                </c:pt>
                <c:pt idx="31">
                  <c:v>31.869579878084458</c:v>
                </c:pt>
                <c:pt idx="32">
                  <c:v>39.651546869503818</c:v>
                </c:pt>
                <c:pt idx="33">
                  <c:v>0</c:v>
                </c:pt>
                <c:pt idx="34">
                  <c:v>28.862487240276568</c:v>
                </c:pt>
                <c:pt idx="35">
                  <c:v>0</c:v>
                </c:pt>
                <c:pt idx="36">
                  <c:v>35.919798352605596</c:v>
                </c:pt>
                <c:pt idx="37">
                  <c:v>29.751265901467569</c:v>
                </c:pt>
                <c:pt idx="38">
                  <c:v>0</c:v>
                </c:pt>
                <c:pt idx="39">
                  <c:v>30.009830800478195</c:v>
                </c:pt>
                <c:pt idx="40">
                  <c:v>30.791908264570221</c:v>
                </c:pt>
                <c:pt idx="41">
                  <c:v>34.691563207225272</c:v>
                </c:pt>
                <c:pt idx="42">
                  <c:v>37.683186838441159</c:v>
                </c:pt>
                <c:pt idx="43">
                  <c:v>40.94006952406091</c:v>
                </c:pt>
                <c:pt idx="44">
                  <c:v>26.502178779401593</c:v>
                </c:pt>
                <c:pt idx="45">
                  <c:v>27.868981957172135</c:v>
                </c:pt>
                <c:pt idx="46">
                  <c:v>39.431641163362293</c:v>
                </c:pt>
                <c:pt idx="47">
                  <c:v>26.50900706392347</c:v>
                </c:pt>
                <c:pt idx="48">
                  <c:v>95.676352165121884</c:v>
                </c:pt>
                <c:pt idx="49">
                  <c:v>79.412228909168903</c:v>
                </c:pt>
                <c:pt idx="50">
                  <c:v>87.359013166733888</c:v>
                </c:pt>
                <c:pt idx="51">
                  <c:v>80.203388791059325</c:v>
                </c:pt>
                <c:pt idx="52">
                  <c:v>73.505784301683235</c:v>
                </c:pt>
                <c:pt idx="53">
                  <c:v>77.991984810012738</c:v>
                </c:pt>
                <c:pt idx="54">
                  <c:v>74.43223351140314</c:v>
                </c:pt>
                <c:pt idx="55">
                  <c:v>72.170223328675746</c:v>
                </c:pt>
                <c:pt idx="56">
                  <c:v>74.178212802820894</c:v>
                </c:pt>
                <c:pt idx="57">
                  <c:v>76.927800845856368</c:v>
                </c:pt>
                <c:pt idx="58">
                  <c:v>71.310016358111767</c:v>
                </c:pt>
                <c:pt idx="59">
                  <c:v>67.173524646610915</c:v>
                </c:pt>
                <c:pt idx="60">
                  <c:v>65.129236714115137</c:v>
                </c:pt>
                <c:pt idx="61">
                  <c:v>68.27913876301389</c:v>
                </c:pt>
                <c:pt idx="62">
                  <c:v>65.631610794766416</c:v>
                </c:pt>
                <c:pt idx="63">
                  <c:v>55.735939623692062</c:v>
                </c:pt>
                <c:pt idx="64">
                  <c:v>51.144889047467956</c:v>
                </c:pt>
                <c:pt idx="65">
                  <c:v>54.04557165756178</c:v>
                </c:pt>
                <c:pt idx="66">
                  <c:v>53.147300424444779</c:v>
                </c:pt>
                <c:pt idx="67">
                  <c:v>50.455102302710593</c:v>
                </c:pt>
                <c:pt idx="68">
                  <c:v>53.140791125360266</c:v>
                </c:pt>
                <c:pt idx="69">
                  <c:v>33.92002009615323</c:v>
                </c:pt>
                <c:pt idx="70">
                  <c:v>36.862092971941742</c:v>
                </c:pt>
                <c:pt idx="71">
                  <c:v>34.483850526131711</c:v>
                </c:pt>
                <c:pt idx="72">
                  <c:v>41.767563527184244</c:v>
                </c:pt>
                <c:pt idx="73">
                  <c:v>46.671742210542483</c:v>
                </c:pt>
                <c:pt idx="74">
                  <c:v>39.612466210306977</c:v>
                </c:pt>
                <c:pt idx="75">
                  <c:v>45.055678199723602</c:v>
                </c:pt>
                <c:pt idx="76">
                  <c:v>49.347151014865034</c:v>
                </c:pt>
                <c:pt idx="77">
                  <c:v>42.461458430102837</c:v>
                </c:pt>
                <c:pt idx="78">
                  <c:v>30.74138169190935</c:v>
                </c:pt>
                <c:pt idx="79">
                  <c:v>49.693531204440781</c:v>
                </c:pt>
                <c:pt idx="80">
                  <c:v>37.24385996388542</c:v>
                </c:pt>
                <c:pt idx="81">
                  <c:v>40.079843078936001</c:v>
                </c:pt>
                <c:pt idx="82">
                  <c:v>40.521872281664393</c:v>
                </c:pt>
                <c:pt idx="83">
                  <c:v>37.747875326223209</c:v>
                </c:pt>
                <c:pt idx="84">
                  <c:v>34.82937236324355</c:v>
                </c:pt>
                <c:pt idx="85">
                  <c:v>34.702384925613089</c:v>
                </c:pt>
                <c:pt idx="86">
                  <c:v>31.476237240272116</c:v>
                </c:pt>
                <c:pt idx="87">
                  <c:v>36.065416543332461</c:v>
                </c:pt>
                <c:pt idx="88">
                  <c:v>30.949052692459428</c:v>
                </c:pt>
                <c:pt idx="89">
                  <c:v>25.744450365142487</c:v>
                </c:pt>
                <c:pt idx="90">
                  <c:v>37.55779534446684</c:v>
                </c:pt>
                <c:pt idx="91">
                  <c:v>35.69955160850747</c:v>
                </c:pt>
                <c:pt idx="92">
                  <c:v>29.688577585078416</c:v>
                </c:pt>
                <c:pt idx="93">
                  <c:v>33.08081782499211</c:v>
                </c:pt>
                <c:pt idx="94">
                  <c:v>36.599771247132161</c:v>
                </c:pt>
                <c:pt idx="95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series'!$AO$3:$AO$99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series'!$AQ$3:$AQ$99</c:f>
              <c:numCache>
                <c:formatCode>General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series'!$AO$3:$AO$99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series'!$AU$4:$AU$99</c:f>
              <c:numCache>
                <c:formatCode>0.0000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23.529760888500462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25.573156472879504</c:v>
                </c:pt>
                <c:pt idx="56">
                  <c:v>67.633099751080081</c:v>
                </c:pt>
                <c:pt idx="57">
                  <c:v>54.018813623467587</c:v>
                </c:pt>
                <c:pt idx="58">
                  <c:v>106.83814356839687</c:v>
                </c:pt>
                <c:pt idx="59">
                  <c:v>99.673799545223744</c:v>
                </c:pt>
                <c:pt idx="60">
                  <c:v>97.062328103421052</c:v>
                </c:pt>
                <c:pt idx="61">
                  <c:v>89.15372486745953</c:v>
                </c:pt>
                <c:pt idx="62">
                  <c:v>102.1926083809247</c:v>
                </c:pt>
                <c:pt idx="63">
                  <c:v>99.684942648089418</c:v>
                </c:pt>
                <c:pt idx="64">
                  <c:v>90.763053303722728</c:v>
                </c:pt>
                <c:pt idx="65">
                  <c:v>100.38832478554443</c:v>
                </c:pt>
                <c:pt idx="66">
                  <c:v>93.632572938006859</c:v>
                </c:pt>
                <c:pt idx="67">
                  <c:v>102.77389380944318</c:v>
                </c:pt>
                <c:pt idx="68">
                  <c:v>89.997534827079306</c:v>
                </c:pt>
                <c:pt idx="69">
                  <c:v>94.455197655142982</c:v>
                </c:pt>
                <c:pt idx="70">
                  <c:v>105.54609071255388</c:v>
                </c:pt>
                <c:pt idx="71">
                  <c:v>111.38634211146521</c:v>
                </c:pt>
                <c:pt idx="72">
                  <c:v>94.772630546827756</c:v>
                </c:pt>
                <c:pt idx="73">
                  <c:v>92.806540268983241</c:v>
                </c:pt>
                <c:pt idx="74">
                  <c:v>91.412474790851846</c:v>
                </c:pt>
                <c:pt idx="75">
                  <c:v>87.888671447756025</c:v>
                </c:pt>
                <c:pt idx="76">
                  <c:v>89.177574662300941</c:v>
                </c:pt>
                <c:pt idx="77">
                  <c:v>89.611375120707919</c:v>
                </c:pt>
                <c:pt idx="78">
                  <c:v>98.111441353476664</c:v>
                </c:pt>
                <c:pt idx="79">
                  <c:v>93.357109770421886</c:v>
                </c:pt>
                <c:pt idx="80">
                  <c:v>91.908217180032523</c:v>
                </c:pt>
                <c:pt idx="81">
                  <c:v>97.11400082844311</c:v>
                </c:pt>
                <c:pt idx="82">
                  <c:v>106.90056919260005</c:v>
                </c:pt>
                <c:pt idx="83">
                  <c:v>95.122085563907291</c:v>
                </c:pt>
                <c:pt idx="84">
                  <c:v>103.52139276543167</c:v>
                </c:pt>
                <c:pt idx="85">
                  <c:v>102.71016099476968</c:v>
                </c:pt>
                <c:pt idx="86">
                  <c:v>99.414688875378118</c:v>
                </c:pt>
                <c:pt idx="87">
                  <c:v>101.39818079228969</c:v>
                </c:pt>
                <c:pt idx="88">
                  <c:v>108.53988152284299</c:v>
                </c:pt>
                <c:pt idx="89">
                  <c:v>124.59799853071195</c:v>
                </c:pt>
                <c:pt idx="90">
                  <c:v>111.26932127393435</c:v>
                </c:pt>
                <c:pt idx="91">
                  <c:v>112.54240468732938</c:v>
                </c:pt>
                <c:pt idx="92">
                  <c:v>106.14772263372836</c:v>
                </c:pt>
                <c:pt idx="93">
                  <c:v>112.86400971102771</c:v>
                </c:pt>
                <c:pt idx="94">
                  <c:v>102.22091020609001</c:v>
                </c:pt>
                <c:pt idx="95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609601</xdr:colOff>
      <xdr:row>95</xdr:row>
      <xdr:rowOff>104775</xdr:rowOff>
    </xdr:from>
    <xdr:to>
      <xdr:col>6</xdr:col>
      <xdr:colOff>333376</xdr:colOff>
      <xdr:row>109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485775</xdr:colOff>
      <xdr:row>99</xdr:row>
      <xdr:rowOff>133350</xdr:rowOff>
    </xdr:from>
    <xdr:to>
      <xdr:col>14</xdr:col>
      <xdr:colOff>323850</xdr:colOff>
      <xdr:row>114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1074964</xdr:colOff>
      <xdr:row>100</xdr:row>
      <xdr:rowOff>149679</xdr:rowOff>
    </xdr:from>
    <xdr:to>
      <xdr:col>22</xdr:col>
      <xdr:colOff>464003</xdr:colOff>
      <xdr:row>115</xdr:row>
      <xdr:rowOff>35379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261935</xdr:colOff>
      <xdr:row>101</xdr:row>
      <xdr:rowOff>27954</xdr:rowOff>
    </xdr:from>
    <xdr:to>
      <xdr:col>30</xdr:col>
      <xdr:colOff>281643</xdr:colOff>
      <xdr:row>115</xdr:row>
      <xdr:rowOff>104154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748393</xdr:colOff>
      <xdr:row>100</xdr:row>
      <xdr:rowOff>163286</xdr:rowOff>
    </xdr:from>
    <xdr:to>
      <xdr:col>38</xdr:col>
      <xdr:colOff>74137</xdr:colOff>
      <xdr:row>115</xdr:row>
      <xdr:rowOff>48986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557893</xdr:colOff>
      <xdr:row>100</xdr:row>
      <xdr:rowOff>108857</xdr:rowOff>
    </xdr:from>
    <xdr:to>
      <xdr:col>45</xdr:col>
      <xdr:colOff>944993</xdr:colOff>
      <xdr:row>114</xdr:row>
      <xdr:rowOff>185057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tabSelected="1" topLeftCell="H1" workbookViewId="0">
      <selection activeCell="R9" sqref="R9"/>
    </sheetView>
  </sheetViews>
  <sheetFormatPr defaultRowHeight="15" x14ac:dyDescent="0.25"/>
  <cols>
    <col min="1" max="1" width="17.42578125" customWidth="1"/>
    <col min="3" max="3" width="14.42578125" customWidth="1"/>
    <col min="5" max="5" width="12.5703125" customWidth="1"/>
    <col min="7" max="7" width="13" customWidth="1"/>
    <col min="9" max="9" width="12" customWidth="1"/>
    <col min="11" max="11" width="12.85546875" customWidth="1"/>
    <col min="12" max="12" width="9.5703125" bestFit="1" customWidth="1"/>
    <col min="13" max="13" width="11.85546875" customWidth="1"/>
    <col min="15" max="15" width="12.5703125" customWidth="1"/>
  </cols>
  <sheetData>
    <row r="2" spans="1:21" x14ac:dyDescent="0.25">
      <c r="B2" s="72" t="s">
        <v>29</v>
      </c>
      <c r="C2" s="72"/>
      <c r="D2" s="73" t="s">
        <v>36</v>
      </c>
      <c r="E2" s="73"/>
      <c r="F2" s="74" t="s">
        <v>37</v>
      </c>
      <c r="G2" s="74"/>
      <c r="H2" s="75" t="s">
        <v>38</v>
      </c>
      <c r="I2" s="75"/>
      <c r="J2" s="76" t="s">
        <v>39</v>
      </c>
      <c r="K2" s="76"/>
      <c r="L2" s="71" t="s">
        <v>40</v>
      </c>
      <c r="M2" s="71"/>
      <c r="N2" s="81" t="s">
        <v>44</v>
      </c>
      <c r="O2" s="81"/>
      <c r="P2" s="82" t="s">
        <v>45</v>
      </c>
      <c r="Q2" s="82"/>
      <c r="R2" s="83" t="s">
        <v>46</v>
      </c>
      <c r="S2" s="83"/>
      <c r="T2" s="72" t="s">
        <v>47</v>
      </c>
      <c r="U2" s="72"/>
    </row>
    <row r="3" spans="1:21" x14ac:dyDescent="0.25">
      <c r="A3" t="s">
        <v>0</v>
      </c>
      <c r="B3" s="21">
        <v>2.7100659833378001E-2</v>
      </c>
      <c r="C3" s="20">
        <v>44776.625694444447</v>
      </c>
      <c r="D3" s="58">
        <v>1.03130225848837E-2</v>
      </c>
      <c r="E3" s="59">
        <v>44781.625694444447</v>
      </c>
      <c r="F3" s="57">
        <v>3.3894640450781402E-2</v>
      </c>
      <c r="G3" s="34">
        <v>45136.65625</v>
      </c>
      <c r="H3" s="41">
        <v>1.4897205278113701E-2</v>
      </c>
      <c r="I3" s="42">
        <v>0.77083333333333337</v>
      </c>
      <c r="J3" s="61">
        <v>5.6741231058604902E-2</v>
      </c>
      <c r="K3" s="62">
        <v>45166.510416666664</v>
      </c>
      <c r="L3" s="64">
        <v>0.12148791730821901</v>
      </c>
      <c r="M3" s="65">
        <v>45183.75</v>
      </c>
      <c r="N3" s="84">
        <v>5.38596691217735E-2</v>
      </c>
      <c r="O3" s="85">
        <v>45046.78125</v>
      </c>
    </row>
    <row r="4" spans="1:21" x14ac:dyDescent="0.25">
      <c r="A4" t="s">
        <v>1</v>
      </c>
      <c r="B4" s="21">
        <v>1.73415591077304E-2</v>
      </c>
      <c r="C4" s="20">
        <v>44776.625694444447</v>
      </c>
      <c r="D4" s="58">
        <v>7.7748894996124401E-3</v>
      </c>
      <c r="E4" s="59">
        <v>44781.625694444447</v>
      </c>
      <c r="F4" s="57">
        <v>2.45471667611072E-2</v>
      </c>
      <c r="G4" s="34">
        <v>45136.65625</v>
      </c>
      <c r="H4" s="41">
        <v>8.0441004530797805E-3</v>
      </c>
      <c r="I4" s="42">
        <v>0.77083333333333337</v>
      </c>
      <c r="J4" s="61">
        <v>3.5270738108725101E-2</v>
      </c>
      <c r="K4" s="62">
        <v>45166.510416666664</v>
      </c>
      <c r="L4" s="64">
        <v>6.33040571897725E-2</v>
      </c>
      <c r="M4" s="65">
        <v>45183.75</v>
      </c>
      <c r="N4" s="84">
        <v>3.8845723186713102E-2</v>
      </c>
      <c r="O4" s="85">
        <v>45046.989583333336</v>
      </c>
    </row>
    <row r="5" spans="1:21" x14ac:dyDescent="0.25">
      <c r="A5" t="s">
        <v>2</v>
      </c>
      <c r="B5" s="21">
        <v>1.75334302078048E-2</v>
      </c>
      <c r="C5" s="20">
        <v>44776.625694444447</v>
      </c>
      <c r="D5" s="58">
        <v>7.6956360133416798E-3</v>
      </c>
      <c r="E5" s="59">
        <v>44781.625694444447</v>
      </c>
      <c r="F5" s="57">
        <v>2.45122321428459E-2</v>
      </c>
      <c r="G5" s="34">
        <v>45136.65625</v>
      </c>
      <c r="H5" s="41">
        <v>8.0763578503031796E-3</v>
      </c>
      <c r="I5" s="42">
        <v>0.77083333333333337</v>
      </c>
      <c r="J5" s="61">
        <v>3.4439974703429702E-2</v>
      </c>
      <c r="K5" s="62">
        <v>45166.510416666664</v>
      </c>
      <c r="L5" s="64">
        <v>5.8734947455230002E-2</v>
      </c>
      <c r="M5" s="65">
        <v>45183.75</v>
      </c>
      <c r="N5" s="84">
        <v>3.8631953422046103E-2</v>
      </c>
      <c r="O5" s="85">
        <v>45047.010416666664</v>
      </c>
    </row>
    <row r="6" spans="1:21" x14ac:dyDescent="0.25">
      <c r="A6" t="s">
        <v>3</v>
      </c>
      <c r="B6" s="9">
        <v>0</v>
      </c>
      <c r="C6" s="20">
        <v>44776.000694444447</v>
      </c>
      <c r="D6" s="60">
        <v>0</v>
      </c>
      <c r="E6" s="59">
        <v>44781.000694444447</v>
      </c>
      <c r="F6" s="33">
        <v>0</v>
      </c>
      <c r="G6" s="34">
        <v>45136</v>
      </c>
      <c r="H6" s="43">
        <v>0</v>
      </c>
      <c r="I6" s="44">
        <v>0</v>
      </c>
      <c r="J6" s="63">
        <v>1</v>
      </c>
      <c r="K6" s="62">
        <v>45166.510416666664</v>
      </c>
      <c r="L6" s="66">
        <v>2</v>
      </c>
      <c r="M6" s="65">
        <v>45183.75</v>
      </c>
      <c r="N6" s="84">
        <v>0</v>
      </c>
      <c r="O6" s="85">
        <v>45046</v>
      </c>
    </row>
    <row r="7" spans="1:21" x14ac:dyDescent="0.25">
      <c r="A7" t="s">
        <v>4</v>
      </c>
      <c r="B7" s="9">
        <v>11</v>
      </c>
      <c r="C7" s="20">
        <v>44776.625694444447</v>
      </c>
      <c r="D7" s="60">
        <v>0</v>
      </c>
      <c r="E7" s="59">
        <v>44781.000694444447</v>
      </c>
      <c r="F7" s="33">
        <v>2</v>
      </c>
      <c r="G7" s="34">
        <v>45136.666666666664</v>
      </c>
      <c r="H7" s="43">
        <v>0</v>
      </c>
      <c r="I7" s="44">
        <v>0</v>
      </c>
      <c r="J7" s="63">
        <v>28</v>
      </c>
      <c r="K7" s="62">
        <v>45166.510416666664</v>
      </c>
      <c r="L7" s="66">
        <v>126</v>
      </c>
      <c r="M7" s="65">
        <v>45183.75</v>
      </c>
      <c r="N7" s="84">
        <v>4</v>
      </c>
      <c r="O7" s="85">
        <v>45046.78125</v>
      </c>
    </row>
    <row r="8" spans="1:21" x14ac:dyDescent="0.25">
      <c r="A8" t="s">
        <v>5</v>
      </c>
      <c r="B8" s="9">
        <v>199</v>
      </c>
      <c r="C8" s="20">
        <v>44776.625694444447</v>
      </c>
      <c r="D8" s="60">
        <v>3</v>
      </c>
      <c r="E8" s="59">
        <v>44781.698611111111</v>
      </c>
      <c r="F8" s="33">
        <v>117</v>
      </c>
      <c r="G8" s="34">
        <v>45136.65625</v>
      </c>
      <c r="H8" s="43">
        <v>36</v>
      </c>
      <c r="I8" s="44">
        <v>0.28125</v>
      </c>
      <c r="J8" s="63">
        <v>646</v>
      </c>
      <c r="K8" s="62">
        <v>45166.510416666664</v>
      </c>
      <c r="L8" s="66">
        <v>2055</v>
      </c>
      <c r="M8" s="65">
        <v>45183.75</v>
      </c>
      <c r="N8" s="84">
        <v>372</v>
      </c>
      <c r="O8" s="85">
        <v>45046.989583333336</v>
      </c>
    </row>
    <row r="9" spans="1:21" x14ac:dyDescent="0.25">
      <c r="A9" t="s">
        <v>6</v>
      </c>
      <c r="B9" s="9">
        <v>2627</v>
      </c>
      <c r="C9" s="20">
        <v>44776.625694444447</v>
      </c>
      <c r="D9" s="60">
        <v>336</v>
      </c>
      <c r="E9" s="59">
        <v>44781.625694444447</v>
      </c>
      <c r="F9" s="33">
        <v>4935</v>
      </c>
      <c r="G9" s="34">
        <v>45136.65625</v>
      </c>
      <c r="H9" s="43">
        <v>461</v>
      </c>
      <c r="I9" s="42">
        <v>0.77083333333333337</v>
      </c>
      <c r="J9" s="63">
        <v>7213</v>
      </c>
      <c r="K9" s="62">
        <v>45166.510416666664</v>
      </c>
      <c r="L9" s="66">
        <v>9680</v>
      </c>
      <c r="M9" s="65">
        <v>45183.75</v>
      </c>
      <c r="N9" s="84">
        <v>13877</v>
      </c>
      <c r="O9" s="85">
        <v>45046.9375</v>
      </c>
    </row>
    <row r="10" spans="1:21" x14ac:dyDescent="0.25">
      <c r="A10" t="s">
        <v>7</v>
      </c>
      <c r="B10" s="9">
        <v>11852</v>
      </c>
      <c r="C10" s="20">
        <v>44776.636111111111</v>
      </c>
      <c r="D10" s="60">
        <v>11744</v>
      </c>
      <c r="E10" s="59">
        <v>44781.625694444447</v>
      </c>
      <c r="F10" s="33">
        <v>10289</v>
      </c>
      <c r="G10" s="34">
        <v>45136.625</v>
      </c>
      <c r="H10" s="43">
        <v>6670</v>
      </c>
      <c r="I10" s="42">
        <v>0.77083333333333337</v>
      </c>
      <c r="J10" s="63">
        <v>10382</v>
      </c>
      <c r="K10" s="62">
        <v>45166.520833333336</v>
      </c>
      <c r="L10" s="66">
        <v>9147</v>
      </c>
      <c r="M10" s="65">
        <v>45183.614583333336</v>
      </c>
      <c r="N10" s="84">
        <v>8663</v>
      </c>
      <c r="O10" s="85">
        <v>45046.635416666664</v>
      </c>
    </row>
    <row r="11" spans="1:21" x14ac:dyDescent="0.25">
      <c r="A11" t="s">
        <v>8</v>
      </c>
      <c r="B11" s="9">
        <v>15119</v>
      </c>
      <c r="C11" s="20">
        <v>44776.802777777775</v>
      </c>
      <c r="D11" s="60">
        <v>15383</v>
      </c>
      <c r="E11" s="59">
        <v>44781.584027777775</v>
      </c>
      <c r="F11" s="33">
        <v>10588</v>
      </c>
      <c r="G11" s="34">
        <v>45136.229166666664</v>
      </c>
      <c r="H11" s="43">
        <v>10150</v>
      </c>
      <c r="I11" s="42">
        <v>0.77083333333333337</v>
      </c>
      <c r="J11" s="63">
        <v>8381</v>
      </c>
      <c r="K11" s="62">
        <v>45166.5</v>
      </c>
      <c r="L11" s="66">
        <v>9270</v>
      </c>
      <c r="M11" s="65">
        <v>45183.229166666664</v>
      </c>
      <c r="N11" s="84">
        <v>2368</v>
      </c>
      <c r="O11" s="85">
        <v>45046.333333333336</v>
      </c>
    </row>
    <row r="12" spans="1:21" x14ac:dyDescent="0.25">
      <c r="A12" t="s">
        <v>9</v>
      </c>
      <c r="B12" s="9">
        <v>0</v>
      </c>
      <c r="C12" s="20">
        <v>44776.000694444447</v>
      </c>
      <c r="D12" s="60">
        <v>0</v>
      </c>
      <c r="E12" s="59">
        <v>44781.000694444447</v>
      </c>
      <c r="F12" s="33">
        <v>0</v>
      </c>
      <c r="G12" s="34">
        <v>45136</v>
      </c>
      <c r="H12" s="43">
        <v>0</v>
      </c>
      <c r="I12" s="44">
        <v>0</v>
      </c>
      <c r="J12" s="61">
        <v>4.4300089970899799E-2</v>
      </c>
      <c r="K12" s="62">
        <v>45166.510416666664</v>
      </c>
      <c r="L12" s="64">
        <v>7.8997664635741496E-2</v>
      </c>
      <c r="M12" s="65">
        <v>45183.739583333336</v>
      </c>
      <c r="N12" s="84">
        <v>0</v>
      </c>
      <c r="O12" s="85">
        <v>45046</v>
      </c>
    </row>
    <row r="13" spans="1:21" x14ac:dyDescent="0.25">
      <c r="A13" t="s">
        <v>10</v>
      </c>
      <c r="B13" s="9">
        <v>0</v>
      </c>
      <c r="C13" s="20">
        <v>44776.000694444447</v>
      </c>
      <c r="D13" s="60">
        <v>0</v>
      </c>
      <c r="E13" s="59">
        <v>44781.000694444447</v>
      </c>
      <c r="F13" s="33">
        <v>0</v>
      </c>
      <c r="G13" s="34">
        <v>45136</v>
      </c>
      <c r="H13" s="43">
        <v>0</v>
      </c>
      <c r="I13" s="44">
        <v>0</v>
      </c>
      <c r="J13" s="61">
        <v>4.4300089970899799E-2</v>
      </c>
      <c r="K13" s="62">
        <v>45166.510416666664</v>
      </c>
      <c r="L13" s="64">
        <v>7.8997664635741496E-2</v>
      </c>
      <c r="M13" s="65">
        <v>45183.739583333336</v>
      </c>
      <c r="N13" s="84">
        <v>0</v>
      </c>
      <c r="O13" s="85">
        <v>45046</v>
      </c>
    </row>
    <row r="14" spans="1:21" x14ac:dyDescent="0.25">
      <c r="A14" t="s">
        <v>11</v>
      </c>
      <c r="B14" s="9">
        <v>0</v>
      </c>
      <c r="C14" s="20">
        <v>44776.000694444447</v>
      </c>
      <c r="D14" s="60">
        <v>0</v>
      </c>
      <c r="E14" s="59">
        <v>44781.000694444447</v>
      </c>
      <c r="F14" s="33">
        <v>0</v>
      </c>
      <c r="G14" s="34">
        <v>45136</v>
      </c>
      <c r="H14" s="43">
        <v>0</v>
      </c>
      <c r="I14" s="44">
        <v>0</v>
      </c>
      <c r="J14" s="61">
        <v>4.4300089970899799E-2</v>
      </c>
      <c r="K14" s="62">
        <v>45166.510416666664</v>
      </c>
      <c r="L14" s="64">
        <v>7.8997664635741496E-2</v>
      </c>
      <c r="M14" s="65">
        <v>45183.739583333336</v>
      </c>
      <c r="N14" s="84">
        <v>0</v>
      </c>
      <c r="O14" s="85">
        <v>45046</v>
      </c>
    </row>
    <row r="15" spans="1:21" x14ac:dyDescent="0.25">
      <c r="A15" t="s">
        <v>12</v>
      </c>
      <c r="B15" s="21">
        <v>0.108402639333512</v>
      </c>
      <c r="C15" s="20">
        <v>44776.625694444447</v>
      </c>
      <c r="D15" s="60">
        <v>0</v>
      </c>
      <c r="E15" s="59">
        <v>44781.000694444447</v>
      </c>
      <c r="F15" s="57">
        <v>0.114178758147192</v>
      </c>
      <c r="G15" s="34">
        <v>45136.666666666664</v>
      </c>
      <c r="H15" s="43">
        <v>0</v>
      </c>
      <c r="I15" s="44">
        <v>0</v>
      </c>
      <c r="J15" s="61">
        <v>0.22561108157867499</v>
      </c>
      <c r="K15" s="62">
        <v>45166.510416666664</v>
      </c>
      <c r="L15" s="64">
        <v>0.48595166923287902</v>
      </c>
      <c r="M15" s="65">
        <v>45183.75</v>
      </c>
      <c r="N15" s="84">
        <v>0.215438676487094</v>
      </c>
      <c r="O15" s="85">
        <v>45046.78125</v>
      </c>
    </row>
    <row r="16" spans="1:21" x14ac:dyDescent="0.25">
      <c r="A16" t="s">
        <v>13</v>
      </c>
      <c r="B16" s="21">
        <v>8.5195492688122099E-2</v>
      </c>
      <c r="C16" s="20">
        <v>44776.625694444447</v>
      </c>
      <c r="D16" s="60">
        <v>0</v>
      </c>
      <c r="E16" s="59">
        <v>44781.000694444447</v>
      </c>
      <c r="F16" s="57">
        <v>0.10729609555229699</v>
      </c>
      <c r="G16" s="34">
        <v>45136.666666666664</v>
      </c>
      <c r="H16" s="43">
        <v>0</v>
      </c>
      <c r="I16" s="44">
        <v>0</v>
      </c>
      <c r="J16" s="61">
        <v>0.15225238482678499</v>
      </c>
      <c r="K16" s="62">
        <v>45166.510416666664</v>
      </c>
      <c r="L16" s="64">
        <v>0.26878015500851199</v>
      </c>
      <c r="M16" s="65">
        <v>45183.75</v>
      </c>
      <c r="N16" s="84">
        <v>0.215438676487094</v>
      </c>
      <c r="O16" s="85">
        <v>45046.78125</v>
      </c>
    </row>
    <row r="17" spans="1:15" x14ac:dyDescent="0.25">
      <c r="A17" t="s">
        <v>14</v>
      </c>
      <c r="B17" s="21">
        <v>8.1549751061042799E-2</v>
      </c>
      <c r="C17" s="20">
        <v>44776.625694444447</v>
      </c>
      <c r="D17" s="60">
        <v>0</v>
      </c>
      <c r="E17" s="59">
        <v>44781.000694444447</v>
      </c>
      <c r="F17" s="57">
        <v>0.10729609555229699</v>
      </c>
      <c r="G17" s="34">
        <v>45136.666666666664</v>
      </c>
      <c r="H17" s="43">
        <v>0</v>
      </c>
      <c r="I17" s="44">
        <v>0</v>
      </c>
      <c r="J17" s="61">
        <v>0.14915841719692599</v>
      </c>
      <c r="K17" s="62">
        <v>45166.510416666664</v>
      </c>
      <c r="L17" s="64">
        <v>0.25332701569766197</v>
      </c>
      <c r="M17" s="65">
        <v>45183.75</v>
      </c>
      <c r="N17" s="84">
        <v>0.215438676487094</v>
      </c>
      <c r="O17" s="85">
        <v>45046.78125</v>
      </c>
    </row>
    <row r="18" spans="1:15" x14ac:dyDescent="0.25">
      <c r="A18" t="s">
        <v>15</v>
      </c>
      <c r="B18" s="21">
        <v>0.43361055733404802</v>
      </c>
      <c r="C18" s="20">
        <v>44776.625694444447</v>
      </c>
      <c r="D18" s="58">
        <v>0.15462933529162801</v>
      </c>
      <c r="E18" s="59">
        <v>44781.615277777775</v>
      </c>
      <c r="F18" s="57">
        <v>0.54231424721250299</v>
      </c>
      <c r="G18" s="34">
        <v>45136.65625</v>
      </c>
      <c r="H18" s="41">
        <v>0.23835528444981899</v>
      </c>
      <c r="I18" s="42">
        <v>0.77083333333333337</v>
      </c>
      <c r="J18" s="61">
        <v>0.90785969693767898</v>
      </c>
      <c r="K18" s="62">
        <v>45166.510416666664</v>
      </c>
      <c r="L18" s="64">
        <v>1.9438066769315101</v>
      </c>
      <c r="M18" s="65">
        <v>45183.75</v>
      </c>
      <c r="N18" s="84">
        <v>0.861754705948377</v>
      </c>
      <c r="O18" s="85">
        <v>45046.78125</v>
      </c>
    </row>
    <row r="19" spans="1:15" x14ac:dyDescent="0.25">
      <c r="A19" t="s">
        <v>16</v>
      </c>
      <c r="B19" s="21">
        <v>0.283546008743847</v>
      </c>
      <c r="C19" s="20">
        <v>44776.625694444447</v>
      </c>
      <c r="D19" s="58">
        <v>0.15462933529162801</v>
      </c>
      <c r="E19" s="59">
        <v>44781.615277777775</v>
      </c>
      <c r="F19" s="57">
        <v>0.40212515642043301</v>
      </c>
      <c r="G19" s="34">
        <v>45136.65625</v>
      </c>
      <c r="H19" s="41">
        <v>0.17646182124931101</v>
      </c>
      <c r="I19" s="42">
        <v>0.77083333333333337</v>
      </c>
      <c r="J19" s="61">
        <v>0.56433180973960195</v>
      </c>
      <c r="K19" s="62">
        <v>45166.510416666664</v>
      </c>
      <c r="L19" s="64">
        <v>1.01286491503636</v>
      </c>
      <c r="M19" s="65">
        <v>45183.75</v>
      </c>
      <c r="N19" s="84">
        <v>0.62742814817229897</v>
      </c>
      <c r="O19" s="85">
        <v>45046.802083333336</v>
      </c>
    </row>
    <row r="20" spans="1:15" x14ac:dyDescent="0.25">
      <c r="A20" t="s">
        <v>17</v>
      </c>
      <c r="B20" s="21">
        <v>0.28905210154241401</v>
      </c>
      <c r="C20" s="20">
        <v>44776.625694444447</v>
      </c>
      <c r="D20" s="58">
        <v>0.15462933529162801</v>
      </c>
      <c r="E20" s="59">
        <v>44781.615277777775</v>
      </c>
      <c r="F20" s="57">
        <v>0.39659577629574799</v>
      </c>
      <c r="G20" s="34">
        <v>45136.65625</v>
      </c>
      <c r="H20" s="41">
        <v>0.17646182124931101</v>
      </c>
      <c r="I20" s="42">
        <v>0.77083333333333337</v>
      </c>
      <c r="J20" s="61">
        <v>0.551039595254876</v>
      </c>
      <c r="K20" s="62">
        <v>45166.510416666664</v>
      </c>
      <c r="L20" s="64">
        <v>0.93975915928368003</v>
      </c>
      <c r="M20" s="65">
        <v>45183.75</v>
      </c>
      <c r="N20" s="84">
        <v>0.63123391525783501</v>
      </c>
      <c r="O20" s="85">
        <v>45046.802083333336</v>
      </c>
    </row>
    <row r="21" spans="1:15" x14ac:dyDescent="0.25">
      <c r="A21" t="s">
        <v>18</v>
      </c>
      <c r="B21" s="21">
        <v>1.7344422293361901</v>
      </c>
      <c r="C21" s="20">
        <v>44776.625694444447</v>
      </c>
      <c r="D21" s="58">
        <v>0.66003344543256104</v>
      </c>
      <c r="E21" s="59">
        <v>44781.625694444447</v>
      </c>
      <c r="F21" s="57">
        <v>2.1692569888500102</v>
      </c>
      <c r="G21" s="34">
        <v>45136.65625</v>
      </c>
      <c r="H21" s="41">
        <v>0.95342113779927895</v>
      </c>
      <c r="I21" s="42">
        <v>0.77083333333333337</v>
      </c>
      <c r="J21" s="61">
        <v>3.6314387877507102</v>
      </c>
      <c r="K21" s="62">
        <v>45166.510416666664</v>
      </c>
      <c r="L21" s="64">
        <v>7.7752267077260697</v>
      </c>
      <c r="M21" s="65">
        <v>45183.75</v>
      </c>
      <c r="N21" s="84">
        <v>3.4470188237935</v>
      </c>
      <c r="O21" s="85">
        <v>45046.78125</v>
      </c>
    </row>
    <row r="22" spans="1:15" x14ac:dyDescent="0.25">
      <c r="A22" t="s">
        <v>19</v>
      </c>
      <c r="B22" s="21">
        <v>1.1098597828947401</v>
      </c>
      <c r="C22" s="20">
        <v>44776.625694444447</v>
      </c>
      <c r="D22" s="58">
        <v>0.50349909973876406</v>
      </c>
      <c r="E22" s="59">
        <v>44781.625694444447</v>
      </c>
      <c r="F22" s="57">
        <v>1.5710186727108599</v>
      </c>
      <c r="G22" s="34">
        <v>45136.65625</v>
      </c>
      <c r="H22" s="41">
        <v>0.51482242899710595</v>
      </c>
      <c r="I22" s="42">
        <v>0.77083333333333337</v>
      </c>
      <c r="J22" s="61">
        <v>2.25732723895841</v>
      </c>
      <c r="K22" s="62">
        <v>45166.510416666664</v>
      </c>
      <c r="L22" s="64">
        <v>4.05145966014544</v>
      </c>
      <c r="M22" s="65">
        <v>45183.75</v>
      </c>
      <c r="N22" s="84">
        <v>2.4861262839496399</v>
      </c>
      <c r="O22" s="85">
        <v>45046.989583333336</v>
      </c>
    </row>
    <row r="23" spans="1:15" x14ac:dyDescent="0.25">
      <c r="A23" t="s">
        <v>20</v>
      </c>
      <c r="B23" s="21">
        <v>1.1221395332995101</v>
      </c>
      <c r="C23" s="20">
        <v>44776.625694444447</v>
      </c>
      <c r="D23" s="58">
        <v>0.49734210593101602</v>
      </c>
      <c r="E23" s="59">
        <v>44781.625694444447</v>
      </c>
      <c r="F23" s="57">
        <v>1.5687828571421401</v>
      </c>
      <c r="G23" s="34">
        <v>45136.65625</v>
      </c>
      <c r="H23" s="41">
        <v>0.51688690241940405</v>
      </c>
      <c r="I23" s="42">
        <v>0.77083333333333337</v>
      </c>
      <c r="J23" s="61">
        <v>2.2041583810195</v>
      </c>
      <c r="K23" s="62">
        <v>45166.510416666664</v>
      </c>
      <c r="L23" s="64">
        <v>3.7590366371347201</v>
      </c>
      <c r="M23" s="65">
        <v>45183.75</v>
      </c>
      <c r="N23" s="84">
        <v>2.4724450190109502</v>
      </c>
      <c r="O23" s="85">
        <v>45047.010416666664</v>
      </c>
    </row>
    <row r="24" spans="1:15" x14ac:dyDescent="0.25">
      <c r="A24" t="s">
        <v>21</v>
      </c>
      <c r="B24" s="21">
        <v>6.9377689173447701</v>
      </c>
      <c r="C24" s="20">
        <v>44776.625694444447</v>
      </c>
      <c r="D24" s="58">
        <v>2.6401337817302402</v>
      </c>
      <c r="E24" s="59">
        <v>44781.625694444447</v>
      </c>
      <c r="F24" s="57">
        <v>8.6770279554000496</v>
      </c>
      <c r="G24" s="34">
        <v>45136.65625</v>
      </c>
      <c r="H24" s="41">
        <v>3.81368455119711</v>
      </c>
      <c r="I24" s="42">
        <v>0.77083333333333337</v>
      </c>
      <c r="J24" s="61">
        <v>14.5257551510028</v>
      </c>
      <c r="K24" s="62">
        <v>45166.510416666664</v>
      </c>
      <c r="L24" s="64">
        <v>31.100906830904201</v>
      </c>
      <c r="M24" s="65">
        <v>45183.75</v>
      </c>
      <c r="N24" s="84">
        <v>13.788075295174</v>
      </c>
      <c r="O24" s="85">
        <v>45046.78125</v>
      </c>
    </row>
    <row r="25" spans="1:15" x14ac:dyDescent="0.25">
      <c r="A25" t="s">
        <v>22</v>
      </c>
      <c r="B25" s="21">
        <v>4.4394391315789896</v>
      </c>
      <c r="C25" s="20">
        <v>44776.625694444447</v>
      </c>
      <c r="D25" s="58">
        <v>1.99037171190078</v>
      </c>
      <c r="E25" s="59">
        <v>44781.625694444447</v>
      </c>
      <c r="F25" s="57">
        <v>6.2840746908434504</v>
      </c>
      <c r="G25" s="34">
        <v>45136.65625</v>
      </c>
      <c r="H25" s="41">
        <v>2.0592897159884198</v>
      </c>
      <c r="I25" s="42">
        <v>0.77083333333333337</v>
      </c>
      <c r="J25" s="61">
        <v>9.0293089558336401</v>
      </c>
      <c r="K25" s="62">
        <v>45166.510416666664</v>
      </c>
      <c r="L25" s="64">
        <v>16.2058386405817</v>
      </c>
      <c r="M25" s="65">
        <v>45183.75</v>
      </c>
      <c r="N25" s="84">
        <v>9.9445051357985701</v>
      </c>
      <c r="O25" s="85">
        <v>45046.989583333336</v>
      </c>
    </row>
    <row r="26" spans="1:15" x14ac:dyDescent="0.25">
      <c r="A26" t="s">
        <v>23</v>
      </c>
      <c r="B26" s="21">
        <v>4.4885581331980502</v>
      </c>
      <c r="C26" s="20">
        <v>44776.625694444447</v>
      </c>
      <c r="D26" s="58">
        <v>1.97008281941547</v>
      </c>
      <c r="E26" s="59">
        <v>44781.625694444447</v>
      </c>
      <c r="F26" s="57">
        <v>6.2751314285685602</v>
      </c>
      <c r="G26" s="34">
        <v>45136.65625</v>
      </c>
      <c r="H26" s="41">
        <v>2.06754760967761</v>
      </c>
      <c r="I26" s="42">
        <v>0.77083333333333337</v>
      </c>
      <c r="J26" s="61">
        <v>8.8166335240780196</v>
      </c>
      <c r="K26" s="62">
        <v>45166.510416666664</v>
      </c>
      <c r="L26" s="64">
        <v>15.036146548538801</v>
      </c>
      <c r="M26" s="65">
        <v>45183.75</v>
      </c>
      <c r="N26" s="84">
        <v>9.8897800760438095</v>
      </c>
      <c r="O26" s="85">
        <v>45047.010416666664</v>
      </c>
    </row>
    <row r="27" spans="1:15" x14ac:dyDescent="0.25">
      <c r="A27" t="s">
        <v>24</v>
      </c>
      <c r="B27" s="21">
        <v>27.751075669378999</v>
      </c>
      <c r="C27" s="20">
        <v>44776.625694444447</v>
      </c>
      <c r="D27" s="58">
        <v>10.5605351269209</v>
      </c>
      <c r="E27" s="59">
        <v>44781.625694444447</v>
      </c>
      <c r="F27" s="57">
        <v>34.708111821600198</v>
      </c>
      <c r="G27" s="34">
        <v>45136.65625</v>
      </c>
      <c r="H27" s="41">
        <v>15.254738204788399</v>
      </c>
      <c r="I27" s="42">
        <v>0.77083333333333337</v>
      </c>
      <c r="J27" s="61">
        <v>58.103020604011398</v>
      </c>
      <c r="K27" s="62">
        <v>45166.510416666664</v>
      </c>
      <c r="L27" s="64">
        <v>124.403627323617</v>
      </c>
      <c r="M27" s="65">
        <v>45183.75</v>
      </c>
      <c r="N27" s="84">
        <v>55.152301180696099</v>
      </c>
      <c r="O27" s="85">
        <v>45046.78125</v>
      </c>
    </row>
    <row r="28" spans="1:15" x14ac:dyDescent="0.25">
      <c r="A28" t="s">
        <v>25</v>
      </c>
      <c r="B28" s="21">
        <v>17.757756526315902</v>
      </c>
      <c r="C28" s="20">
        <v>44776.625694444447</v>
      </c>
      <c r="D28" s="58">
        <v>7.9614868476031404</v>
      </c>
      <c r="E28" s="59">
        <v>44781.625694444447</v>
      </c>
      <c r="F28" s="57">
        <v>25.136298763373802</v>
      </c>
      <c r="G28" s="34">
        <v>45136.65625</v>
      </c>
      <c r="H28" s="41">
        <v>8.2371588639537006</v>
      </c>
      <c r="I28" s="42">
        <v>0.77083333333333337</v>
      </c>
      <c r="J28" s="61">
        <v>36.117235823334497</v>
      </c>
      <c r="K28" s="62">
        <v>45166.510416666664</v>
      </c>
      <c r="L28" s="64">
        <v>64.823354562326998</v>
      </c>
      <c r="M28" s="65">
        <v>45183.75</v>
      </c>
      <c r="N28" s="84">
        <v>39.778020543194202</v>
      </c>
      <c r="O28" s="85">
        <v>45046.989583333336</v>
      </c>
    </row>
    <row r="29" spans="1:15" x14ac:dyDescent="0.25">
      <c r="A29" t="s">
        <v>26</v>
      </c>
      <c r="B29" s="21">
        <v>17.954232532792201</v>
      </c>
      <c r="C29" s="20">
        <v>44776.625694444447</v>
      </c>
      <c r="D29" s="58">
        <v>7.8803312776618801</v>
      </c>
      <c r="E29" s="59">
        <v>44781.625694444447</v>
      </c>
      <c r="F29" s="57">
        <v>25.100525714274202</v>
      </c>
      <c r="G29" s="34">
        <v>45136.65625</v>
      </c>
      <c r="H29" s="41">
        <v>8.2701904387104594</v>
      </c>
      <c r="I29" s="42">
        <v>0.77083333333333337</v>
      </c>
      <c r="J29" s="61">
        <v>35.2665340963121</v>
      </c>
      <c r="K29" s="62">
        <v>45166.510416666664</v>
      </c>
      <c r="L29" s="64">
        <v>60.144586194155501</v>
      </c>
      <c r="M29" s="65">
        <v>45183.75</v>
      </c>
      <c r="N29" s="84">
        <v>39.559120304175202</v>
      </c>
      <c r="O29" s="85">
        <v>45047.010416666664</v>
      </c>
    </row>
    <row r="30" spans="1:15" x14ac:dyDescent="0.25">
      <c r="A30" t="s">
        <v>30</v>
      </c>
      <c r="B30" s="21">
        <v>22.620213794999898</v>
      </c>
      <c r="C30" s="22">
        <v>0.63611111111111107</v>
      </c>
      <c r="D30" s="58">
        <v>32.007500319999998</v>
      </c>
      <c r="E30" s="59">
        <v>44781.625694444447</v>
      </c>
      <c r="F30" s="57">
        <v>20.131538750000001</v>
      </c>
      <c r="G30" s="34">
        <v>45136.65625</v>
      </c>
      <c r="H30" s="41">
        <v>2.7664001109999998</v>
      </c>
      <c r="I30" s="42">
        <v>0.8125</v>
      </c>
      <c r="J30" s="61">
        <v>2.5487565000000001</v>
      </c>
      <c r="K30" s="62">
        <v>45166.5625</v>
      </c>
      <c r="L30" s="64">
        <v>6.6940258559999997</v>
      </c>
      <c r="M30" s="65">
        <v>45183.75</v>
      </c>
      <c r="N30" s="84">
        <v>87.058386479999996</v>
      </c>
      <c r="O30" s="85">
        <v>45046.875</v>
      </c>
    </row>
    <row r="31" spans="1:15" x14ac:dyDescent="0.25">
      <c r="A31" t="s">
        <v>31</v>
      </c>
      <c r="B31" s="21">
        <v>22.364671984258202</v>
      </c>
      <c r="C31" s="22">
        <v>0.63611111111111107</v>
      </c>
      <c r="D31" s="58">
        <v>23.970478424313601</v>
      </c>
      <c r="E31" s="59">
        <v>44781.625694444447</v>
      </c>
      <c r="F31" s="57">
        <v>11.742687795237201</v>
      </c>
      <c r="G31" s="34">
        <v>45136.65625</v>
      </c>
      <c r="H31" s="41">
        <v>6.6345603949445398</v>
      </c>
      <c r="I31" s="42">
        <v>0.85416666666666696</v>
      </c>
      <c r="J31" s="61">
        <v>6.4236681151493897</v>
      </c>
      <c r="K31" s="62">
        <v>45166.5625</v>
      </c>
      <c r="L31" s="64">
        <v>8.9088582431588499</v>
      </c>
      <c r="M31" s="65">
        <v>45183.75</v>
      </c>
      <c r="N31" s="84">
        <v>15.5113343788042</v>
      </c>
      <c r="O31" s="85">
        <v>45046.875</v>
      </c>
    </row>
  </sheetData>
  <mergeCells count="10">
    <mergeCell ref="N2:O2"/>
    <mergeCell ref="P2:Q2"/>
    <mergeCell ref="R2:S2"/>
    <mergeCell ref="T2:U2"/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AU100"/>
  <sheetViews>
    <sheetView topLeftCell="AH1" zoomScale="70" zoomScaleNormal="70" workbookViewId="0">
      <selection activeCell="AY37" sqref="AY37"/>
    </sheetView>
  </sheetViews>
  <sheetFormatPr defaultRowHeight="15" x14ac:dyDescent="0.25"/>
  <cols>
    <col min="1" max="1" width="16.85546875" style="2" customWidth="1"/>
    <col min="2" max="2" width="11.85546875" customWidth="1"/>
    <col min="3" max="3" width="12.28515625" customWidth="1"/>
    <col min="4" max="4" width="14.42578125" customWidth="1"/>
    <col min="5" max="5" width="12.85546875" style="2" customWidth="1"/>
    <col min="6" max="6" width="22.7109375" customWidth="1"/>
    <col min="7" max="7" width="12.7109375" customWidth="1"/>
    <col min="9" max="9" width="19.5703125" style="2" customWidth="1"/>
    <col min="10" max="10" width="11.28515625" style="2" customWidth="1"/>
    <col min="11" max="11" width="11" customWidth="1"/>
    <col min="12" max="12" width="14.42578125" customWidth="1"/>
    <col min="13" max="13" width="15.85546875" customWidth="1"/>
    <col min="14" max="14" width="22.7109375" customWidth="1"/>
    <col min="15" max="15" width="14" customWidth="1"/>
    <col min="17" max="17" width="22.42578125" customWidth="1"/>
    <col min="18" max="18" width="14.85546875" customWidth="1"/>
    <col min="19" max="19" width="12.140625" customWidth="1"/>
    <col min="20" max="20" width="15" customWidth="1"/>
    <col min="21" max="21" width="13.5703125" customWidth="1"/>
    <col min="22" max="22" width="18.42578125" customWidth="1"/>
    <col min="23" max="23" width="16.28515625" customWidth="1"/>
    <col min="25" max="25" width="17.5703125" customWidth="1"/>
    <col min="26" max="26" width="11.42578125" customWidth="1"/>
    <col min="27" max="27" width="11.5703125" customWidth="1"/>
    <col min="28" max="28" width="16.140625" customWidth="1"/>
    <col min="29" max="29" width="15.7109375" customWidth="1"/>
    <col min="30" max="30" width="17.28515625" customWidth="1"/>
    <col min="31" max="31" width="11.42578125" customWidth="1"/>
    <col min="33" max="33" width="19.28515625" customWidth="1"/>
    <col min="34" max="34" width="15" customWidth="1"/>
    <col min="35" max="35" width="14.28515625" customWidth="1"/>
    <col min="36" max="36" width="15.42578125" customWidth="1"/>
    <col min="37" max="37" width="19" customWidth="1"/>
    <col min="38" max="38" width="16.28515625" customWidth="1"/>
    <col min="39" max="39" width="17.7109375" customWidth="1"/>
    <col min="41" max="41" width="22" customWidth="1"/>
    <col min="42" max="42" width="17.85546875" customWidth="1"/>
    <col min="43" max="43" width="12.5703125" customWidth="1"/>
    <col min="44" max="44" width="14.85546875" customWidth="1"/>
    <col min="45" max="45" width="16.140625" customWidth="1"/>
    <col min="46" max="46" width="15.5703125" customWidth="1"/>
    <col min="47" max="47" width="14.42578125" customWidth="1"/>
  </cols>
  <sheetData>
    <row r="1" spans="1:47" x14ac:dyDescent="0.25">
      <c r="A1" s="15" t="s">
        <v>29</v>
      </c>
      <c r="B1" s="16">
        <f>MAX(B3:B94)</f>
        <v>2.7100659833378001E-2</v>
      </c>
      <c r="C1" s="7">
        <f>MAX(C3:C94)</f>
        <v>22.620213794999898</v>
      </c>
      <c r="F1" s="6">
        <f>MAX(F3:F94)</f>
        <v>4.8252724833329532</v>
      </c>
      <c r="G1" s="18">
        <f>MAX(G3:G94)</f>
        <v>80.273877098790663</v>
      </c>
      <c r="I1" s="28" t="s">
        <v>36</v>
      </c>
      <c r="J1" s="5">
        <f>MAX(J3:J99)</f>
        <v>1.03130225848837E-2</v>
      </c>
      <c r="K1" s="7">
        <f>MAX(K3:K99)</f>
        <v>32.007500319999998</v>
      </c>
      <c r="N1" s="5">
        <f>MAX(N3:N99)</f>
        <v>2.0186022872812361</v>
      </c>
      <c r="O1" s="18">
        <f>MAX(O3:O99)</f>
        <v>52.388619007464662</v>
      </c>
      <c r="Q1" s="2" t="s">
        <v>37</v>
      </c>
      <c r="R1" s="32">
        <f>MAX(R3:R100)</f>
        <v>3.3894640450781402E-2</v>
      </c>
      <c r="V1" s="7">
        <f>MAX(V3:V100)</f>
        <v>4.2532124658988861</v>
      </c>
      <c r="W1" s="18">
        <f>MAX(W3:W100)</f>
        <v>75.463396074733694</v>
      </c>
      <c r="Y1" s="4" t="s">
        <v>38</v>
      </c>
      <c r="Z1" s="32">
        <f>MAX(Z3:Z100)</f>
        <v>1.4897205278113701E-2</v>
      </c>
      <c r="AD1" s="7">
        <f>MAX(AD3:AD100)</f>
        <v>1.3834537968274923</v>
      </c>
      <c r="AE1" s="18">
        <f>MAX(AE3:AE99)</f>
        <v>43.539555051420827</v>
      </c>
      <c r="AG1" s="52" t="s">
        <v>39</v>
      </c>
      <c r="AH1" s="2">
        <f>MAX(AH3:AH99)</f>
        <v>5.6741231058604902E-2</v>
      </c>
      <c r="AL1" s="6">
        <f>MAX(AL3:AL99)</f>
        <v>6.9054078198322166</v>
      </c>
      <c r="AM1" s="32">
        <f>MAX(AM3:AM99)</f>
        <v>95.676352165121884</v>
      </c>
      <c r="AO1" s="68" t="s">
        <v>40</v>
      </c>
      <c r="AP1">
        <f>MAX(AP3:AP99)</f>
        <v>0.12148791730821901</v>
      </c>
      <c r="AT1" s="5">
        <f>MAX(AT3:AT99)</f>
        <v>11.842068106913624</v>
      </c>
      <c r="AU1" s="18">
        <f>MAX(AU3:AU99)</f>
        <v>124.59799853071195</v>
      </c>
    </row>
    <row r="2" spans="1:47" x14ac:dyDescent="0.25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I2" s="23" t="s">
        <v>27</v>
      </c>
      <c r="J2" s="24" t="s">
        <v>28</v>
      </c>
      <c r="K2" s="23" t="s">
        <v>34</v>
      </c>
      <c r="L2" s="23" t="s">
        <v>32</v>
      </c>
      <c r="M2" s="23" t="s">
        <v>33</v>
      </c>
      <c r="N2" s="23" t="s">
        <v>43</v>
      </c>
      <c r="O2" s="24" t="s">
        <v>35</v>
      </c>
      <c r="Q2" s="30" t="s">
        <v>27</v>
      </c>
      <c r="R2" s="31" t="s">
        <v>28</v>
      </c>
      <c r="S2" s="30" t="s">
        <v>34</v>
      </c>
      <c r="T2" s="30" t="s">
        <v>32</v>
      </c>
      <c r="U2" s="30" t="s">
        <v>33</v>
      </c>
      <c r="V2" s="30" t="s">
        <v>43</v>
      </c>
      <c r="W2" s="31" t="s">
        <v>35</v>
      </c>
      <c r="Y2" s="39" t="s">
        <v>27</v>
      </c>
      <c r="Z2" s="40" t="s">
        <v>28</v>
      </c>
      <c r="AA2" s="39" t="s">
        <v>34</v>
      </c>
      <c r="AB2" s="39" t="s">
        <v>32</v>
      </c>
      <c r="AC2" s="39" t="s">
        <v>33</v>
      </c>
      <c r="AD2" s="39" t="s">
        <v>43</v>
      </c>
      <c r="AE2" s="40" t="s">
        <v>35</v>
      </c>
      <c r="AG2" s="48" t="s">
        <v>27</v>
      </c>
      <c r="AH2" s="49" t="s">
        <v>28</v>
      </c>
      <c r="AI2" s="48" t="s">
        <v>34</v>
      </c>
      <c r="AJ2" s="48" t="s">
        <v>32</v>
      </c>
      <c r="AK2" s="48" t="s">
        <v>33</v>
      </c>
      <c r="AL2" s="48" t="s">
        <v>43</v>
      </c>
      <c r="AM2" s="49" t="s">
        <v>35</v>
      </c>
      <c r="AO2" s="55" t="s">
        <v>27</v>
      </c>
      <c r="AP2" s="56" t="s">
        <v>28</v>
      </c>
      <c r="AQ2" s="55" t="s">
        <v>34</v>
      </c>
      <c r="AR2" s="55" t="s">
        <v>32</v>
      </c>
      <c r="AS2" s="55" t="s">
        <v>33</v>
      </c>
      <c r="AT2" s="55" t="s">
        <v>43</v>
      </c>
      <c r="AU2" s="56" t="s">
        <v>35</v>
      </c>
    </row>
    <row r="3" spans="1:47" x14ac:dyDescent="0.25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3">
        <f>IF(37.141*F3^0.4897&gt;22.6, 37.141*F3^0.4897, 0)</f>
        <v>0</v>
      </c>
      <c r="I3" s="25">
        <v>44781.000694444447</v>
      </c>
      <c r="J3" s="26">
        <v>3.8910191295340401E-3</v>
      </c>
      <c r="K3" s="27">
        <v>1.4441644075</v>
      </c>
      <c r="L3" s="28">
        <v>1227</v>
      </c>
      <c r="M3" s="29">
        <f>L3/60</f>
        <v>20.45</v>
      </c>
      <c r="N3" s="26">
        <f>M3*J3</f>
        <v>7.9571341198971121E-2</v>
      </c>
      <c r="O3" s="29">
        <f>IF(37.141*N3^0.4897&gt;22.6, 37.141*N3^0.4897, 0)</f>
        <v>0</v>
      </c>
      <c r="Q3" s="35">
        <v>45136</v>
      </c>
      <c r="R3" s="78">
        <v>5.2961871226464398E-3</v>
      </c>
      <c r="S3" s="77">
        <v>0.85462156099999997</v>
      </c>
      <c r="T3" s="36">
        <v>2986</v>
      </c>
      <c r="U3" s="37">
        <f>T3/60</f>
        <v>49.766666666666666</v>
      </c>
      <c r="V3" s="37">
        <f t="shared" ref="V3:V34" si="0">R3*U3</f>
        <v>0.26357357913703783</v>
      </c>
      <c r="W3" s="38">
        <f>IF(37.141*V3^0.4897&gt;22.6, 37.141*V3^0.4897, 0)</f>
        <v>0</v>
      </c>
      <c r="Y3" s="45">
        <v>45151</v>
      </c>
      <c r="Z3" s="4">
        <v>4.0646084233256904E-3</v>
      </c>
      <c r="AA3" s="3">
        <v>0.42386643899999998</v>
      </c>
      <c r="AB3" s="4">
        <v>648</v>
      </c>
      <c r="AC3" s="46">
        <f>AB3/60</f>
        <v>10.8</v>
      </c>
      <c r="AD3" s="47">
        <f>AC3*Z3</f>
        <v>4.3897770971917459E-2</v>
      </c>
      <c r="AE3" s="50">
        <f>IF(37.141*AD3^0.4897&gt;22.6, 37.141*AD3^0.4897, 0)</f>
        <v>0</v>
      </c>
      <c r="AG3" s="51">
        <v>45166</v>
      </c>
      <c r="AH3" s="79">
        <v>6.2353489379986899E-3</v>
      </c>
      <c r="AI3" s="80">
        <v>0.31440712500000001</v>
      </c>
      <c r="AJ3" s="52">
        <v>1909</v>
      </c>
      <c r="AK3" s="53">
        <f>AJ3/60</f>
        <v>31.816666666666666</v>
      </c>
      <c r="AL3" s="79">
        <f>AK3*AH3</f>
        <v>0.19838801871065831</v>
      </c>
      <c r="AM3" s="54">
        <f>IF(37.141*AL3^0.4897&gt;22.6, 37.141*AL3^0.4897, 0)</f>
        <v>0</v>
      </c>
      <c r="AO3" s="67">
        <v>45183</v>
      </c>
      <c r="AP3" s="68">
        <v>4.27396022763828E-3</v>
      </c>
      <c r="AQ3" s="69">
        <v>0.44939223900000003</v>
      </c>
      <c r="AR3" s="69">
        <v>1143</v>
      </c>
      <c r="AS3" s="69">
        <f>AR3/60</f>
        <v>19.05</v>
      </c>
      <c r="AT3" s="69">
        <f>AS3*AP3</f>
        <v>8.1418942336509231E-2</v>
      </c>
      <c r="AU3" s="70">
        <f>IF(37.141*AT3^0.4897&gt;22.6, 37.141*AT3^0.4897, 0)</f>
        <v>0</v>
      </c>
    </row>
    <row r="4" spans="1:47" x14ac:dyDescent="0.25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">D4/60</f>
        <v>2.7666666666666666</v>
      </c>
      <c r="F4" s="12">
        <f>E4*B4</f>
        <v>5.0656962847708551E-3</v>
      </c>
      <c r="G4" s="13">
        <f t="shared" ref="G4:G67" si="2">IF(37.141*F4^0.4897&gt;22.6, 37.141*F4^0.4897, 0)</f>
        <v>0</v>
      </c>
      <c r="I4" s="25">
        <v>44781.011111111111</v>
      </c>
      <c r="J4" s="26">
        <v>4.1140294020959103E-3</v>
      </c>
      <c r="K4" s="27">
        <v>1.5123822984999999</v>
      </c>
      <c r="L4" s="28">
        <v>1319</v>
      </c>
      <c r="M4" s="29">
        <f t="shared" ref="M4:M67" si="3">L4/60</f>
        <v>21.983333333333334</v>
      </c>
      <c r="N4" s="26">
        <f>M4*J4</f>
        <v>9.044007968940844E-2</v>
      </c>
      <c r="O4" s="29">
        <f t="shared" ref="O4:O67" si="4">IF(37.141*N4^0.4897&gt;22.6, 37.141*N4^0.4897, 0)</f>
        <v>0</v>
      </c>
      <c r="Q4" s="35">
        <v>45136.010416666664</v>
      </c>
      <c r="R4" s="78">
        <v>6.5578895527806597E-3</v>
      </c>
      <c r="S4" s="77">
        <v>0.99067576999999996</v>
      </c>
      <c r="T4" s="36">
        <v>4022</v>
      </c>
      <c r="U4" s="37">
        <f t="shared" ref="U4:U67" si="5">T4/60</f>
        <v>67.033333333333331</v>
      </c>
      <c r="V4" s="37">
        <f t="shared" si="0"/>
        <v>0.43959719635473021</v>
      </c>
      <c r="W4" s="38">
        <f t="shared" ref="W4:W67" si="6">IF(37.141*V4^0.4897&gt;22.6, 37.141*V4^0.4897, 0)</f>
        <v>24.834623711052632</v>
      </c>
      <c r="Y4" s="45">
        <v>45151.010416666664</v>
      </c>
      <c r="Z4" s="4">
        <v>5.7380357523475096E-3</v>
      </c>
      <c r="AA4" s="3">
        <v>0.81307424100000003</v>
      </c>
      <c r="AB4" s="4">
        <v>1934</v>
      </c>
      <c r="AC4" s="46">
        <f t="shared" ref="AC4:AC67" si="7">AB4/60</f>
        <v>32.233333333333334</v>
      </c>
      <c r="AD4" s="47">
        <f>AC4*Z4</f>
        <v>0.18495601908400139</v>
      </c>
      <c r="AE4" s="50">
        <f t="shared" ref="AE4:AE67" si="8">IF(37.141*AD4^0.4897&gt;22.6, 37.141*AD4^0.4897, 0)</f>
        <v>0</v>
      </c>
      <c r="AG4" s="51">
        <v>45166.010416666664</v>
      </c>
      <c r="AH4" s="79">
        <v>1.2652725073571E-2</v>
      </c>
      <c r="AI4" s="80">
        <v>0.50323377899999999</v>
      </c>
      <c r="AJ4" s="52">
        <v>5418</v>
      </c>
      <c r="AK4" s="53">
        <f t="shared" ref="AK4:AK67" si="9">AJ4/60</f>
        <v>90.3</v>
      </c>
      <c r="AL4" s="79">
        <f>AK4*AH4</f>
        <v>1.1425410741434612</v>
      </c>
      <c r="AM4" s="54">
        <f>IF(37.141*AL4^0.4897&gt;22.6, 37.141*AL4^0.4897, 0)</f>
        <v>39.645456583396225</v>
      </c>
      <c r="AO4" s="67">
        <v>45183.010416666664</v>
      </c>
      <c r="AP4" s="68">
        <v>7.1462194869225202E-3</v>
      </c>
      <c r="AQ4" s="69">
        <v>0.44939223900000003</v>
      </c>
      <c r="AR4" s="69">
        <v>1456</v>
      </c>
      <c r="AS4" s="69">
        <f t="shared" ref="AS4:AS67" si="10">AR4/60</f>
        <v>24.266666666666666</v>
      </c>
      <c r="AT4" s="69">
        <f>AS4*AP4</f>
        <v>0.17341492621598648</v>
      </c>
      <c r="AU4" s="70">
        <f t="shared" ref="AU4:AU67" si="11">IF(37.141*AT4^0.4897&gt;22.6, 37.141*AT4^0.4897, 0)</f>
        <v>0</v>
      </c>
    </row>
    <row r="5" spans="1:47" x14ac:dyDescent="0.25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"/>
        <v>2.6</v>
      </c>
      <c r="F5" s="12">
        <f>E5*B5</f>
        <v>4.9684304237495982E-3</v>
      </c>
      <c r="G5" s="13">
        <f t="shared" si="2"/>
        <v>0</v>
      </c>
      <c r="I5" s="25">
        <v>44781.021527777775</v>
      </c>
      <c r="J5" s="26">
        <v>4.8180465017357297E-3</v>
      </c>
      <c r="K5" s="27">
        <v>1.3533179835</v>
      </c>
      <c r="L5" s="28">
        <v>1142</v>
      </c>
      <c r="M5" s="29">
        <f t="shared" si="3"/>
        <v>19.033333333333335</v>
      </c>
      <c r="N5" s="26">
        <f>M5*J5</f>
        <v>9.1703485083036732E-2</v>
      </c>
      <c r="O5" s="29">
        <f t="shared" si="4"/>
        <v>0</v>
      </c>
      <c r="Q5" s="35">
        <v>45136.020833333336</v>
      </c>
      <c r="R5" s="78">
        <v>8.2701496035337604E-3</v>
      </c>
      <c r="S5" s="77">
        <v>1.1441742989999999</v>
      </c>
      <c r="T5" s="36">
        <v>4666</v>
      </c>
      <c r="U5" s="37">
        <f t="shared" si="5"/>
        <v>77.766666666666666</v>
      </c>
      <c r="V5" s="37">
        <f t="shared" si="0"/>
        <v>0.64314196750147545</v>
      </c>
      <c r="W5" s="38">
        <f t="shared" si="6"/>
        <v>29.921368797033395</v>
      </c>
      <c r="Y5" s="45">
        <v>45151.020833333336</v>
      </c>
      <c r="Z5" s="4">
        <v>5.5164617106820803E-3</v>
      </c>
      <c r="AA5" s="3">
        <v>0.50323377899999999</v>
      </c>
      <c r="AB5" s="4">
        <v>830</v>
      </c>
      <c r="AC5" s="46">
        <f t="shared" si="7"/>
        <v>13.833333333333334</v>
      </c>
      <c r="AD5" s="47">
        <f>AC5*Z5</f>
        <v>7.6311053664435441E-2</v>
      </c>
      <c r="AE5" s="50">
        <f t="shared" si="8"/>
        <v>0</v>
      </c>
      <c r="AG5" s="51">
        <v>45166.020833333336</v>
      </c>
      <c r="AH5" s="79">
        <v>9.1951867851858098E-3</v>
      </c>
      <c r="AI5" s="80">
        <v>0.376777213</v>
      </c>
      <c r="AJ5" s="52">
        <v>3866</v>
      </c>
      <c r="AK5" s="53">
        <f t="shared" si="9"/>
        <v>64.433333333333337</v>
      </c>
      <c r="AL5" s="79">
        <f>AK5*AH5</f>
        <v>0.59247653519213905</v>
      </c>
      <c r="AM5" s="54">
        <f t="shared" ref="AM5:AM67" si="12">IF(37.141*AL5^0.4897&gt;22.6, 37.141*AL5^0.4897, 0)</f>
        <v>28.742904854222196</v>
      </c>
      <c r="AO5" s="67">
        <v>45183.020833333336</v>
      </c>
      <c r="AP5" s="68">
        <v>4.5827994986773497E-3</v>
      </c>
      <c r="AQ5" s="69">
        <v>0.44894941300000002</v>
      </c>
      <c r="AR5" s="69">
        <v>1318</v>
      </c>
      <c r="AS5" s="69">
        <f t="shared" si="10"/>
        <v>21.966666666666665</v>
      </c>
      <c r="AT5" s="69">
        <f>AS5*AP5</f>
        <v>0.10066882898761244</v>
      </c>
      <c r="AU5" s="70">
        <f t="shared" si="11"/>
        <v>0</v>
      </c>
    </row>
    <row r="6" spans="1:47" x14ac:dyDescent="0.25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"/>
        <v>2.3333333333333335</v>
      </c>
      <c r="F6" s="12">
        <f>E6*B6</f>
        <v>3.9373420131113366E-3</v>
      </c>
      <c r="G6" s="13">
        <f t="shared" si="2"/>
        <v>0</v>
      </c>
      <c r="I6" s="25">
        <v>44781.031944444447</v>
      </c>
      <c r="J6" s="26">
        <v>3.3458903436103201E-3</v>
      </c>
      <c r="K6" s="27">
        <v>1.3056302835</v>
      </c>
      <c r="L6" s="28">
        <v>1133</v>
      </c>
      <c r="M6" s="29">
        <f t="shared" si="3"/>
        <v>18.883333333333333</v>
      </c>
      <c r="N6" s="26">
        <f>M6*J6</f>
        <v>6.3181562655174883E-2</v>
      </c>
      <c r="O6" s="29">
        <f t="shared" si="4"/>
        <v>0</v>
      </c>
      <c r="Q6" s="35">
        <v>45136.03125</v>
      </c>
      <c r="R6" s="78">
        <v>5.0806678921883897E-3</v>
      </c>
      <c r="S6" s="77">
        <v>0.73432993800000002</v>
      </c>
      <c r="T6" s="36">
        <v>2568</v>
      </c>
      <c r="U6" s="37">
        <f t="shared" si="5"/>
        <v>42.8</v>
      </c>
      <c r="V6" s="37">
        <f t="shared" si="0"/>
        <v>0.21745258578566307</v>
      </c>
      <c r="W6" s="38">
        <f t="shared" si="6"/>
        <v>0</v>
      </c>
      <c r="Y6" s="45">
        <v>45151.03125</v>
      </c>
      <c r="Z6" s="4">
        <v>8.1778152933130593E-3</v>
      </c>
      <c r="AA6" s="3">
        <v>0.69769667099999999</v>
      </c>
      <c r="AB6" s="4">
        <v>1804</v>
      </c>
      <c r="AC6" s="46">
        <f t="shared" si="7"/>
        <v>30.066666666666666</v>
      </c>
      <c r="AD6" s="47">
        <f>AC6*Z6</f>
        <v>0.24587964648561264</v>
      </c>
      <c r="AE6" s="50">
        <f t="shared" si="8"/>
        <v>0</v>
      </c>
      <c r="AG6" s="51">
        <v>45166.03125</v>
      </c>
      <c r="AH6" s="79">
        <v>1.5173261866540701E-2</v>
      </c>
      <c r="AI6" s="80">
        <v>0.42386643899999998</v>
      </c>
      <c r="AJ6" s="52">
        <v>4454</v>
      </c>
      <c r="AK6" s="53">
        <f t="shared" si="9"/>
        <v>74.233333333333334</v>
      </c>
      <c r="AL6" s="79">
        <f>AK6*AH6</f>
        <v>1.1263618058928713</v>
      </c>
      <c r="AM6" s="54">
        <f t="shared" si="12"/>
        <v>39.369533421059508</v>
      </c>
      <c r="AO6" s="67">
        <v>45183.03125</v>
      </c>
      <c r="AP6" s="68">
        <v>7.4133539473626503E-3</v>
      </c>
      <c r="AQ6" s="69">
        <v>0.59425534599999996</v>
      </c>
      <c r="AR6" s="69">
        <v>2084</v>
      </c>
      <c r="AS6" s="69">
        <f t="shared" si="10"/>
        <v>34.733333333333334</v>
      </c>
      <c r="AT6" s="69">
        <f>AS6*AP6</f>
        <v>0.25749049377172939</v>
      </c>
      <c r="AU6" s="70">
        <f t="shared" si="11"/>
        <v>0</v>
      </c>
    </row>
    <row r="7" spans="1:47" x14ac:dyDescent="0.25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"/>
        <v>2.6333333333333333</v>
      </c>
      <c r="F7" s="12">
        <f>E7*B7</f>
        <v>4.5408843627231174E-3</v>
      </c>
      <c r="G7" s="13">
        <f t="shared" si="2"/>
        <v>0</v>
      </c>
      <c r="I7" s="25">
        <v>44781.042361111111</v>
      </c>
      <c r="J7" s="26">
        <v>4.0338568213079302E-3</v>
      </c>
      <c r="K7" s="27">
        <v>1.3930697775000001</v>
      </c>
      <c r="L7" s="28">
        <v>1250</v>
      </c>
      <c r="M7" s="29">
        <f t="shared" si="3"/>
        <v>20.833333333333332</v>
      </c>
      <c r="N7" s="26">
        <f>M7*J7</f>
        <v>8.4038683777248546E-2</v>
      </c>
      <c r="O7" s="29">
        <f t="shared" si="4"/>
        <v>0</v>
      </c>
      <c r="Q7" s="35">
        <v>45136.041666666664</v>
      </c>
      <c r="R7" s="78">
        <v>8.18501275629426E-3</v>
      </c>
      <c r="S7" s="77">
        <v>1.317101139</v>
      </c>
      <c r="T7" s="36">
        <v>5208</v>
      </c>
      <c r="U7" s="37">
        <f t="shared" si="5"/>
        <v>86.8</v>
      </c>
      <c r="V7" s="37">
        <f t="shared" si="0"/>
        <v>0.71045910724634176</v>
      </c>
      <c r="W7" s="38">
        <f t="shared" si="6"/>
        <v>31.416100892084852</v>
      </c>
      <c r="Y7" s="45">
        <v>45151.041666666664</v>
      </c>
      <c r="Z7" s="4">
        <v>7.37397531382136E-3</v>
      </c>
      <c r="AA7" s="3">
        <v>0.69769667099999999</v>
      </c>
      <c r="AB7" s="4">
        <v>1779</v>
      </c>
      <c r="AC7" s="46">
        <f t="shared" si="7"/>
        <v>29.65</v>
      </c>
      <c r="AD7" s="47">
        <f>AC7*Z7</f>
        <v>0.2186383680548033</v>
      </c>
      <c r="AE7" s="50">
        <f t="shared" si="8"/>
        <v>0</v>
      </c>
      <c r="AG7" s="51">
        <v>45166.041666666664</v>
      </c>
      <c r="AH7" s="79">
        <v>1.2167439556441201E-2</v>
      </c>
      <c r="AI7" s="80">
        <v>0.42386643899999998</v>
      </c>
      <c r="AJ7" s="52">
        <v>4533</v>
      </c>
      <c r="AK7" s="53">
        <f t="shared" si="9"/>
        <v>75.55</v>
      </c>
      <c r="AL7" s="79">
        <f>AK7*AH7</f>
        <v>0.91925005848913266</v>
      </c>
      <c r="AM7" s="54">
        <f t="shared" si="12"/>
        <v>35.640768428102852</v>
      </c>
      <c r="AO7" s="67">
        <v>45183.041666666664</v>
      </c>
      <c r="AP7" s="68">
        <v>5.4663213325717901E-3</v>
      </c>
      <c r="AQ7" s="69">
        <v>0.399936554</v>
      </c>
      <c r="AR7" s="69">
        <v>1096</v>
      </c>
      <c r="AS7" s="69">
        <f t="shared" si="10"/>
        <v>18.266666666666666</v>
      </c>
      <c r="AT7" s="69">
        <f>AS7*AP7</f>
        <v>9.985146967497803E-2</v>
      </c>
      <c r="AU7" s="70">
        <f t="shared" si="11"/>
        <v>0</v>
      </c>
    </row>
    <row r="8" spans="1:47" x14ac:dyDescent="0.25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"/>
        <v>2.3833333333333333</v>
      </c>
      <c r="F8" s="12">
        <f>E8*B8</f>
        <v>3.5046110161618266E-3</v>
      </c>
      <c r="G8" s="13">
        <f t="shared" si="2"/>
        <v>0</v>
      </c>
      <c r="I8" s="25">
        <v>44781.052777777775</v>
      </c>
      <c r="J8" s="26">
        <v>3.37164121232515E-3</v>
      </c>
      <c r="K8" s="27">
        <v>1.357638297</v>
      </c>
      <c r="L8" s="28">
        <v>1223</v>
      </c>
      <c r="M8" s="29">
        <f t="shared" si="3"/>
        <v>20.383333333333333</v>
      </c>
      <c r="N8" s="26">
        <f>M8*J8</f>
        <v>6.8725286711227643E-2</v>
      </c>
      <c r="O8" s="29">
        <f t="shared" si="4"/>
        <v>0</v>
      </c>
      <c r="Q8" s="35">
        <v>45136.052083333336</v>
      </c>
      <c r="R8" s="78">
        <v>9.4849839824454E-3</v>
      </c>
      <c r="S8" s="77">
        <v>1.1441742989999999</v>
      </c>
      <c r="T8" s="36">
        <v>4584</v>
      </c>
      <c r="U8" s="37">
        <f t="shared" si="5"/>
        <v>76.400000000000006</v>
      </c>
      <c r="V8" s="37">
        <f t="shared" si="0"/>
        <v>0.72465277625882862</v>
      </c>
      <c r="W8" s="38">
        <f t="shared" si="6"/>
        <v>31.72190310962235</v>
      </c>
      <c r="Y8" s="45">
        <v>45151.052083333336</v>
      </c>
      <c r="Z8" s="4">
        <v>5.1172948044195098E-3</v>
      </c>
      <c r="AA8" s="3">
        <v>0.66168135500000003</v>
      </c>
      <c r="AB8" s="4">
        <v>1412</v>
      </c>
      <c r="AC8" s="46">
        <f t="shared" si="7"/>
        <v>23.533333333333335</v>
      </c>
      <c r="AD8" s="47">
        <f>AC8*Z8</f>
        <v>0.12042700439733914</v>
      </c>
      <c r="AE8" s="50">
        <f t="shared" si="8"/>
        <v>0</v>
      </c>
      <c r="AG8" s="51">
        <v>45166.052083333336</v>
      </c>
      <c r="AH8" s="79">
        <v>1.31922622969669E-2</v>
      </c>
      <c r="AI8" s="80">
        <v>0.44894941300000002</v>
      </c>
      <c r="AJ8" s="52">
        <v>4857</v>
      </c>
      <c r="AK8" s="53">
        <f t="shared" si="9"/>
        <v>80.95</v>
      </c>
      <c r="AL8" s="79">
        <f>AK8*AH8</f>
        <v>1.0679136329394707</v>
      </c>
      <c r="AM8" s="54">
        <f t="shared" si="12"/>
        <v>38.355507714735971</v>
      </c>
      <c r="AO8" s="67">
        <v>45183.052083333336</v>
      </c>
      <c r="AP8" s="68">
        <v>7.2387601189118E-3</v>
      </c>
      <c r="AQ8" s="69">
        <v>0.50323377899999999</v>
      </c>
      <c r="AR8" s="69">
        <v>1870</v>
      </c>
      <c r="AS8" s="69">
        <f t="shared" si="10"/>
        <v>31.166666666666668</v>
      </c>
      <c r="AT8" s="69">
        <f>AS8*AP8</f>
        <v>0.22560802370608443</v>
      </c>
      <c r="AU8" s="70">
        <f t="shared" si="11"/>
        <v>0</v>
      </c>
    </row>
    <row r="9" spans="1:47" x14ac:dyDescent="0.25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"/>
        <v>2.4666666666666668</v>
      </c>
      <c r="F9" s="12">
        <f>E9*B9</f>
        <v>4.1107265238599358E-3</v>
      </c>
      <c r="G9" s="13">
        <f t="shared" si="2"/>
        <v>0</v>
      </c>
      <c r="I9" s="25">
        <v>44781.063194444447</v>
      </c>
      <c r="J9" s="26">
        <v>4.3578673023543599E-3</v>
      </c>
      <c r="K9" s="27">
        <v>1.362681324</v>
      </c>
      <c r="L9" s="28">
        <v>1302</v>
      </c>
      <c r="M9" s="29">
        <f t="shared" si="3"/>
        <v>21.7</v>
      </c>
      <c r="N9" s="26">
        <f>M9*J9</f>
        <v>9.4565720461089603E-2</v>
      </c>
      <c r="O9" s="29">
        <f t="shared" si="4"/>
        <v>0</v>
      </c>
      <c r="Q9" s="35">
        <v>45136.0625</v>
      </c>
      <c r="R9" s="78">
        <v>8.8037191334718896E-3</v>
      </c>
      <c r="S9" s="77">
        <v>1.257509953</v>
      </c>
      <c r="T9" s="36">
        <v>5123</v>
      </c>
      <c r="U9" s="37">
        <f t="shared" si="5"/>
        <v>85.38333333333334</v>
      </c>
      <c r="V9" s="37">
        <f t="shared" si="0"/>
        <v>0.75169088534627493</v>
      </c>
      <c r="W9" s="38">
        <f t="shared" si="6"/>
        <v>32.296096210611431</v>
      </c>
      <c r="Y9" s="45">
        <v>45151.0625</v>
      </c>
      <c r="Z9" s="4">
        <v>5.4349889838434303E-3</v>
      </c>
      <c r="AA9" s="3">
        <v>0.66168135500000003</v>
      </c>
      <c r="AB9" s="4">
        <v>1463</v>
      </c>
      <c r="AC9" s="46">
        <f t="shared" si="7"/>
        <v>24.383333333333333</v>
      </c>
      <c r="AD9" s="47">
        <f>AC9*Z9</f>
        <v>0.13252314805604898</v>
      </c>
      <c r="AE9" s="50">
        <f t="shared" si="8"/>
        <v>0</v>
      </c>
      <c r="AG9" s="51">
        <v>45166.0625</v>
      </c>
      <c r="AH9" s="79">
        <v>9.3324856544559701E-3</v>
      </c>
      <c r="AI9" s="80">
        <v>0.376777213</v>
      </c>
      <c r="AJ9" s="52">
        <v>3974</v>
      </c>
      <c r="AK9" s="53">
        <f t="shared" si="9"/>
        <v>66.233333333333334</v>
      </c>
      <c r="AL9" s="79">
        <f>AK9*AH9</f>
        <v>0.6181216331801338</v>
      </c>
      <c r="AM9" s="54">
        <f t="shared" si="12"/>
        <v>29.345566839890022</v>
      </c>
      <c r="AO9" s="67">
        <v>45183.0625</v>
      </c>
      <c r="AP9" s="68">
        <v>7.0337175579352797E-3</v>
      </c>
      <c r="AQ9" s="69">
        <v>0.53251963199999997</v>
      </c>
      <c r="AR9" s="69">
        <v>1826</v>
      </c>
      <c r="AS9" s="69">
        <f t="shared" si="10"/>
        <v>30.433333333333334</v>
      </c>
      <c r="AT9" s="69">
        <f>AS9*AP9</f>
        <v>0.21405947101316367</v>
      </c>
      <c r="AU9" s="70">
        <f t="shared" si="11"/>
        <v>0</v>
      </c>
    </row>
    <row r="10" spans="1:47" x14ac:dyDescent="0.25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"/>
        <v>2.65</v>
      </c>
      <c r="F10" s="12">
        <f>E10*B10</f>
        <v>4.8571933445886572E-3</v>
      </c>
      <c r="G10" s="13">
        <f t="shared" si="2"/>
        <v>0</v>
      </c>
      <c r="I10" s="25">
        <v>44781.073611111111</v>
      </c>
      <c r="J10" s="26">
        <v>4.8753227192836202E-3</v>
      </c>
      <c r="K10" s="27">
        <v>1.428025611</v>
      </c>
      <c r="L10" s="28">
        <v>1360</v>
      </c>
      <c r="M10" s="29">
        <f t="shared" si="3"/>
        <v>22.666666666666668</v>
      </c>
      <c r="N10" s="26">
        <f>M10*J10</f>
        <v>0.11050731497042873</v>
      </c>
      <c r="O10" s="29">
        <f t="shared" si="4"/>
        <v>0</v>
      </c>
      <c r="Q10" s="35">
        <v>45136.072916666664</v>
      </c>
      <c r="R10" s="78">
        <v>6.6931413721323099E-3</v>
      </c>
      <c r="S10" s="77">
        <v>0.85462156099999997</v>
      </c>
      <c r="T10" s="36">
        <v>3239</v>
      </c>
      <c r="U10" s="37">
        <f t="shared" si="5"/>
        <v>53.983333333333334</v>
      </c>
      <c r="V10" s="37">
        <f t="shared" si="0"/>
        <v>0.36131808173894253</v>
      </c>
      <c r="W10" s="38">
        <f t="shared" si="6"/>
        <v>0</v>
      </c>
      <c r="Y10" s="45">
        <v>45151.072916666664</v>
      </c>
      <c r="Z10" s="4">
        <v>5.0742199706757703E-3</v>
      </c>
      <c r="AA10" s="3">
        <v>0.59425534599999996</v>
      </c>
      <c r="AB10" s="4">
        <v>1203</v>
      </c>
      <c r="AC10" s="46">
        <f t="shared" si="7"/>
        <v>20.05</v>
      </c>
      <c r="AD10" s="47">
        <f>AC10*Z10</f>
        <v>0.10173811041204919</v>
      </c>
      <c r="AE10" s="50">
        <f t="shared" si="8"/>
        <v>0</v>
      </c>
      <c r="AG10" s="51">
        <v>45166.072916666664</v>
      </c>
      <c r="AH10" s="79">
        <v>1.13237827412186E-2</v>
      </c>
      <c r="AI10" s="80">
        <v>0.44894941300000002</v>
      </c>
      <c r="AJ10" s="52">
        <v>5103</v>
      </c>
      <c r="AK10" s="53">
        <f t="shared" si="9"/>
        <v>85.05</v>
      </c>
      <c r="AL10" s="79">
        <f>AK10*AH10</f>
        <v>0.96308772214064187</v>
      </c>
      <c r="AM10" s="54">
        <f t="shared" si="12"/>
        <v>36.463198159789307</v>
      </c>
      <c r="AO10" s="67">
        <v>45183.072916666664</v>
      </c>
      <c r="AP10" s="68">
        <v>5.6874719280770904E-3</v>
      </c>
      <c r="AQ10" s="69">
        <v>0.50323377899999999</v>
      </c>
      <c r="AR10" s="69">
        <v>1705</v>
      </c>
      <c r="AS10" s="69">
        <f t="shared" si="10"/>
        <v>28.416666666666668</v>
      </c>
      <c r="AT10" s="69">
        <f>AS10*AP10</f>
        <v>0.16161899395619067</v>
      </c>
      <c r="AU10" s="70">
        <f t="shared" si="11"/>
        <v>0</v>
      </c>
    </row>
    <row r="11" spans="1:47" x14ac:dyDescent="0.25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"/>
        <v>2.6</v>
      </c>
      <c r="F11" s="12">
        <f>E11*B11</f>
        <v>4.3776653554623342E-3</v>
      </c>
      <c r="G11" s="13">
        <f t="shared" si="2"/>
        <v>0</v>
      </c>
      <c r="I11" s="25">
        <v>44781.084027777775</v>
      </c>
      <c r="J11" s="26">
        <v>4.1854080675101501E-3</v>
      </c>
      <c r="K11" s="27">
        <v>1.4664620669999999</v>
      </c>
      <c r="L11" s="28">
        <v>1517</v>
      </c>
      <c r="M11" s="29">
        <f t="shared" si="3"/>
        <v>25.283333333333335</v>
      </c>
      <c r="N11" s="26">
        <f>M11*J11</f>
        <v>0.10582106730688164</v>
      </c>
      <c r="O11" s="29">
        <f t="shared" si="4"/>
        <v>0</v>
      </c>
      <c r="Q11" s="35">
        <v>45136.083333333336</v>
      </c>
      <c r="R11" s="78">
        <v>7.2577035099906304E-3</v>
      </c>
      <c r="S11" s="77">
        <v>1.257509953</v>
      </c>
      <c r="T11" s="36">
        <v>4899</v>
      </c>
      <c r="U11" s="37">
        <f t="shared" si="5"/>
        <v>81.650000000000006</v>
      </c>
      <c r="V11" s="37">
        <f t="shared" si="0"/>
        <v>0.59259149159073499</v>
      </c>
      <c r="W11" s="38">
        <f t="shared" si="6"/>
        <v>28.745635725673324</v>
      </c>
      <c r="Y11" s="45">
        <v>45151.083333333336</v>
      </c>
      <c r="Z11" s="4">
        <v>5.2715473421977403E-3</v>
      </c>
      <c r="AA11" s="3">
        <v>0.66168135500000003</v>
      </c>
      <c r="AB11" s="4">
        <v>1543</v>
      </c>
      <c r="AC11" s="46">
        <f t="shared" si="7"/>
        <v>25.716666666666665</v>
      </c>
      <c r="AD11" s="47">
        <f>AC11*Z11</f>
        <v>0.13556662581685189</v>
      </c>
      <c r="AE11" s="50">
        <f t="shared" si="8"/>
        <v>0</v>
      </c>
      <c r="AG11" s="51">
        <v>45166.083333333336</v>
      </c>
      <c r="AH11" s="79">
        <v>1.1123627719475299E-2</v>
      </c>
      <c r="AI11" s="80">
        <v>0.44894941300000002</v>
      </c>
      <c r="AJ11" s="52">
        <v>4906</v>
      </c>
      <c r="AK11" s="53">
        <f t="shared" si="9"/>
        <v>81.766666666666666</v>
      </c>
      <c r="AL11" s="79">
        <f>AK11*AH11</f>
        <v>0.90954195986243025</v>
      </c>
      <c r="AM11" s="54">
        <f t="shared" si="12"/>
        <v>35.455946879836603</v>
      </c>
      <c r="AO11" s="67">
        <v>45183.083333333336</v>
      </c>
      <c r="AP11" s="68">
        <v>7.53180491795766E-3</v>
      </c>
      <c r="AQ11" s="69">
        <v>0.50323377899999999</v>
      </c>
      <c r="AR11" s="69">
        <v>1802</v>
      </c>
      <c r="AS11" s="69">
        <f t="shared" si="10"/>
        <v>30.033333333333335</v>
      </c>
      <c r="AT11" s="69">
        <f>AS11*AP11</f>
        <v>0.22620520770266173</v>
      </c>
      <c r="AU11" s="70">
        <f t="shared" si="11"/>
        <v>0</v>
      </c>
    </row>
    <row r="12" spans="1:47" x14ac:dyDescent="0.25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"/>
        <v>2.4</v>
      </c>
      <c r="F12" s="12">
        <f>E12*B12</f>
        <v>4.1033057295688799E-3</v>
      </c>
      <c r="G12" s="13">
        <f t="shared" si="2"/>
        <v>0</v>
      </c>
      <c r="I12" s="25">
        <v>44781.094444444447</v>
      </c>
      <c r="J12" s="26">
        <v>4.8426555676493203E-3</v>
      </c>
      <c r="K12" s="27">
        <v>1.3805518125</v>
      </c>
      <c r="L12" s="28">
        <v>1236</v>
      </c>
      <c r="M12" s="29">
        <f t="shared" si="3"/>
        <v>20.6</v>
      </c>
      <c r="N12" s="26">
        <f>M12*J12</f>
        <v>9.9758704693576006E-2</v>
      </c>
      <c r="O12" s="29">
        <f t="shared" si="4"/>
        <v>0</v>
      </c>
      <c r="Q12" s="35">
        <v>45136.09375</v>
      </c>
      <c r="R12" s="78">
        <v>6.1325235940755604E-3</v>
      </c>
      <c r="S12" s="77">
        <v>0.85462156099999997</v>
      </c>
      <c r="T12" s="36">
        <v>2994</v>
      </c>
      <c r="U12" s="37">
        <f t="shared" si="5"/>
        <v>49.9</v>
      </c>
      <c r="V12" s="37">
        <f t="shared" si="0"/>
        <v>0.30601292734437047</v>
      </c>
      <c r="W12" s="38">
        <f t="shared" si="6"/>
        <v>0</v>
      </c>
      <c r="Y12" s="45">
        <v>45151.09375</v>
      </c>
      <c r="Z12" s="4">
        <v>4.9407786066443396E-3</v>
      </c>
      <c r="AA12" s="3">
        <v>0.50323377899999999</v>
      </c>
      <c r="AB12" s="4">
        <v>1008</v>
      </c>
      <c r="AC12" s="46">
        <f t="shared" si="7"/>
        <v>16.8</v>
      </c>
      <c r="AD12" s="47">
        <f>AC12*Z12</f>
        <v>8.3005080591624911E-2</v>
      </c>
      <c r="AE12" s="50">
        <f t="shared" si="8"/>
        <v>0</v>
      </c>
      <c r="AG12" s="51">
        <v>45166.09375</v>
      </c>
      <c r="AH12" s="79">
        <v>8.4389228129867905E-3</v>
      </c>
      <c r="AI12" s="80">
        <v>0.35506608000000001</v>
      </c>
      <c r="AJ12" s="52">
        <v>3284</v>
      </c>
      <c r="AK12" s="53">
        <f t="shared" si="9"/>
        <v>54.733333333333334</v>
      </c>
      <c r="AL12" s="79">
        <f>AK12*AH12</f>
        <v>0.46189037529747701</v>
      </c>
      <c r="AM12" s="54">
        <f t="shared" si="12"/>
        <v>25.443584699087346</v>
      </c>
      <c r="AO12" s="67">
        <v>45183.09375</v>
      </c>
      <c r="AP12" s="68">
        <v>6.4224885081144503E-3</v>
      </c>
      <c r="AQ12" s="69">
        <v>0.50323377899999999</v>
      </c>
      <c r="AR12" s="69">
        <v>1795</v>
      </c>
      <c r="AS12" s="69">
        <f t="shared" si="10"/>
        <v>29.916666666666668</v>
      </c>
      <c r="AT12" s="69">
        <f>AS12*AP12</f>
        <v>0.1921394478677573</v>
      </c>
      <c r="AU12" s="70">
        <f t="shared" si="11"/>
        <v>0</v>
      </c>
    </row>
    <row r="13" spans="1:47" x14ac:dyDescent="0.25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"/>
        <v>2.25</v>
      </c>
      <c r="F13" s="12">
        <f>E13*B13</f>
        <v>4.0475866213365973E-3</v>
      </c>
      <c r="G13" s="13">
        <f t="shared" si="2"/>
        <v>0</v>
      </c>
      <c r="I13" s="25">
        <v>44781.104861111111</v>
      </c>
      <c r="J13" s="26">
        <v>3.85064610428362E-3</v>
      </c>
      <c r="K13" s="27">
        <v>1.321577692</v>
      </c>
      <c r="L13" s="28">
        <v>1169</v>
      </c>
      <c r="M13" s="29">
        <f t="shared" si="3"/>
        <v>19.483333333333334</v>
      </c>
      <c r="N13" s="26">
        <f>M13*J13</f>
        <v>7.5023421598459206E-2</v>
      </c>
      <c r="O13" s="29">
        <f t="shared" si="4"/>
        <v>0</v>
      </c>
      <c r="Q13" s="35">
        <v>45136.104166666664</v>
      </c>
      <c r="R13" s="78">
        <v>6.2121875116996003E-3</v>
      </c>
      <c r="S13" s="77">
        <v>0.99067576999999996</v>
      </c>
      <c r="T13" s="36">
        <v>3444</v>
      </c>
      <c r="U13" s="37">
        <f t="shared" si="5"/>
        <v>57.4</v>
      </c>
      <c r="V13" s="37">
        <f t="shared" si="0"/>
        <v>0.35657956317155703</v>
      </c>
      <c r="W13" s="38">
        <f t="shared" si="6"/>
        <v>0</v>
      </c>
      <c r="Y13" s="45">
        <v>45151.104166666664</v>
      </c>
      <c r="Z13" s="4">
        <v>5.7785316550617097E-3</v>
      </c>
      <c r="AA13" s="3">
        <v>0.69769667099999999</v>
      </c>
      <c r="AB13" s="4">
        <v>1594</v>
      </c>
      <c r="AC13" s="46">
        <f t="shared" si="7"/>
        <v>26.566666666666666</v>
      </c>
      <c r="AD13" s="47">
        <f>AC13*Z13</f>
        <v>0.1535163243028061</v>
      </c>
      <c r="AE13" s="50">
        <f t="shared" si="8"/>
        <v>0</v>
      </c>
      <c r="AG13" s="51">
        <v>45166.104166666664</v>
      </c>
      <c r="AH13" s="79">
        <v>7.6190844363772502E-3</v>
      </c>
      <c r="AI13" s="80">
        <v>0.35506608000000001</v>
      </c>
      <c r="AJ13" s="52">
        <v>3355</v>
      </c>
      <c r="AK13" s="53">
        <f t="shared" si="9"/>
        <v>55.916666666666664</v>
      </c>
      <c r="AL13" s="79">
        <f>AK13*AH13</f>
        <v>0.42603380473409458</v>
      </c>
      <c r="AM13" s="54">
        <f t="shared" si="12"/>
        <v>24.456389878309288</v>
      </c>
      <c r="AO13" s="67">
        <v>45183.104166666664</v>
      </c>
      <c r="AP13" s="68">
        <v>5.90703193286267E-3</v>
      </c>
      <c r="AQ13" s="69">
        <v>0.53201108200000002</v>
      </c>
      <c r="AR13" s="69">
        <v>1919</v>
      </c>
      <c r="AS13" s="69">
        <f t="shared" si="10"/>
        <v>31.983333333333334</v>
      </c>
      <c r="AT13" s="69">
        <f>AS13*AP13</f>
        <v>0.18892657131939106</v>
      </c>
      <c r="AU13" s="70">
        <f t="shared" si="11"/>
        <v>0</v>
      </c>
    </row>
    <row r="14" spans="1:47" x14ac:dyDescent="0.25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"/>
        <v>2.6</v>
      </c>
      <c r="F14" s="12">
        <f>E14*B14</f>
        <v>4.4304609322024218E-3</v>
      </c>
      <c r="G14" s="13">
        <f t="shared" si="2"/>
        <v>0</v>
      </c>
      <c r="I14" s="25">
        <v>44781.115277777775</v>
      </c>
      <c r="J14" s="26">
        <v>3.8042462235734899E-3</v>
      </c>
      <c r="K14" s="27">
        <v>1.3305822285</v>
      </c>
      <c r="L14" s="28">
        <v>1212</v>
      </c>
      <c r="M14" s="29">
        <f t="shared" si="3"/>
        <v>20.2</v>
      </c>
      <c r="N14" s="26">
        <f>M14*J14</f>
        <v>7.6845773716184493E-2</v>
      </c>
      <c r="O14" s="29">
        <f t="shared" si="4"/>
        <v>0</v>
      </c>
      <c r="Q14" s="35">
        <v>45136.114583333336</v>
      </c>
      <c r="R14" s="78">
        <v>7.3149308238208803E-3</v>
      </c>
      <c r="S14" s="77">
        <v>0.99067576999999996</v>
      </c>
      <c r="T14" s="36">
        <v>3655</v>
      </c>
      <c r="U14" s="37">
        <f t="shared" si="5"/>
        <v>60.916666666666664</v>
      </c>
      <c r="V14" s="37">
        <f t="shared" si="0"/>
        <v>0.44560120268442194</v>
      </c>
      <c r="W14" s="38">
        <f t="shared" si="6"/>
        <v>25.000150459147054</v>
      </c>
      <c r="Y14" s="45">
        <v>45151.114583333336</v>
      </c>
      <c r="Z14" s="4">
        <v>6.2356924298291498E-3</v>
      </c>
      <c r="AA14" s="3">
        <v>0.66228851600000005</v>
      </c>
      <c r="AB14" s="4">
        <v>1365</v>
      </c>
      <c r="AC14" s="46">
        <f t="shared" si="7"/>
        <v>22.75</v>
      </c>
      <c r="AD14" s="47">
        <f>AC14*Z14</f>
        <v>0.14186200277861316</v>
      </c>
      <c r="AE14" s="50">
        <f t="shared" si="8"/>
        <v>0</v>
      </c>
      <c r="AG14" s="51">
        <v>45166.114583333336</v>
      </c>
      <c r="AH14" s="79">
        <v>9.1401589671664292E-3</v>
      </c>
      <c r="AI14" s="80">
        <v>0.35506608000000001</v>
      </c>
      <c r="AJ14" s="52">
        <v>3177</v>
      </c>
      <c r="AK14" s="53">
        <f t="shared" si="9"/>
        <v>52.95</v>
      </c>
      <c r="AL14" s="79">
        <f>AK14*AH14</f>
        <v>0.48397141731146243</v>
      </c>
      <c r="AM14" s="54">
        <f t="shared" si="12"/>
        <v>26.032136115911982</v>
      </c>
      <c r="AO14" s="67">
        <v>45183.114583333336</v>
      </c>
      <c r="AP14" s="68">
        <v>6.7335417006775602E-3</v>
      </c>
      <c r="AQ14" s="69">
        <v>0.50323377899999999</v>
      </c>
      <c r="AR14" s="69">
        <v>1756</v>
      </c>
      <c r="AS14" s="69">
        <f t="shared" si="10"/>
        <v>29.266666666666666</v>
      </c>
      <c r="AT14" s="69">
        <f>AS14*AP14</f>
        <v>0.19706832043982991</v>
      </c>
      <c r="AU14" s="70">
        <f t="shared" si="11"/>
        <v>0</v>
      </c>
    </row>
    <row r="15" spans="1:47" x14ac:dyDescent="0.25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"/>
        <v>2.2333333333333334</v>
      </c>
      <c r="F15" s="12">
        <f>E15*B15</f>
        <v>4.8721049608502348E-3</v>
      </c>
      <c r="G15" s="13">
        <f t="shared" si="2"/>
        <v>0</v>
      </c>
      <c r="I15" s="25">
        <v>44781.125694444447</v>
      </c>
      <c r="J15" s="26">
        <v>3.50163718236056E-3</v>
      </c>
      <c r="K15" s="27">
        <v>1.3305822285</v>
      </c>
      <c r="L15" s="28">
        <v>1177</v>
      </c>
      <c r="M15" s="29">
        <f t="shared" si="3"/>
        <v>19.616666666666667</v>
      </c>
      <c r="N15" s="26">
        <f>M15*J15</f>
        <v>6.869044939397298E-2</v>
      </c>
      <c r="O15" s="29">
        <f t="shared" si="4"/>
        <v>0</v>
      </c>
      <c r="Q15" s="35">
        <v>45136.125</v>
      </c>
      <c r="R15" s="78">
        <v>5.4661244564920596E-3</v>
      </c>
      <c r="S15" s="77">
        <v>0.99067576999999996</v>
      </c>
      <c r="T15" s="36">
        <v>3358</v>
      </c>
      <c r="U15" s="37">
        <f t="shared" si="5"/>
        <v>55.966666666666669</v>
      </c>
      <c r="V15" s="37">
        <f t="shared" si="0"/>
        <v>0.30592076541500562</v>
      </c>
      <c r="W15" s="38">
        <f t="shared" si="6"/>
        <v>0</v>
      </c>
      <c r="Y15" s="45">
        <v>45151.125</v>
      </c>
      <c r="Z15" s="4">
        <v>7.8362827960532008E-3</v>
      </c>
      <c r="AA15" s="3">
        <v>0.89859415399999998</v>
      </c>
      <c r="AB15" s="4">
        <v>1965</v>
      </c>
      <c r="AC15" s="46">
        <f t="shared" si="7"/>
        <v>32.75</v>
      </c>
      <c r="AD15" s="47">
        <f>AC15*Z15</f>
        <v>0.25663826157074232</v>
      </c>
      <c r="AE15" s="50">
        <f t="shared" si="8"/>
        <v>0</v>
      </c>
      <c r="AG15" s="51">
        <v>45166.125</v>
      </c>
      <c r="AH15" s="79">
        <v>5.9159568177064997E-3</v>
      </c>
      <c r="AI15" s="80">
        <v>0.314737561</v>
      </c>
      <c r="AJ15" s="52">
        <v>2389</v>
      </c>
      <c r="AK15" s="53">
        <f t="shared" si="9"/>
        <v>39.81666666666667</v>
      </c>
      <c r="AL15" s="79">
        <f>AK15*AH15</f>
        <v>0.23555368062501381</v>
      </c>
      <c r="AM15" s="54">
        <f t="shared" si="12"/>
        <v>0</v>
      </c>
      <c r="AO15" s="67">
        <v>45183.125</v>
      </c>
      <c r="AP15" s="68">
        <v>9.8356318343493197E-3</v>
      </c>
      <c r="AQ15" s="69">
        <v>0.50323377899999999</v>
      </c>
      <c r="AR15" s="69">
        <v>1884</v>
      </c>
      <c r="AS15" s="69">
        <f t="shared" si="10"/>
        <v>31.4</v>
      </c>
      <c r="AT15" s="69">
        <f>AS15*AP15</f>
        <v>0.30883883959856862</v>
      </c>
      <c r="AU15" s="70">
        <f t="shared" si="11"/>
        <v>0</v>
      </c>
    </row>
    <row r="16" spans="1:47" x14ac:dyDescent="0.25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"/>
        <v>2.4166666666666665</v>
      </c>
      <c r="F16" s="12">
        <f>E16*B16</f>
        <v>4.0209128479885559E-3</v>
      </c>
      <c r="G16" s="13">
        <f t="shared" si="2"/>
        <v>0</v>
      </c>
      <c r="I16" s="25">
        <v>44781.136111111111</v>
      </c>
      <c r="J16" s="26">
        <v>3.8685122876322502E-3</v>
      </c>
      <c r="K16" s="27">
        <v>1.3962008465</v>
      </c>
      <c r="L16" s="28">
        <v>1250</v>
      </c>
      <c r="M16" s="29">
        <f t="shared" si="3"/>
        <v>20.833333333333332</v>
      </c>
      <c r="N16" s="26">
        <f>M16*J16</f>
        <v>8.0594005992338541E-2</v>
      </c>
      <c r="O16" s="29">
        <f t="shared" si="4"/>
        <v>0</v>
      </c>
      <c r="Q16" s="35">
        <v>45136.135416666664</v>
      </c>
      <c r="R16" s="78">
        <v>6.6934571025538203E-3</v>
      </c>
      <c r="S16" s="77">
        <v>1.1441742989999999</v>
      </c>
      <c r="T16" s="36">
        <v>4277</v>
      </c>
      <c r="U16" s="37">
        <f t="shared" si="5"/>
        <v>71.283333333333331</v>
      </c>
      <c r="V16" s="37">
        <f t="shared" si="0"/>
        <v>0.47713193379371149</v>
      </c>
      <c r="W16" s="38">
        <f t="shared" si="6"/>
        <v>25.851328026017967</v>
      </c>
      <c r="Y16" s="45">
        <v>45151.135416666664</v>
      </c>
      <c r="Z16" s="4">
        <v>5.2901740437682502E-3</v>
      </c>
      <c r="AA16" s="3">
        <v>0.66228851600000005</v>
      </c>
      <c r="AB16" s="4">
        <v>1321</v>
      </c>
      <c r="AC16" s="46">
        <f t="shared" si="7"/>
        <v>22.016666666666666</v>
      </c>
      <c r="AD16" s="47">
        <f>AC16*Z16</f>
        <v>0.11647199853029763</v>
      </c>
      <c r="AE16" s="50">
        <f t="shared" si="8"/>
        <v>0</v>
      </c>
      <c r="AG16" s="51">
        <v>45166.135416666664</v>
      </c>
      <c r="AH16" s="79">
        <v>7.5706265706428997E-3</v>
      </c>
      <c r="AI16" s="80">
        <v>0.314737561</v>
      </c>
      <c r="AJ16" s="52">
        <v>2534</v>
      </c>
      <c r="AK16" s="53">
        <f t="shared" si="9"/>
        <v>42.233333333333334</v>
      </c>
      <c r="AL16" s="79">
        <f>AK16*AH16</f>
        <v>0.31973279550015182</v>
      </c>
      <c r="AM16" s="54">
        <f t="shared" si="12"/>
        <v>0</v>
      </c>
      <c r="AO16" s="67">
        <v>45183.135416666664</v>
      </c>
      <c r="AP16" s="68">
        <v>6.4594928365992801E-3</v>
      </c>
      <c r="AQ16" s="69">
        <v>0.44894941300000002</v>
      </c>
      <c r="AR16" s="69">
        <v>1367</v>
      </c>
      <c r="AS16" s="69">
        <f t="shared" si="10"/>
        <v>22.783333333333335</v>
      </c>
      <c r="AT16" s="69">
        <f>AS16*AP16</f>
        <v>0.14716877846052029</v>
      </c>
      <c r="AU16" s="70">
        <f t="shared" si="11"/>
        <v>0</v>
      </c>
    </row>
    <row r="17" spans="1:47" x14ac:dyDescent="0.25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"/>
        <v>1.5333333333333334</v>
      </c>
      <c r="F17" s="12">
        <f>E17*B17</f>
        <v>2.44826282844934E-3</v>
      </c>
      <c r="G17" s="13">
        <f t="shared" si="2"/>
        <v>0</v>
      </c>
      <c r="I17" s="25">
        <v>44781.146527777775</v>
      </c>
      <c r="J17" s="26">
        <v>3.64264996025658E-3</v>
      </c>
      <c r="K17" s="27">
        <v>1.4174729134999999</v>
      </c>
      <c r="L17" s="28">
        <v>1248</v>
      </c>
      <c r="M17" s="29">
        <f t="shared" si="3"/>
        <v>20.8</v>
      </c>
      <c r="N17" s="26">
        <f>M17*J17</f>
        <v>7.5767119173336867E-2</v>
      </c>
      <c r="O17" s="29">
        <f t="shared" si="4"/>
        <v>0</v>
      </c>
      <c r="Q17" s="35">
        <v>45136.145833333336</v>
      </c>
      <c r="R17" s="78">
        <v>7.0321744031024997E-3</v>
      </c>
      <c r="S17" s="77">
        <v>0.99067576999999996</v>
      </c>
      <c r="T17" s="36">
        <v>3601</v>
      </c>
      <c r="U17" s="37">
        <f t="shared" si="5"/>
        <v>60.016666666666666</v>
      </c>
      <c r="V17" s="37">
        <f t="shared" si="0"/>
        <v>0.42204766709286834</v>
      </c>
      <c r="W17" s="38">
        <f t="shared" si="6"/>
        <v>24.344066247837816</v>
      </c>
      <c r="Y17" s="45">
        <v>45151.145833333336</v>
      </c>
      <c r="Z17" s="4">
        <v>4.5181662031888196E-3</v>
      </c>
      <c r="AA17" s="3">
        <v>0.66228851600000005</v>
      </c>
      <c r="AB17" s="4">
        <v>1403</v>
      </c>
      <c r="AC17" s="46">
        <f t="shared" si="7"/>
        <v>23.383333333333333</v>
      </c>
      <c r="AD17" s="47">
        <f>AC17*Z17</f>
        <v>0.10564978638456524</v>
      </c>
      <c r="AE17" s="50">
        <f t="shared" si="8"/>
        <v>0</v>
      </c>
      <c r="AG17" s="51">
        <v>45166.145833333336</v>
      </c>
      <c r="AH17" s="79">
        <v>1.1449107981734499E-2</v>
      </c>
      <c r="AI17" s="80">
        <v>0.42386643899999998</v>
      </c>
      <c r="AJ17" s="52">
        <v>4693</v>
      </c>
      <c r="AK17" s="53">
        <f t="shared" si="9"/>
        <v>78.216666666666669</v>
      </c>
      <c r="AL17" s="79">
        <f>AK17*AH17</f>
        <v>0.89551106263800007</v>
      </c>
      <c r="AM17" s="54">
        <f t="shared" si="12"/>
        <v>35.187040386560966</v>
      </c>
      <c r="AO17" s="67">
        <v>45183.145833333336</v>
      </c>
      <c r="AP17" s="68">
        <v>6.9853500611517898E-3</v>
      </c>
      <c r="AQ17" s="69">
        <v>0.59425534599999996</v>
      </c>
      <c r="AR17" s="69">
        <v>2272</v>
      </c>
      <c r="AS17" s="69">
        <f t="shared" si="10"/>
        <v>37.866666666666667</v>
      </c>
      <c r="AT17" s="69">
        <f>AS17*AP17</f>
        <v>0.26451192231561443</v>
      </c>
      <c r="AU17" s="70">
        <f t="shared" si="11"/>
        <v>0</v>
      </c>
    </row>
    <row r="18" spans="1:47" x14ac:dyDescent="0.25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"/>
        <v>1.5666666666666667</v>
      </c>
      <c r="F18" s="12">
        <f>E18*B18</f>
        <v>2.3344448507229324E-3</v>
      </c>
      <c r="G18" s="13">
        <f t="shared" si="2"/>
        <v>0</v>
      </c>
      <c r="I18" s="25">
        <v>44781.156944444447</v>
      </c>
      <c r="J18" s="26">
        <v>3.6958036367563999E-3</v>
      </c>
      <c r="K18" s="27">
        <v>1.3100260825000001</v>
      </c>
      <c r="L18" s="28">
        <v>1144</v>
      </c>
      <c r="M18" s="29">
        <f t="shared" si="3"/>
        <v>19.066666666666666</v>
      </c>
      <c r="N18" s="26">
        <f>M18*J18</f>
        <v>7.0466656007488693E-2</v>
      </c>
      <c r="O18" s="29">
        <f t="shared" si="4"/>
        <v>0</v>
      </c>
      <c r="Q18" s="35">
        <v>45136.15625</v>
      </c>
      <c r="R18" s="78">
        <v>4.5305903781589496E-3</v>
      </c>
      <c r="S18" s="77">
        <v>0.66228851600000005</v>
      </c>
      <c r="T18" s="36">
        <v>1779</v>
      </c>
      <c r="U18" s="37">
        <f t="shared" si="5"/>
        <v>29.65</v>
      </c>
      <c r="V18" s="37">
        <f t="shared" si="0"/>
        <v>0.13433200471241286</v>
      </c>
      <c r="W18" s="38">
        <f t="shared" si="6"/>
        <v>0</v>
      </c>
      <c r="Y18" s="45">
        <v>45151.15625</v>
      </c>
      <c r="Z18" s="4">
        <v>7.1461375664526499E-3</v>
      </c>
      <c r="AA18" s="3">
        <v>0.66228851600000005</v>
      </c>
      <c r="AB18" s="4">
        <v>1484</v>
      </c>
      <c r="AC18" s="46">
        <f t="shared" si="7"/>
        <v>24.733333333333334</v>
      </c>
      <c r="AD18" s="47">
        <f>AC18*Z18</f>
        <v>0.17674780247692887</v>
      </c>
      <c r="AE18" s="50">
        <f t="shared" si="8"/>
        <v>0</v>
      </c>
      <c r="AG18" s="51">
        <v>45166.15625</v>
      </c>
      <c r="AH18" s="79">
        <v>1.0250861657214E-2</v>
      </c>
      <c r="AI18" s="80">
        <v>0.377160934</v>
      </c>
      <c r="AJ18" s="52">
        <v>3736</v>
      </c>
      <c r="AK18" s="53">
        <f t="shared" si="9"/>
        <v>62.266666666666666</v>
      </c>
      <c r="AL18" s="79">
        <f>AK18*AH18</f>
        <v>0.63828698585585841</v>
      </c>
      <c r="AM18" s="54">
        <f t="shared" si="12"/>
        <v>29.810545471853466</v>
      </c>
      <c r="AO18" s="67">
        <v>45183.15625</v>
      </c>
      <c r="AP18" s="68">
        <v>6.7417730974629201E-3</v>
      </c>
      <c r="AQ18" s="69">
        <v>0.44894941300000002</v>
      </c>
      <c r="AR18" s="69">
        <v>1335</v>
      </c>
      <c r="AS18" s="69">
        <f t="shared" si="10"/>
        <v>22.25</v>
      </c>
      <c r="AT18" s="69">
        <f>AS18*AP18</f>
        <v>0.15000445141854998</v>
      </c>
      <c r="AU18" s="70">
        <f t="shared" si="11"/>
        <v>0</v>
      </c>
    </row>
    <row r="19" spans="1:47" x14ac:dyDescent="0.25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"/>
        <v>2.2833333333333332</v>
      </c>
      <c r="F19" s="12">
        <f>E19*B19</f>
        <v>3.5947759025068853E-3</v>
      </c>
      <c r="G19" s="13">
        <f t="shared" si="2"/>
        <v>0</v>
      </c>
      <c r="I19" s="25">
        <v>44781.167361111111</v>
      </c>
      <c r="J19" s="26">
        <v>3.5461509439777199E-3</v>
      </c>
      <c r="K19" s="27">
        <v>1.2590209525</v>
      </c>
      <c r="L19" s="28">
        <v>964</v>
      </c>
      <c r="M19" s="29">
        <f t="shared" si="3"/>
        <v>16.066666666666666</v>
      </c>
      <c r="N19" s="26">
        <f>M19*J19</f>
        <v>5.6974825166575364E-2</v>
      </c>
      <c r="O19" s="29">
        <f t="shared" si="4"/>
        <v>0</v>
      </c>
      <c r="Q19" s="35">
        <v>45136.166666666664</v>
      </c>
      <c r="R19" s="78">
        <v>7.5258509754304297E-3</v>
      </c>
      <c r="S19" s="77">
        <v>0.99067576999999996</v>
      </c>
      <c r="T19" s="36">
        <v>3565</v>
      </c>
      <c r="U19" s="37">
        <f t="shared" si="5"/>
        <v>59.416666666666664</v>
      </c>
      <c r="V19" s="37">
        <f t="shared" si="0"/>
        <v>0.44716097879015804</v>
      </c>
      <c r="W19" s="38">
        <f t="shared" si="6"/>
        <v>25.042965983382995</v>
      </c>
      <c r="Y19" s="45">
        <v>45151.166666666664</v>
      </c>
      <c r="Z19" s="4">
        <v>5.9151476245304698E-3</v>
      </c>
      <c r="AA19" s="3">
        <v>0.66228851600000005</v>
      </c>
      <c r="AB19" s="4">
        <v>1381</v>
      </c>
      <c r="AC19" s="46">
        <f t="shared" si="7"/>
        <v>23.016666666666666</v>
      </c>
      <c r="AD19" s="47">
        <f>AC19*Z19</f>
        <v>0.13614698115794296</v>
      </c>
      <c r="AE19" s="50">
        <f t="shared" si="8"/>
        <v>0</v>
      </c>
      <c r="AG19" s="51">
        <v>45166.166666666664</v>
      </c>
      <c r="AH19" s="79">
        <v>4.4515191411601497E-3</v>
      </c>
      <c r="AI19" s="80">
        <v>0.26113539299999999</v>
      </c>
      <c r="AJ19" s="52">
        <v>846</v>
      </c>
      <c r="AK19" s="53">
        <f t="shared" si="9"/>
        <v>14.1</v>
      </c>
      <c r="AL19" s="79">
        <f>AK19*AH19</f>
        <v>6.2766419890358111E-2</v>
      </c>
      <c r="AM19" s="54">
        <f t="shared" si="12"/>
        <v>0</v>
      </c>
      <c r="AO19" s="67">
        <v>45183.166666666664</v>
      </c>
      <c r="AP19" s="68">
        <v>7.0148670727595399E-3</v>
      </c>
      <c r="AQ19" s="69">
        <v>0.53201108200000002</v>
      </c>
      <c r="AR19" s="69">
        <v>1888</v>
      </c>
      <c r="AS19" s="69">
        <f t="shared" si="10"/>
        <v>31.466666666666665</v>
      </c>
      <c r="AT19" s="69">
        <f>AS19*AP19</f>
        <v>0.22073448388950018</v>
      </c>
      <c r="AU19" s="70">
        <f t="shared" si="11"/>
        <v>0</v>
      </c>
    </row>
    <row r="20" spans="1:47" x14ac:dyDescent="0.25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"/>
        <v>1.9</v>
      </c>
      <c r="F20" s="12">
        <f>E20*B20</f>
        <v>3.2976888439928348E-3</v>
      </c>
      <c r="G20" s="13">
        <f t="shared" si="2"/>
        <v>0</v>
      </c>
      <c r="I20" s="25">
        <v>44781.177777777775</v>
      </c>
      <c r="J20" s="26">
        <v>3.6624164427138698E-3</v>
      </c>
      <c r="K20" s="27">
        <v>1.3008491654999901</v>
      </c>
      <c r="L20" s="28">
        <v>1061</v>
      </c>
      <c r="M20" s="29">
        <f t="shared" si="3"/>
        <v>17.683333333333334</v>
      </c>
      <c r="N20" s="26">
        <f>M20*J20</f>
        <v>6.4763730761990268E-2</v>
      </c>
      <c r="O20" s="29">
        <f t="shared" si="4"/>
        <v>0</v>
      </c>
      <c r="Q20" s="35">
        <v>45136.177083333336</v>
      </c>
      <c r="R20" s="78">
        <v>9.9010951442485198E-3</v>
      </c>
      <c r="S20" s="77">
        <v>1.4444654269999999</v>
      </c>
      <c r="T20" s="36">
        <v>5082</v>
      </c>
      <c r="U20" s="37">
        <f t="shared" si="5"/>
        <v>84.7</v>
      </c>
      <c r="V20" s="37">
        <f t="shared" si="0"/>
        <v>0.83862275871784964</v>
      </c>
      <c r="W20" s="38">
        <f t="shared" si="6"/>
        <v>34.074083109995165</v>
      </c>
      <c r="Y20" s="45">
        <v>45151.177083333336</v>
      </c>
      <c r="Z20" s="4">
        <v>4.7047652576974897E-3</v>
      </c>
      <c r="AA20" s="3">
        <v>0.59425534599999996</v>
      </c>
      <c r="AB20" s="4">
        <v>971</v>
      </c>
      <c r="AC20" s="46">
        <f t="shared" si="7"/>
        <v>16.183333333333334</v>
      </c>
      <c r="AD20" s="47">
        <f>AC20*Z20</f>
        <v>7.6138784420404379E-2</v>
      </c>
      <c r="AE20" s="50">
        <f t="shared" si="8"/>
        <v>0</v>
      </c>
      <c r="AG20" s="51">
        <v>45166.177083333336</v>
      </c>
      <c r="AH20" s="79">
        <v>1.1255773787276701E-2</v>
      </c>
      <c r="AI20" s="80">
        <v>0.42386643899999998</v>
      </c>
      <c r="AJ20" s="52">
        <v>4560</v>
      </c>
      <c r="AK20" s="53">
        <f t="shared" si="9"/>
        <v>76</v>
      </c>
      <c r="AL20" s="79">
        <f>AK20*AH20</f>
        <v>0.85543880783302928</v>
      </c>
      <c r="AM20" s="54">
        <f t="shared" si="12"/>
        <v>34.406977289796167</v>
      </c>
      <c r="AO20" s="67">
        <v>45183.177083333336</v>
      </c>
      <c r="AP20" s="68">
        <v>6.5771868994116802E-3</v>
      </c>
      <c r="AQ20" s="69">
        <v>0.53201108200000002</v>
      </c>
      <c r="AR20" s="69">
        <v>1864</v>
      </c>
      <c r="AS20" s="69">
        <f t="shared" si="10"/>
        <v>31.066666666666666</v>
      </c>
      <c r="AT20" s="69">
        <f>AS20*AP20</f>
        <v>0.20433127300838952</v>
      </c>
      <c r="AU20" s="70">
        <f t="shared" si="11"/>
        <v>0</v>
      </c>
    </row>
    <row r="21" spans="1:47" x14ac:dyDescent="0.25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"/>
        <v>2.0833333333333335</v>
      </c>
      <c r="F21" s="12">
        <f>E21*B21</f>
        <v>3.0824915951735837E-3</v>
      </c>
      <c r="G21" s="13">
        <f t="shared" si="2"/>
        <v>0</v>
      </c>
      <c r="I21" s="25">
        <v>44781.188194444447</v>
      </c>
      <c r="J21" s="26">
        <v>3.8991349347515798E-3</v>
      </c>
      <c r="K21" s="27">
        <v>1.3675681405</v>
      </c>
      <c r="L21" s="28">
        <v>1087</v>
      </c>
      <c r="M21" s="29">
        <f t="shared" si="3"/>
        <v>18.116666666666667</v>
      </c>
      <c r="N21" s="26">
        <f>M21*J21</f>
        <v>7.0639327901249452E-2</v>
      </c>
      <c r="O21" s="29">
        <f t="shared" si="4"/>
        <v>0</v>
      </c>
      <c r="Q21" s="35">
        <v>45136.1875</v>
      </c>
      <c r="R21" s="78">
        <v>6.7404973685643603E-3</v>
      </c>
      <c r="S21" s="77">
        <v>0.99067576999999996</v>
      </c>
      <c r="T21" s="36">
        <v>3435</v>
      </c>
      <c r="U21" s="37">
        <f t="shared" si="5"/>
        <v>57.25</v>
      </c>
      <c r="V21" s="37">
        <f t="shared" si="0"/>
        <v>0.38589347435030963</v>
      </c>
      <c r="W21" s="38">
        <f t="shared" si="6"/>
        <v>23.299505046324192</v>
      </c>
      <c r="Y21" s="45">
        <v>45151.1875</v>
      </c>
      <c r="Z21" s="4">
        <v>5.2982144196189003E-3</v>
      </c>
      <c r="AA21" s="3">
        <v>0.562700329</v>
      </c>
      <c r="AB21" s="4">
        <v>1284</v>
      </c>
      <c r="AC21" s="46">
        <f t="shared" si="7"/>
        <v>21.4</v>
      </c>
      <c r="AD21" s="47">
        <f>AC21*Z21</f>
        <v>0.11338178857984446</v>
      </c>
      <c r="AE21" s="50">
        <f t="shared" si="8"/>
        <v>0</v>
      </c>
      <c r="AG21" s="51">
        <v>45166.1875</v>
      </c>
      <c r="AH21" s="79">
        <v>8.4349085031616405E-3</v>
      </c>
      <c r="AI21" s="80">
        <v>0.35506608000000001</v>
      </c>
      <c r="AJ21" s="52">
        <v>3100</v>
      </c>
      <c r="AK21" s="53">
        <f t="shared" si="9"/>
        <v>51.666666666666664</v>
      </c>
      <c r="AL21" s="79">
        <f>AK21*AH21</f>
        <v>0.43580360599668472</v>
      </c>
      <c r="AM21" s="54">
        <f t="shared" si="12"/>
        <v>24.729441430649075</v>
      </c>
      <c r="AO21" s="67">
        <v>45183.1875</v>
      </c>
      <c r="AP21" s="68">
        <v>6.0997399497197697E-3</v>
      </c>
      <c r="AQ21" s="69">
        <v>0.59425534599999996</v>
      </c>
      <c r="AR21" s="69">
        <v>2261</v>
      </c>
      <c r="AS21" s="69">
        <f t="shared" si="10"/>
        <v>37.68333333333333</v>
      </c>
      <c r="AT21" s="69">
        <f>AS21*AP21</f>
        <v>0.22985853377193996</v>
      </c>
      <c r="AU21" s="70">
        <f t="shared" si="11"/>
        <v>0</v>
      </c>
    </row>
    <row r="22" spans="1:47" x14ac:dyDescent="0.25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"/>
        <v>1.7333333333333334</v>
      </c>
      <c r="F22" s="12">
        <f>E22*B22</f>
        <v>2.7532480278757306E-3</v>
      </c>
      <c r="G22" s="13">
        <f t="shared" si="2"/>
        <v>0</v>
      </c>
      <c r="I22" s="25">
        <v>44781.198611111111</v>
      </c>
      <c r="J22" s="26">
        <v>3.3141810254827902E-3</v>
      </c>
      <c r="K22" s="27">
        <v>1.3727610129999901</v>
      </c>
      <c r="L22" s="28">
        <v>1092</v>
      </c>
      <c r="M22" s="29">
        <f t="shared" si="3"/>
        <v>18.2</v>
      </c>
      <c r="N22" s="26">
        <f>M22*J22</f>
        <v>6.0318094663786778E-2</v>
      </c>
      <c r="O22" s="29">
        <f t="shared" si="4"/>
        <v>0</v>
      </c>
      <c r="Q22" s="35">
        <v>45136.197916666664</v>
      </c>
      <c r="R22" s="78">
        <v>5.6858206324155898E-3</v>
      </c>
      <c r="S22" s="77">
        <v>0.85462156099999997</v>
      </c>
      <c r="T22" s="36">
        <v>2904</v>
      </c>
      <c r="U22" s="37">
        <f t="shared" si="5"/>
        <v>48.4</v>
      </c>
      <c r="V22" s="37">
        <f t="shared" si="0"/>
        <v>0.27519371860891456</v>
      </c>
      <c r="W22" s="38">
        <f t="shared" si="6"/>
        <v>0</v>
      </c>
      <c r="Y22" s="45">
        <v>45151.197916666664</v>
      </c>
      <c r="Z22" s="4">
        <v>5.8498293776496797E-3</v>
      </c>
      <c r="AA22" s="3">
        <v>0.59425534599999996</v>
      </c>
      <c r="AB22" s="4">
        <v>1244</v>
      </c>
      <c r="AC22" s="46">
        <f t="shared" si="7"/>
        <v>20.733333333333334</v>
      </c>
      <c r="AD22" s="47">
        <f>AC22*Z22</f>
        <v>0.1212864624299367</v>
      </c>
      <c r="AE22" s="50">
        <f t="shared" si="8"/>
        <v>0</v>
      </c>
      <c r="AG22" s="51">
        <v>45166.197916666664</v>
      </c>
      <c r="AH22" s="79">
        <v>1.07823517675974E-2</v>
      </c>
      <c r="AI22" s="80">
        <v>0.376777213</v>
      </c>
      <c r="AJ22" s="52">
        <v>3703</v>
      </c>
      <c r="AK22" s="53">
        <f t="shared" si="9"/>
        <v>61.716666666666669</v>
      </c>
      <c r="AL22" s="79">
        <f>AK22*AH22</f>
        <v>0.66545080992355288</v>
      </c>
      <c r="AM22" s="54">
        <f t="shared" si="12"/>
        <v>30.425202491694701</v>
      </c>
      <c r="AO22" s="67">
        <v>45183.197916666664</v>
      </c>
      <c r="AP22" s="68">
        <v>6.9573588135786804E-3</v>
      </c>
      <c r="AQ22" s="69">
        <v>0.50323377899999999</v>
      </c>
      <c r="AR22" s="69">
        <v>1616</v>
      </c>
      <c r="AS22" s="69">
        <f t="shared" si="10"/>
        <v>26.933333333333334</v>
      </c>
      <c r="AT22" s="69">
        <f>AS22*AP22</f>
        <v>0.18738486404571914</v>
      </c>
      <c r="AU22" s="70">
        <f t="shared" si="11"/>
        <v>0</v>
      </c>
    </row>
    <row r="23" spans="1:47" x14ac:dyDescent="0.25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"/>
        <v>2</v>
      </c>
      <c r="F23" s="12">
        <f>E23*B23</f>
        <v>3.1745311903218199E-3</v>
      </c>
      <c r="G23" s="13">
        <f t="shared" si="2"/>
        <v>0</v>
      </c>
      <c r="I23" s="25">
        <v>44781.209027777775</v>
      </c>
      <c r="J23" s="26">
        <v>3.4286104158690999E-3</v>
      </c>
      <c r="K23" s="27">
        <v>1.3106306169999999</v>
      </c>
      <c r="L23" s="28">
        <v>1033</v>
      </c>
      <c r="M23" s="29">
        <f t="shared" si="3"/>
        <v>17.216666666666665</v>
      </c>
      <c r="N23" s="26">
        <f>M23*J23</f>
        <v>5.9029242659879667E-2</v>
      </c>
      <c r="O23" s="29">
        <f t="shared" si="4"/>
        <v>0</v>
      </c>
      <c r="Q23" s="35">
        <v>45136.208333333336</v>
      </c>
      <c r="R23" s="78">
        <v>6.6173558710812402E-3</v>
      </c>
      <c r="S23" s="77">
        <v>0.99067576999999996</v>
      </c>
      <c r="T23" s="36">
        <v>3871</v>
      </c>
      <c r="U23" s="37">
        <f t="shared" si="5"/>
        <v>64.516666666666666</v>
      </c>
      <c r="V23" s="37">
        <f t="shared" si="0"/>
        <v>0.42692974294925801</v>
      </c>
      <c r="W23" s="38">
        <f t="shared" si="6"/>
        <v>24.481562219331547</v>
      </c>
      <c r="Y23" s="45">
        <v>45151.208333333336</v>
      </c>
      <c r="Z23" s="4">
        <v>4.5667705795279304E-3</v>
      </c>
      <c r="AA23" s="3">
        <v>0.59425534599999996</v>
      </c>
      <c r="AB23" s="4">
        <v>1149</v>
      </c>
      <c r="AC23" s="46">
        <f t="shared" si="7"/>
        <v>19.149999999999999</v>
      </c>
      <c r="AD23" s="47">
        <f>AC23*Z23</f>
        <v>8.7453656597959867E-2</v>
      </c>
      <c r="AE23" s="50">
        <f t="shared" si="8"/>
        <v>0</v>
      </c>
      <c r="AG23" s="51">
        <v>45166.208333333336</v>
      </c>
      <c r="AH23" s="79">
        <v>8.9377314139924401E-3</v>
      </c>
      <c r="AI23" s="80">
        <v>0.376777213</v>
      </c>
      <c r="AJ23" s="52">
        <v>3760</v>
      </c>
      <c r="AK23" s="53">
        <f t="shared" si="9"/>
        <v>62.666666666666664</v>
      </c>
      <c r="AL23" s="79">
        <f>AK23*AH23</f>
        <v>0.56009783527685952</v>
      </c>
      <c r="AM23" s="54">
        <f t="shared" si="12"/>
        <v>27.962656108126847</v>
      </c>
      <c r="AO23" s="67">
        <v>45183.208333333336</v>
      </c>
      <c r="AP23" s="68">
        <v>9.3871867972550108E-3</v>
      </c>
      <c r="AQ23" s="69">
        <v>0.59425534599999996</v>
      </c>
      <c r="AR23" s="69">
        <v>2107</v>
      </c>
      <c r="AS23" s="69">
        <f t="shared" si="10"/>
        <v>35.116666666666667</v>
      </c>
      <c r="AT23" s="69">
        <f>AS23*AP23</f>
        <v>0.32964670969693849</v>
      </c>
      <c r="AU23" s="70">
        <f t="shared" si="11"/>
        <v>0</v>
      </c>
    </row>
    <row r="24" spans="1:47" x14ac:dyDescent="0.25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"/>
        <v>1.65</v>
      </c>
      <c r="F24" s="12">
        <f>E24*B24</f>
        <v>2.9770921838997732E-3</v>
      </c>
      <c r="G24" s="13">
        <f t="shared" si="2"/>
        <v>0</v>
      </c>
      <c r="I24" s="25">
        <v>44781.219444444447</v>
      </c>
      <c r="J24" s="26">
        <v>4.2977775352743596E-3</v>
      </c>
      <c r="K24" s="27">
        <v>1.3304172409999999</v>
      </c>
      <c r="L24" s="28">
        <v>962</v>
      </c>
      <c r="M24" s="29">
        <f t="shared" si="3"/>
        <v>16.033333333333335</v>
      </c>
      <c r="N24" s="26">
        <f>M24*J24</f>
        <v>6.8907699815565576E-2</v>
      </c>
      <c r="O24" s="29">
        <f t="shared" si="4"/>
        <v>0</v>
      </c>
      <c r="Q24" s="35">
        <v>45136.21875</v>
      </c>
      <c r="R24" s="78">
        <v>7.42178503414924E-3</v>
      </c>
      <c r="S24" s="77">
        <v>0.99067576999999996</v>
      </c>
      <c r="T24" s="36">
        <v>3997</v>
      </c>
      <c r="U24" s="37">
        <f t="shared" si="5"/>
        <v>66.61666666666666</v>
      </c>
      <c r="V24" s="37">
        <f t="shared" si="0"/>
        <v>0.49441457969157515</v>
      </c>
      <c r="W24" s="38">
        <f t="shared" si="6"/>
        <v>26.305713580823937</v>
      </c>
      <c r="Y24" s="45">
        <v>45151.21875</v>
      </c>
      <c r="Z24" s="4">
        <v>7.0063237541191301E-3</v>
      </c>
      <c r="AA24" s="3">
        <v>0.73497519099999997</v>
      </c>
      <c r="AB24" s="4">
        <v>1690</v>
      </c>
      <c r="AC24" s="46">
        <f t="shared" si="7"/>
        <v>28.166666666666668</v>
      </c>
      <c r="AD24" s="47">
        <f>AC24*Z24</f>
        <v>0.19734478574102218</v>
      </c>
      <c r="AE24" s="50">
        <f t="shared" si="8"/>
        <v>0</v>
      </c>
      <c r="AG24" s="51">
        <v>45166.21875</v>
      </c>
      <c r="AH24" s="79">
        <v>1.34519785504922E-2</v>
      </c>
      <c r="AI24" s="80">
        <v>0.44894941300000002</v>
      </c>
      <c r="AJ24" s="52">
        <v>4740</v>
      </c>
      <c r="AK24" s="53">
        <f t="shared" si="9"/>
        <v>79</v>
      </c>
      <c r="AL24" s="79">
        <f>AK24*AH24</f>
        <v>1.0627063054888839</v>
      </c>
      <c r="AM24" s="54">
        <f t="shared" si="12"/>
        <v>38.263805902213079</v>
      </c>
      <c r="AO24" s="67">
        <v>45183.21875</v>
      </c>
      <c r="AP24" s="68">
        <v>5.9033224032472601E-3</v>
      </c>
      <c r="AQ24" s="69">
        <v>0.44894941300000002</v>
      </c>
      <c r="AR24" s="69">
        <v>1340</v>
      </c>
      <c r="AS24" s="69">
        <f t="shared" si="10"/>
        <v>22.333333333333332</v>
      </c>
      <c r="AT24" s="69">
        <f>AS24*AP24</f>
        <v>0.13184086700585548</v>
      </c>
      <c r="AU24" s="70">
        <f t="shared" si="11"/>
        <v>0</v>
      </c>
    </row>
    <row r="25" spans="1:47" x14ac:dyDescent="0.25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"/>
        <v>2.8833333333333333</v>
      </c>
      <c r="F25" s="12">
        <f>E25*B25</f>
        <v>5.1384183661048171E-3</v>
      </c>
      <c r="G25" s="13">
        <f t="shared" si="2"/>
        <v>0</v>
      </c>
      <c r="I25" s="25">
        <v>44781.229861111111</v>
      </c>
      <c r="J25" s="26">
        <v>3.1614028096858902E-3</v>
      </c>
      <c r="K25" s="27">
        <v>1.2636095315</v>
      </c>
      <c r="L25" s="28">
        <v>1061</v>
      </c>
      <c r="M25" s="29">
        <f t="shared" si="3"/>
        <v>17.683333333333334</v>
      </c>
      <c r="N25" s="26">
        <f>M25*J25</f>
        <v>5.5904139684612157E-2</v>
      </c>
      <c r="O25" s="29">
        <f t="shared" si="4"/>
        <v>0</v>
      </c>
      <c r="Q25" s="35">
        <v>45136.229166666664</v>
      </c>
      <c r="R25" s="78">
        <v>5.4099484718950902E-3</v>
      </c>
      <c r="S25" s="77">
        <v>0.89783227600000004</v>
      </c>
      <c r="T25" s="36">
        <v>2583</v>
      </c>
      <c r="U25" s="37">
        <f t="shared" si="5"/>
        <v>43.05</v>
      </c>
      <c r="V25" s="37">
        <f t="shared" si="0"/>
        <v>0.23289828171508362</v>
      </c>
      <c r="W25" s="38">
        <f t="shared" si="6"/>
        <v>0</v>
      </c>
      <c r="Y25" s="45">
        <v>45151.229166666664</v>
      </c>
      <c r="Z25" s="4">
        <v>4.4516519692577696E-3</v>
      </c>
      <c r="AA25" s="3">
        <v>0.50323377899999999</v>
      </c>
      <c r="AB25" s="4">
        <v>868</v>
      </c>
      <c r="AC25" s="46">
        <f t="shared" si="7"/>
        <v>14.466666666666667</v>
      </c>
      <c r="AD25" s="47">
        <f>AC25*Z25</f>
        <v>6.4400565155262407E-2</v>
      </c>
      <c r="AE25" s="50">
        <f t="shared" si="8"/>
        <v>0</v>
      </c>
      <c r="AG25" s="51">
        <v>45166.229166666664</v>
      </c>
      <c r="AH25" s="79">
        <v>1.3812905374086399E-2</v>
      </c>
      <c r="AI25" s="80">
        <v>0.44894941300000002</v>
      </c>
      <c r="AJ25" s="52">
        <v>5294</v>
      </c>
      <c r="AK25" s="53">
        <f t="shared" si="9"/>
        <v>88.233333333333334</v>
      </c>
      <c r="AL25" s="79">
        <f>AK25*AH25</f>
        <v>1.2187586841735567</v>
      </c>
      <c r="AM25" s="54">
        <f t="shared" si="12"/>
        <v>40.919234617726914</v>
      </c>
      <c r="AO25" s="67">
        <v>45183.229166666664</v>
      </c>
      <c r="AP25" s="68">
        <v>1.00867925691819E-2</v>
      </c>
      <c r="AQ25" s="69">
        <v>0.66228851600000005</v>
      </c>
      <c r="AR25" s="69">
        <v>2342</v>
      </c>
      <c r="AS25" s="69">
        <f t="shared" si="10"/>
        <v>39.033333333333331</v>
      </c>
      <c r="AT25" s="69">
        <f>AS25*AP25</f>
        <v>0.39372113661706681</v>
      </c>
      <c r="AU25" s="70">
        <f t="shared" si="11"/>
        <v>23.529760888500462</v>
      </c>
    </row>
    <row r="26" spans="1:47" x14ac:dyDescent="0.25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"/>
        <v>2.1833333333333331</v>
      </c>
      <c r="F26" s="12">
        <f>E26*B26</f>
        <v>3.4029800336726986E-3</v>
      </c>
      <c r="G26" s="13">
        <f t="shared" si="2"/>
        <v>0</v>
      </c>
      <c r="I26" s="25">
        <v>44781.240277777775</v>
      </c>
      <c r="J26" s="26">
        <v>3.86862997993025E-3</v>
      </c>
      <c r="K26" s="27">
        <v>1.269803263</v>
      </c>
      <c r="L26" s="28">
        <v>1015</v>
      </c>
      <c r="M26" s="29">
        <f t="shared" si="3"/>
        <v>16.916666666666668</v>
      </c>
      <c r="N26" s="26">
        <f>M26*J26</f>
        <v>6.54443238271534E-2</v>
      </c>
      <c r="O26" s="29">
        <f t="shared" si="4"/>
        <v>0</v>
      </c>
      <c r="Q26" s="35">
        <v>45136.239583333336</v>
      </c>
      <c r="R26" s="78">
        <v>7.0601446291194197E-3</v>
      </c>
      <c r="S26" s="77">
        <v>0.99067576999999996</v>
      </c>
      <c r="T26" s="36">
        <v>2995</v>
      </c>
      <c r="U26" s="37">
        <f t="shared" si="5"/>
        <v>49.916666666666664</v>
      </c>
      <c r="V26" s="37">
        <f t="shared" si="0"/>
        <v>0.35241888607021099</v>
      </c>
      <c r="W26" s="38">
        <f t="shared" si="6"/>
        <v>0</v>
      </c>
      <c r="Y26" s="45">
        <v>45151.239583333336</v>
      </c>
      <c r="Z26" s="4">
        <v>5.7212281035159502E-3</v>
      </c>
      <c r="AA26" s="3">
        <v>0.66228851600000005</v>
      </c>
      <c r="AB26" s="4">
        <v>1354</v>
      </c>
      <c r="AC26" s="46">
        <f t="shared" si="7"/>
        <v>22.566666666666666</v>
      </c>
      <c r="AD26" s="47">
        <f>AC26*Z26</f>
        <v>0.12910904753600994</v>
      </c>
      <c r="AE26" s="50">
        <f t="shared" si="8"/>
        <v>0</v>
      </c>
      <c r="AG26" s="51">
        <v>45166.239583333336</v>
      </c>
      <c r="AH26" s="79">
        <v>1.00243336046308E-2</v>
      </c>
      <c r="AI26" s="80">
        <v>0.42386643899999998</v>
      </c>
      <c r="AJ26" s="52">
        <v>4481</v>
      </c>
      <c r="AK26" s="53">
        <f t="shared" si="9"/>
        <v>74.683333333333337</v>
      </c>
      <c r="AL26" s="79">
        <f>AK26*AH26</f>
        <v>0.74865064803917691</v>
      </c>
      <c r="AM26" s="54">
        <f t="shared" si="12"/>
        <v>32.232064192136171</v>
      </c>
      <c r="AO26" s="67">
        <v>45183.239583333336</v>
      </c>
      <c r="AP26" s="68">
        <v>6.3214542793526398E-3</v>
      </c>
      <c r="AQ26" s="69">
        <v>0.44894941300000002</v>
      </c>
      <c r="AR26" s="69">
        <v>1314</v>
      </c>
      <c r="AS26" s="69">
        <f t="shared" si="10"/>
        <v>21.9</v>
      </c>
      <c r="AT26" s="69">
        <f>AS26*AP26</f>
        <v>0.13843984871782281</v>
      </c>
      <c r="AU26" s="70">
        <f t="shared" si="11"/>
        <v>0</v>
      </c>
    </row>
    <row r="27" spans="1:47" x14ac:dyDescent="0.25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"/>
        <v>1.65</v>
      </c>
      <c r="F27" s="12">
        <f>E27*B27</f>
        <v>2.5307795083471889E-3</v>
      </c>
      <c r="G27" s="13">
        <f t="shared" si="2"/>
        <v>0</v>
      </c>
      <c r="I27" s="25">
        <v>44781.250694444447</v>
      </c>
      <c r="J27" s="26">
        <v>3.57448395977234E-3</v>
      </c>
      <c r="K27" s="27">
        <v>1.3586243874999999</v>
      </c>
      <c r="L27" s="28">
        <v>1033</v>
      </c>
      <c r="M27" s="29">
        <f t="shared" si="3"/>
        <v>17.216666666666665</v>
      </c>
      <c r="N27" s="26">
        <f>M27*J27</f>
        <v>6.1540698840747116E-2</v>
      </c>
      <c r="O27" s="29">
        <f t="shared" si="4"/>
        <v>0</v>
      </c>
      <c r="Q27" s="35">
        <v>45136.25</v>
      </c>
      <c r="R27" s="78">
        <v>9.2267551611655407E-3</v>
      </c>
      <c r="S27" s="77">
        <v>1.1441742989999999</v>
      </c>
      <c r="T27" s="36">
        <v>3660</v>
      </c>
      <c r="U27" s="37">
        <f t="shared" si="5"/>
        <v>61</v>
      </c>
      <c r="V27" s="37">
        <f t="shared" si="0"/>
        <v>0.56283206483109793</v>
      </c>
      <c r="W27" s="38">
        <f t="shared" si="6"/>
        <v>28.029419693648578</v>
      </c>
      <c r="Y27" s="45">
        <v>45151.25</v>
      </c>
      <c r="Z27" s="4">
        <v>7.1464229698987199E-3</v>
      </c>
      <c r="AA27" s="3">
        <v>0.66228851600000005</v>
      </c>
      <c r="AB27" s="4">
        <v>1493</v>
      </c>
      <c r="AC27" s="46">
        <f t="shared" si="7"/>
        <v>24.883333333333333</v>
      </c>
      <c r="AD27" s="47">
        <f>AC27*Z27</f>
        <v>0.17782682490097981</v>
      </c>
      <c r="AE27" s="50">
        <f t="shared" si="8"/>
        <v>0</v>
      </c>
      <c r="AG27" s="51">
        <v>45166.25</v>
      </c>
      <c r="AH27" s="79">
        <v>8.5565689651571492E-3</v>
      </c>
      <c r="AI27" s="80">
        <v>0.33405227900000001</v>
      </c>
      <c r="AJ27" s="52">
        <v>2853</v>
      </c>
      <c r="AK27" s="53">
        <f t="shared" si="9"/>
        <v>47.55</v>
      </c>
      <c r="AL27" s="79">
        <f>AK27*AH27</f>
        <v>0.40686485429322244</v>
      </c>
      <c r="AM27" s="54">
        <f t="shared" si="12"/>
        <v>23.911198459324371</v>
      </c>
      <c r="AO27" s="67">
        <v>45183.25</v>
      </c>
      <c r="AP27" s="68">
        <v>6.5115629149989102E-3</v>
      </c>
      <c r="AQ27" s="69">
        <v>0.59425534599999996</v>
      </c>
      <c r="AR27" s="69">
        <v>2096</v>
      </c>
      <c r="AS27" s="69">
        <f t="shared" si="10"/>
        <v>34.93333333333333</v>
      </c>
      <c r="AT27" s="69">
        <f>AS27*AP27</f>
        <v>0.22747059783062856</v>
      </c>
      <c r="AU27" s="70">
        <f t="shared" si="11"/>
        <v>0</v>
      </c>
    </row>
    <row r="28" spans="1:47" x14ac:dyDescent="0.25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"/>
        <v>2.0833333333333335</v>
      </c>
      <c r="F28" s="12">
        <f>E28*B28</f>
        <v>3.6314291601306672E-3</v>
      </c>
      <c r="G28" s="13">
        <f t="shared" si="2"/>
        <v>0</v>
      </c>
      <c r="I28" s="25">
        <v>44781.261111111111</v>
      </c>
      <c r="J28" s="26">
        <v>3.1265966325958699E-3</v>
      </c>
      <c r="K28" s="27">
        <v>1.3056302835</v>
      </c>
      <c r="L28" s="28">
        <v>907</v>
      </c>
      <c r="M28" s="29">
        <f t="shared" si="3"/>
        <v>15.116666666666667</v>
      </c>
      <c r="N28" s="26">
        <f>M28*J28</f>
        <v>4.7263719096074235E-2</v>
      </c>
      <c r="O28" s="29">
        <f t="shared" si="4"/>
        <v>0</v>
      </c>
      <c r="Q28" s="35">
        <v>45136.260416666664</v>
      </c>
      <c r="R28" s="78">
        <v>6.9130123830800404E-3</v>
      </c>
      <c r="S28" s="77">
        <v>0.89783227600000004</v>
      </c>
      <c r="T28" s="36">
        <v>2689</v>
      </c>
      <c r="U28" s="37">
        <f t="shared" si="5"/>
        <v>44.81666666666667</v>
      </c>
      <c r="V28" s="37">
        <f t="shared" si="0"/>
        <v>0.30981817163503717</v>
      </c>
      <c r="W28" s="38">
        <f t="shared" si="6"/>
        <v>0</v>
      </c>
      <c r="Y28" s="45">
        <v>45151.260416666664</v>
      </c>
      <c r="Z28" s="4">
        <v>5.4064467236704904E-3</v>
      </c>
      <c r="AA28" s="3">
        <v>0.66228851600000005</v>
      </c>
      <c r="AB28" s="4">
        <v>1433</v>
      </c>
      <c r="AC28" s="46">
        <f t="shared" si="7"/>
        <v>23.883333333333333</v>
      </c>
      <c r="AD28" s="47">
        <f>AC28*Z28</f>
        <v>0.12912396925033021</v>
      </c>
      <c r="AE28" s="50">
        <f t="shared" si="8"/>
        <v>0</v>
      </c>
      <c r="AG28" s="51">
        <v>45166.260416666664</v>
      </c>
      <c r="AH28" s="79">
        <v>5.9456301632887501E-3</v>
      </c>
      <c r="AI28" s="80">
        <v>0.31440712500000001</v>
      </c>
      <c r="AJ28" s="52">
        <v>2128</v>
      </c>
      <c r="AK28" s="53">
        <f t="shared" si="9"/>
        <v>35.466666666666669</v>
      </c>
      <c r="AL28" s="79">
        <f>AK28*AH28</f>
        <v>0.21087168312464102</v>
      </c>
      <c r="AM28" s="54">
        <f t="shared" si="12"/>
        <v>0</v>
      </c>
      <c r="AO28" s="67">
        <v>45183.260416666664</v>
      </c>
      <c r="AP28" s="68">
        <v>7.3765554655193999E-3</v>
      </c>
      <c r="AQ28" s="69">
        <v>0.44894941300000002</v>
      </c>
      <c r="AR28" s="69">
        <v>1338</v>
      </c>
      <c r="AS28" s="69">
        <f t="shared" si="10"/>
        <v>22.3</v>
      </c>
      <c r="AT28" s="69">
        <f>AS28*AP28</f>
        <v>0.16449718688108261</v>
      </c>
      <c r="AU28" s="70">
        <f t="shared" si="11"/>
        <v>0</v>
      </c>
    </row>
    <row r="29" spans="1:47" x14ac:dyDescent="0.25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"/>
        <v>2.1</v>
      </c>
      <c r="F29" s="12">
        <f>E29*B29</f>
        <v>3.0918184850090998E-3</v>
      </c>
      <c r="G29" s="13">
        <f t="shared" si="2"/>
        <v>0</v>
      </c>
      <c r="I29" s="25">
        <v>44781.271527777775</v>
      </c>
      <c r="J29" s="26">
        <v>3.71672567259323E-3</v>
      </c>
      <c r="K29" s="27">
        <v>1.2676346135000001</v>
      </c>
      <c r="L29" s="28">
        <v>832</v>
      </c>
      <c r="M29" s="29">
        <f t="shared" si="3"/>
        <v>13.866666666666667</v>
      </c>
      <c r="N29" s="26">
        <f>M29*J29</f>
        <v>5.1538595993292788E-2</v>
      </c>
      <c r="O29" s="29">
        <f t="shared" si="4"/>
        <v>0</v>
      </c>
      <c r="Q29" s="35">
        <v>45136.270833333336</v>
      </c>
      <c r="R29" s="78">
        <v>7.1312324697983499E-3</v>
      </c>
      <c r="S29" s="77">
        <v>1.1441742989999999</v>
      </c>
      <c r="T29" s="36">
        <v>3338</v>
      </c>
      <c r="U29" s="37">
        <f t="shared" si="5"/>
        <v>55.633333333333333</v>
      </c>
      <c r="V29" s="37">
        <f t="shared" si="0"/>
        <v>0.39673423306978151</v>
      </c>
      <c r="W29" s="38">
        <f t="shared" si="6"/>
        <v>23.617769736132988</v>
      </c>
      <c r="Y29" s="45">
        <v>45151.270833333336</v>
      </c>
      <c r="Z29" s="4">
        <v>7.0508754123729898E-3</v>
      </c>
      <c r="AA29" s="3">
        <v>0.77321039300000005</v>
      </c>
      <c r="AB29" s="4">
        <v>1746</v>
      </c>
      <c r="AC29" s="46">
        <f t="shared" si="7"/>
        <v>29.1</v>
      </c>
      <c r="AD29" s="47">
        <f>AC29*Z29</f>
        <v>0.205180474500054</v>
      </c>
      <c r="AE29" s="50">
        <f t="shared" si="8"/>
        <v>0</v>
      </c>
      <c r="AG29" s="51">
        <v>45166.270833333336</v>
      </c>
      <c r="AH29" s="79">
        <v>1.11428076912495E-2</v>
      </c>
      <c r="AI29" s="80">
        <v>0.376777213</v>
      </c>
      <c r="AJ29" s="52">
        <v>4045</v>
      </c>
      <c r="AK29" s="53">
        <f t="shared" si="9"/>
        <v>67.416666666666671</v>
      </c>
      <c r="AL29" s="79">
        <f>AK29*AH29</f>
        <v>0.75121095185173714</v>
      </c>
      <c r="AM29" s="54">
        <f t="shared" si="12"/>
        <v>32.285996877975236</v>
      </c>
      <c r="AO29" s="67">
        <v>45183.270833333336</v>
      </c>
      <c r="AP29" s="68">
        <v>4.7943275193273903E-3</v>
      </c>
      <c r="AQ29" s="69">
        <v>0.44939223900000003</v>
      </c>
      <c r="AR29" s="69">
        <v>1446</v>
      </c>
      <c r="AS29" s="69">
        <f t="shared" si="10"/>
        <v>24.1</v>
      </c>
      <c r="AT29" s="69">
        <f>AS29*AP29</f>
        <v>0.11554329321579011</v>
      </c>
      <c r="AU29" s="70">
        <f t="shared" si="11"/>
        <v>0</v>
      </c>
    </row>
    <row r="30" spans="1:47" x14ac:dyDescent="0.25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"/>
        <v>1.9666666666666666</v>
      </c>
      <c r="F30" s="12">
        <f>E30*B30</f>
        <v>2.8205971838716911E-3</v>
      </c>
      <c r="G30" s="13">
        <f t="shared" si="2"/>
        <v>0</v>
      </c>
      <c r="I30" s="25">
        <v>44781.281944444447</v>
      </c>
      <c r="J30" s="26">
        <v>3.2655198123181998E-3</v>
      </c>
      <c r="K30" s="27">
        <v>1.2868847735</v>
      </c>
      <c r="L30" s="28">
        <v>833</v>
      </c>
      <c r="M30" s="29">
        <f t="shared" si="3"/>
        <v>13.883333333333333</v>
      </c>
      <c r="N30" s="26">
        <f>M30*J30</f>
        <v>4.5336300061017673E-2</v>
      </c>
      <c r="O30" s="29">
        <f t="shared" si="4"/>
        <v>0</v>
      </c>
      <c r="Q30" s="35">
        <v>45136.28125</v>
      </c>
      <c r="R30" s="78">
        <v>4.9684074324156096E-3</v>
      </c>
      <c r="S30" s="77">
        <v>0.73432993800000002</v>
      </c>
      <c r="T30" s="36">
        <v>1901</v>
      </c>
      <c r="U30" s="37">
        <f t="shared" si="5"/>
        <v>31.683333333333334</v>
      </c>
      <c r="V30" s="37">
        <f t="shared" si="0"/>
        <v>0.15741570881703457</v>
      </c>
      <c r="W30" s="38">
        <f t="shared" si="6"/>
        <v>0</v>
      </c>
      <c r="Y30" s="45">
        <v>45151.28125</v>
      </c>
      <c r="Z30" s="4">
        <v>7.2488739117742796E-3</v>
      </c>
      <c r="AA30" s="3">
        <v>0.66228851600000005</v>
      </c>
      <c r="AB30" s="4">
        <v>1305</v>
      </c>
      <c r="AC30" s="46">
        <f t="shared" si="7"/>
        <v>21.75</v>
      </c>
      <c r="AD30" s="47">
        <f>AC30*Z30</f>
        <v>0.15766300758109059</v>
      </c>
      <c r="AE30" s="50">
        <f t="shared" si="8"/>
        <v>0</v>
      </c>
      <c r="AG30" s="51">
        <v>45166.28125</v>
      </c>
      <c r="AH30" s="79">
        <v>9.60254448264845E-3</v>
      </c>
      <c r="AI30" s="80">
        <v>0.376777213</v>
      </c>
      <c r="AJ30" s="52">
        <v>3832</v>
      </c>
      <c r="AK30" s="53">
        <f t="shared" si="9"/>
        <v>63.866666666666667</v>
      </c>
      <c r="AL30" s="79">
        <f>AK30*AH30</f>
        <v>0.61328250762514769</v>
      </c>
      <c r="AM30" s="54">
        <f t="shared" si="12"/>
        <v>29.232837847728149</v>
      </c>
      <c r="AO30" s="67">
        <v>45183.28125</v>
      </c>
      <c r="AP30" s="68">
        <v>7.3620775551865398E-3</v>
      </c>
      <c r="AQ30" s="69">
        <v>0.44939223900000003</v>
      </c>
      <c r="AR30" s="69">
        <v>1446</v>
      </c>
      <c r="AS30" s="69">
        <f t="shared" si="10"/>
        <v>24.1</v>
      </c>
      <c r="AT30" s="69">
        <f>AS30*AP30</f>
        <v>0.17742606907999561</v>
      </c>
      <c r="AU30" s="70">
        <f t="shared" si="11"/>
        <v>0</v>
      </c>
    </row>
    <row r="31" spans="1:47" x14ac:dyDescent="0.25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"/>
        <v>1.7333333333333334</v>
      </c>
      <c r="F31" s="12">
        <f>E31*B31</f>
        <v>2.7149444610931068E-3</v>
      </c>
      <c r="G31" s="13">
        <f t="shared" si="2"/>
        <v>0</v>
      </c>
      <c r="I31" s="25">
        <v>44781.292361111111</v>
      </c>
      <c r="J31" s="26">
        <v>3.1374374464774001E-3</v>
      </c>
      <c r="K31" s="27">
        <v>1.2461573855000001</v>
      </c>
      <c r="L31" s="28">
        <v>932</v>
      </c>
      <c r="M31" s="29">
        <f t="shared" si="3"/>
        <v>15.533333333333333</v>
      </c>
      <c r="N31" s="26">
        <f>M31*J31</f>
        <v>4.8734861668615612E-2</v>
      </c>
      <c r="O31" s="29">
        <f t="shared" si="4"/>
        <v>0</v>
      </c>
      <c r="Q31" s="35">
        <v>45136.291666666664</v>
      </c>
      <c r="R31" s="78">
        <v>6.50278848521016E-3</v>
      </c>
      <c r="S31" s="77">
        <v>0.85462156099999997</v>
      </c>
      <c r="T31" s="36">
        <v>3226</v>
      </c>
      <c r="U31" s="37">
        <f t="shared" si="5"/>
        <v>53.766666666666666</v>
      </c>
      <c r="V31" s="37">
        <f t="shared" si="0"/>
        <v>0.34963326088813296</v>
      </c>
      <c r="W31" s="38">
        <f t="shared" si="6"/>
        <v>0</v>
      </c>
      <c r="Y31" s="45">
        <v>45151.291666666664</v>
      </c>
      <c r="Z31" s="4">
        <v>5.5029989556060104E-3</v>
      </c>
      <c r="AA31" s="3">
        <v>0.59425534599999996</v>
      </c>
      <c r="AB31" s="4">
        <v>1169</v>
      </c>
      <c r="AC31" s="46">
        <f t="shared" si="7"/>
        <v>19.483333333333334</v>
      </c>
      <c r="AD31" s="47">
        <f>AC31*Z31</f>
        <v>0.10721676298505711</v>
      </c>
      <c r="AE31" s="50">
        <f t="shared" si="8"/>
        <v>0</v>
      </c>
      <c r="AG31" s="51">
        <v>45166.291666666664</v>
      </c>
      <c r="AH31" s="79">
        <v>7.8953510399752801E-3</v>
      </c>
      <c r="AI31" s="80">
        <v>0.31440712500000001</v>
      </c>
      <c r="AJ31" s="52">
        <v>2242</v>
      </c>
      <c r="AK31" s="53">
        <f t="shared" si="9"/>
        <v>37.366666666666667</v>
      </c>
      <c r="AL31" s="79">
        <f>AK31*AH31</f>
        <v>0.29502295052707628</v>
      </c>
      <c r="AM31" s="54">
        <f t="shared" si="12"/>
        <v>0</v>
      </c>
      <c r="AO31" s="67">
        <v>45183.291666666664</v>
      </c>
      <c r="AP31" s="68">
        <v>4.6277555752786302E-3</v>
      </c>
      <c r="AQ31" s="69">
        <v>0.44939223900000003</v>
      </c>
      <c r="AR31" s="69">
        <v>1553</v>
      </c>
      <c r="AS31" s="69">
        <f t="shared" si="10"/>
        <v>25.883333333333333</v>
      </c>
      <c r="AT31" s="69">
        <f>AS31*AP31</f>
        <v>0.11978174014012855</v>
      </c>
      <c r="AU31" s="70">
        <f t="shared" si="11"/>
        <v>0</v>
      </c>
    </row>
    <row r="32" spans="1:47" x14ac:dyDescent="0.25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"/>
        <v>1.7666666666666666</v>
      </c>
      <c r="F32" s="12">
        <f>E32*B32</f>
        <v>2.8372857135455531E-3</v>
      </c>
      <c r="G32" s="13">
        <f t="shared" si="2"/>
        <v>0</v>
      </c>
      <c r="I32" s="25">
        <v>44781.302777777775</v>
      </c>
      <c r="J32" s="26">
        <v>3.53213956845098E-3</v>
      </c>
      <c r="K32" s="27">
        <v>1.2263406489999999</v>
      </c>
      <c r="L32" s="28">
        <v>792</v>
      </c>
      <c r="M32" s="29">
        <f t="shared" si="3"/>
        <v>13.2</v>
      </c>
      <c r="N32" s="26">
        <f>M32*J32</f>
        <v>4.6624242303552936E-2</v>
      </c>
      <c r="O32" s="29">
        <f t="shared" si="4"/>
        <v>0</v>
      </c>
      <c r="Q32" s="35">
        <v>45136.302083333336</v>
      </c>
      <c r="R32" s="78">
        <v>9.4626806314810508E-3</v>
      </c>
      <c r="S32" s="77">
        <v>1.145105356</v>
      </c>
      <c r="T32" s="36">
        <v>5317</v>
      </c>
      <c r="U32" s="37">
        <f t="shared" si="5"/>
        <v>88.61666666666666</v>
      </c>
      <c r="V32" s="37">
        <f t="shared" si="0"/>
        <v>0.83855121529307908</v>
      </c>
      <c r="W32" s="38">
        <f t="shared" si="6"/>
        <v>34.072659579360547</v>
      </c>
      <c r="Y32" s="45">
        <v>45151.302083333336</v>
      </c>
      <c r="Z32" s="4">
        <v>8.5548684313914106E-3</v>
      </c>
      <c r="AA32" s="3">
        <v>0.59425534599999996</v>
      </c>
      <c r="AB32" s="4">
        <v>1310</v>
      </c>
      <c r="AC32" s="46">
        <f t="shared" si="7"/>
        <v>21.833333333333332</v>
      </c>
      <c r="AD32" s="47">
        <f>AC32*Z32</f>
        <v>0.18678129408537913</v>
      </c>
      <c r="AE32" s="50">
        <f t="shared" si="8"/>
        <v>0</v>
      </c>
      <c r="AG32" s="51">
        <v>45166.302083333336</v>
      </c>
      <c r="AH32" s="79">
        <v>5.5118897304557097E-3</v>
      </c>
      <c r="AI32" s="80">
        <v>0.27800180299999999</v>
      </c>
      <c r="AJ32" s="52">
        <v>1298</v>
      </c>
      <c r="AK32" s="53">
        <f t="shared" si="9"/>
        <v>21.633333333333333</v>
      </c>
      <c r="AL32" s="79">
        <f>AK32*AH32</f>
        <v>0.11924054783552518</v>
      </c>
      <c r="AM32" s="54">
        <f t="shared" si="12"/>
        <v>0</v>
      </c>
      <c r="AO32" s="67">
        <v>45183.302083333336</v>
      </c>
      <c r="AP32" s="68">
        <v>5.4911867320969901E-3</v>
      </c>
      <c r="AQ32" s="69">
        <v>0.44894941300000002</v>
      </c>
      <c r="AR32" s="69">
        <v>1420</v>
      </c>
      <c r="AS32" s="69">
        <f t="shared" si="10"/>
        <v>23.666666666666668</v>
      </c>
      <c r="AT32" s="69">
        <f>AS32*AP32</f>
        <v>0.1299580859929621</v>
      </c>
      <c r="AU32" s="70">
        <f t="shared" si="11"/>
        <v>0</v>
      </c>
    </row>
    <row r="33" spans="1:47" x14ac:dyDescent="0.25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"/>
        <v>1.6</v>
      </c>
      <c r="F33" s="12">
        <f>E33*B33</f>
        <v>2.2765050612910402E-3</v>
      </c>
      <c r="G33" s="13">
        <f t="shared" si="2"/>
        <v>0</v>
      </c>
      <c r="I33" s="25">
        <v>44781.313194444447</v>
      </c>
      <c r="J33" s="26">
        <v>3.6192879646414402E-3</v>
      </c>
      <c r="K33" s="27">
        <v>1.2605418435</v>
      </c>
      <c r="L33" s="28">
        <v>825</v>
      </c>
      <c r="M33" s="29">
        <f t="shared" si="3"/>
        <v>13.75</v>
      </c>
      <c r="N33" s="26">
        <f>M33*J33</f>
        <v>4.9765209513819804E-2</v>
      </c>
      <c r="O33" s="29">
        <f t="shared" si="4"/>
        <v>0</v>
      </c>
      <c r="Q33" s="35">
        <v>45136.3125</v>
      </c>
      <c r="R33" s="78">
        <v>9.7109026346032697E-3</v>
      </c>
      <c r="S33" s="77">
        <v>1.257509953</v>
      </c>
      <c r="T33" s="36">
        <v>5822</v>
      </c>
      <c r="U33" s="37">
        <f t="shared" si="5"/>
        <v>97.033333333333331</v>
      </c>
      <c r="V33" s="37">
        <f t="shared" si="0"/>
        <v>0.9422812523110039</v>
      </c>
      <c r="W33" s="38">
        <f t="shared" si="6"/>
        <v>36.075288113137567</v>
      </c>
      <c r="Y33" s="45">
        <v>45151.3125</v>
      </c>
      <c r="Z33" s="4">
        <v>4.5908353032569097E-3</v>
      </c>
      <c r="AA33" s="3">
        <v>0.59425534599999996</v>
      </c>
      <c r="AB33" s="4">
        <v>1230</v>
      </c>
      <c r="AC33" s="46">
        <f t="shared" si="7"/>
        <v>20.5</v>
      </c>
      <c r="AD33" s="47">
        <f>AC33*Z33</f>
        <v>9.4112123716766652E-2</v>
      </c>
      <c r="AE33" s="50">
        <f t="shared" si="8"/>
        <v>0</v>
      </c>
      <c r="AG33" s="51">
        <v>45166.3125</v>
      </c>
      <c r="AH33" s="79">
        <v>1.1462435806008401E-2</v>
      </c>
      <c r="AI33" s="80">
        <v>0.33439968599999997</v>
      </c>
      <c r="AJ33" s="52">
        <v>2874</v>
      </c>
      <c r="AK33" s="53">
        <f t="shared" si="9"/>
        <v>47.9</v>
      </c>
      <c r="AL33" s="79">
        <f>AK33*AH33</f>
        <v>0.54905067510780237</v>
      </c>
      <c r="AM33" s="54">
        <f t="shared" si="12"/>
        <v>27.691201483776123</v>
      </c>
      <c r="AO33" s="67">
        <v>45183.3125</v>
      </c>
      <c r="AP33" s="68">
        <v>5.9311727867846099E-3</v>
      </c>
      <c r="AQ33" s="69">
        <v>0.53201108200000002</v>
      </c>
      <c r="AR33" s="69">
        <v>1847</v>
      </c>
      <c r="AS33" s="69">
        <f t="shared" si="10"/>
        <v>30.783333333333335</v>
      </c>
      <c r="AT33" s="69">
        <f>AS33*AP33</f>
        <v>0.18258126895318624</v>
      </c>
      <c r="AU33" s="70">
        <f t="shared" si="11"/>
        <v>0</v>
      </c>
    </row>
    <row r="34" spans="1:47" x14ac:dyDescent="0.25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"/>
        <v>1.7</v>
      </c>
      <c r="F34" s="12">
        <f>E34*B34</f>
        <v>2.7624306292193478E-3</v>
      </c>
      <c r="G34" s="13">
        <f t="shared" si="2"/>
        <v>0</v>
      </c>
      <c r="I34" s="25">
        <v>44781.323611111111</v>
      </c>
      <c r="J34" s="26">
        <v>3.4101060243719099E-3</v>
      </c>
      <c r="K34" s="27">
        <v>1.2897381324999999</v>
      </c>
      <c r="L34" s="28">
        <v>934</v>
      </c>
      <c r="M34" s="29">
        <f t="shared" si="3"/>
        <v>15.566666666666666</v>
      </c>
      <c r="N34" s="26">
        <f>M34*J34</f>
        <v>5.3083983779389395E-2</v>
      </c>
      <c r="O34" s="29">
        <f t="shared" si="4"/>
        <v>0</v>
      </c>
      <c r="Q34" s="35">
        <v>45136.322916666664</v>
      </c>
      <c r="R34" s="78">
        <v>9.5291302886648006E-3</v>
      </c>
      <c r="S34" s="77">
        <v>1.145105356</v>
      </c>
      <c r="T34" s="36">
        <v>4996</v>
      </c>
      <c r="U34" s="37">
        <f t="shared" si="5"/>
        <v>83.266666666666666</v>
      </c>
      <c r="V34" s="37">
        <f t="shared" si="0"/>
        <v>0.79345891536948909</v>
      </c>
      <c r="W34" s="38">
        <f t="shared" si="6"/>
        <v>33.162763445790141</v>
      </c>
      <c r="Y34" s="45">
        <v>45151.322916666664</v>
      </c>
      <c r="Z34" s="4">
        <v>3.0903071871563699E-3</v>
      </c>
      <c r="AA34" s="3">
        <v>0.42386643899999998</v>
      </c>
      <c r="AB34" s="4">
        <v>520</v>
      </c>
      <c r="AC34" s="46">
        <f t="shared" si="7"/>
        <v>8.6666666666666661</v>
      </c>
      <c r="AD34" s="47">
        <f>AC34*Z34</f>
        <v>2.6782662288688537E-2</v>
      </c>
      <c r="AE34" s="50">
        <f t="shared" si="8"/>
        <v>0</v>
      </c>
      <c r="AG34" s="51">
        <v>45166.322916666664</v>
      </c>
      <c r="AH34" s="79">
        <v>1.54406588765562E-2</v>
      </c>
      <c r="AI34" s="80">
        <v>0.44939223900000003</v>
      </c>
      <c r="AJ34" s="52">
        <v>5502</v>
      </c>
      <c r="AK34" s="53">
        <f t="shared" si="9"/>
        <v>91.7</v>
      </c>
      <c r="AL34" s="79">
        <f>AK34*AH34</f>
        <v>1.4159084189802036</v>
      </c>
      <c r="AM34" s="54">
        <f t="shared" si="12"/>
        <v>44.036775639007523</v>
      </c>
      <c r="AO34" s="67">
        <v>45183.322916666664</v>
      </c>
      <c r="AP34" s="68">
        <v>6.2633664849026001E-3</v>
      </c>
      <c r="AQ34" s="69">
        <v>0.44894941300000002</v>
      </c>
      <c r="AR34" s="69">
        <v>1417</v>
      </c>
      <c r="AS34" s="69">
        <f t="shared" si="10"/>
        <v>23.616666666666667</v>
      </c>
      <c r="AT34" s="69">
        <f>AS34*AP34</f>
        <v>0.14791983848511642</v>
      </c>
      <c r="AU34" s="70">
        <f t="shared" si="11"/>
        <v>0</v>
      </c>
    </row>
    <row r="35" spans="1:47" x14ac:dyDescent="0.25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"/>
        <v>2.0833333333333335</v>
      </c>
      <c r="F35" s="12">
        <f>E35*B35</f>
        <v>4.2446643881877081E-3</v>
      </c>
      <c r="G35" s="13">
        <f t="shared" si="2"/>
        <v>0</v>
      </c>
      <c r="I35" s="25">
        <v>44781.334027777775</v>
      </c>
      <c r="J35" s="26">
        <v>3.8753167317763298E-3</v>
      </c>
      <c r="K35" s="27">
        <v>1.326867053</v>
      </c>
      <c r="L35" s="28">
        <v>897</v>
      </c>
      <c r="M35" s="29">
        <f t="shared" si="3"/>
        <v>14.95</v>
      </c>
      <c r="N35" s="26">
        <f>M35*J35</f>
        <v>5.7935985140056129E-2</v>
      </c>
      <c r="O35" s="29">
        <f t="shared" si="4"/>
        <v>0</v>
      </c>
      <c r="Q35" s="35">
        <v>45136.333333333336</v>
      </c>
      <c r="R35" s="78">
        <v>8.2768553180524104E-3</v>
      </c>
      <c r="S35" s="77">
        <v>1.318149035</v>
      </c>
      <c r="T35" s="36">
        <v>5749</v>
      </c>
      <c r="U35" s="37">
        <f t="shared" si="5"/>
        <v>95.816666666666663</v>
      </c>
      <c r="V35" s="37">
        <f t="shared" ref="V35:V66" si="13">R35*U35</f>
        <v>0.7930606870580551</v>
      </c>
      <c r="W35" s="38">
        <f t="shared" si="6"/>
        <v>33.154611821964082</v>
      </c>
      <c r="Y35" s="45">
        <v>45151.333333333336</v>
      </c>
      <c r="Z35" s="4">
        <v>4.62743377795419E-3</v>
      </c>
      <c r="AA35" s="3">
        <v>0.50323377899999999</v>
      </c>
      <c r="AB35" s="4">
        <v>848</v>
      </c>
      <c r="AC35" s="46">
        <f t="shared" si="7"/>
        <v>14.133333333333333</v>
      </c>
      <c r="AD35" s="47">
        <f>AC35*Z35</f>
        <v>6.5401064061752556E-2</v>
      </c>
      <c r="AE35" s="50">
        <f t="shared" si="8"/>
        <v>0</v>
      </c>
      <c r="AG35" s="51">
        <v>45166.333333333336</v>
      </c>
      <c r="AH35" s="79">
        <v>1.0682284256436201E-2</v>
      </c>
      <c r="AI35" s="80">
        <v>0.377160934</v>
      </c>
      <c r="AJ35" s="52">
        <v>4109</v>
      </c>
      <c r="AK35" s="53">
        <f t="shared" si="9"/>
        <v>68.483333333333334</v>
      </c>
      <c r="AL35" s="79">
        <f>AK35*AH35</f>
        <v>0.7315584334949391</v>
      </c>
      <c r="AM35" s="54">
        <f t="shared" si="12"/>
        <v>31.869579878084458</v>
      </c>
      <c r="AO35" s="67">
        <v>45183.333333333336</v>
      </c>
      <c r="AP35" s="68">
        <v>5.6065254957764999E-3</v>
      </c>
      <c r="AQ35" s="69">
        <v>0.39953381599999999</v>
      </c>
      <c r="AR35" s="69">
        <v>1004</v>
      </c>
      <c r="AS35" s="69">
        <f t="shared" si="10"/>
        <v>16.733333333333334</v>
      </c>
      <c r="AT35" s="69">
        <f>AS35*AP35</f>
        <v>9.3815859962660106E-2</v>
      </c>
      <c r="AU35" s="70">
        <f t="shared" si="11"/>
        <v>0</v>
      </c>
    </row>
    <row r="36" spans="1:47" x14ac:dyDescent="0.25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"/>
        <v>2.85</v>
      </c>
      <c r="F36" s="12">
        <f>E36*B36</f>
        <v>5.097946263823986E-3</v>
      </c>
      <c r="G36" s="13">
        <f t="shared" si="2"/>
        <v>0</v>
      </c>
      <c r="I36" s="25">
        <v>44781.344444444447</v>
      </c>
      <c r="J36" s="26">
        <v>4.1273201374424397E-3</v>
      </c>
      <c r="K36" s="27">
        <v>1.314942037</v>
      </c>
      <c r="L36" s="28">
        <v>945</v>
      </c>
      <c r="M36" s="29">
        <f t="shared" si="3"/>
        <v>15.75</v>
      </c>
      <c r="N36" s="26">
        <f>M36*J36</f>
        <v>6.5005292164718426E-2</v>
      </c>
      <c r="O36" s="29">
        <f t="shared" si="4"/>
        <v>0</v>
      </c>
      <c r="Q36" s="35">
        <v>45136.34375</v>
      </c>
      <c r="R36" s="78">
        <v>8.4345455036178903E-3</v>
      </c>
      <c r="S36" s="77">
        <v>1.318149035</v>
      </c>
      <c r="T36" s="36">
        <v>5692</v>
      </c>
      <c r="U36" s="37">
        <f t="shared" si="5"/>
        <v>94.86666666666666</v>
      </c>
      <c r="V36" s="37">
        <f t="shared" si="13"/>
        <v>0.8001572167765505</v>
      </c>
      <c r="W36" s="38">
        <f t="shared" si="6"/>
        <v>33.299564222719859</v>
      </c>
      <c r="Y36" s="45">
        <v>45151.34375</v>
      </c>
      <c r="Z36" s="4">
        <v>4.9781933895499796E-3</v>
      </c>
      <c r="AA36" s="3">
        <v>0.50323377899999999</v>
      </c>
      <c r="AB36" s="4">
        <v>801</v>
      </c>
      <c r="AC36" s="46">
        <f t="shared" si="7"/>
        <v>13.35</v>
      </c>
      <c r="AD36" s="47">
        <f>AC36*Z36</f>
        <v>6.6458881750492221E-2</v>
      </c>
      <c r="AE36" s="50">
        <f t="shared" si="8"/>
        <v>0</v>
      </c>
      <c r="AG36" s="51">
        <v>45166.34375</v>
      </c>
      <c r="AH36" s="79">
        <v>1.33179201904401E-2</v>
      </c>
      <c r="AI36" s="80">
        <v>0.44939223900000003</v>
      </c>
      <c r="AJ36" s="52">
        <v>5149</v>
      </c>
      <c r="AK36" s="53">
        <f t="shared" si="9"/>
        <v>85.816666666666663</v>
      </c>
      <c r="AL36" s="79">
        <f>AK36*AH36</f>
        <v>1.142899517676268</v>
      </c>
      <c r="AM36" s="54">
        <f t="shared" si="12"/>
        <v>39.651546869503818</v>
      </c>
      <c r="AO36" s="67">
        <v>45183.34375</v>
      </c>
      <c r="AP36" s="68">
        <v>6.3769622080516401E-3</v>
      </c>
      <c r="AQ36" s="69">
        <v>0.47522856800000002</v>
      </c>
      <c r="AR36" s="69">
        <v>1623</v>
      </c>
      <c r="AS36" s="69">
        <f t="shared" si="10"/>
        <v>27.05</v>
      </c>
      <c r="AT36" s="69">
        <f>AS36*AP36</f>
        <v>0.17249682772779687</v>
      </c>
      <c r="AU36" s="70">
        <f t="shared" si="11"/>
        <v>0</v>
      </c>
    </row>
    <row r="37" spans="1:47" x14ac:dyDescent="0.25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"/>
        <v>2.1333333333333333</v>
      </c>
      <c r="F37" s="12">
        <f>E37*B37</f>
        <v>3.1520494315775784E-3</v>
      </c>
      <c r="G37" s="13">
        <f t="shared" si="2"/>
        <v>0</v>
      </c>
      <c r="I37" s="25">
        <v>44781.354861111111</v>
      </c>
      <c r="J37" s="26">
        <v>3.65665104705773E-3</v>
      </c>
      <c r="K37" s="27">
        <v>1.3033880545000001</v>
      </c>
      <c r="L37" s="28">
        <v>906</v>
      </c>
      <c r="M37" s="29">
        <f t="shared" si="3"/>
        <v>15.1</v>
      </c>
      <c r="N37" s="26">
        <f>M37*J37</f>
        <v>5.5215430810571724E-2</v>
      </c>
      <c r="O37" s="29">
        <f t="shared" si="4"/>
        <v>0</v>
      </c>
      <c r="Q37" s="35">
        <v>45136.354166666664</v>
      </c>
      <c r="R37" s="78">
        <v>7.46440744534044E-3</v>
      </c>
      <c r="S37" s="77">
        <v>1.145105356</v>
      </c>
      <c r="T37" s="36">
        <v>5375</v>
      </c>
      <c r="U37" s="37">
        <f t="shared" si="5"/>
        <v>89.583333333333329</v>
      </c>
      <c r="V37" s="37">
        <f t="shared" si="13"/>
        <v>0.6686865003117477</v>
      </c>
      <c r="W37" s="38">
        <f t="shared" si="6"/>
        <v>30.497558859900899</v>
      </c>
      <c r="Y37" s="45">
        <v>45151.354166666664</v>
      </c>
      <c r="Z37" s="4">
        <v>5.1923909126105504E-3</v>
      </c>
      <c r="AA37" s="3">
        <v>0.59425534599999996</v>
      </c>
      <c r="AB37" s="4">
        <v>1336</v>
      </c>
      <c r="AC37" s="46">
        <f t="shared" si="7"/>
        <v>22.266666666666666</v>
      </c>
      <c r="AD37" s="47">
        <f>AC37*Z37</f>
        <v>0.11561723765412825</v>
      </c>
      <c r="AE37" s="50">
        <f t="shared" si="8"/>
        <v>0</v>
      </c>
      <c r="AG37" s="51">
        <v>45166.354166666664</v>
      </c>
      <c r="AH37" s="79">
        <v>7.7398499161251202E-3</v>
      </c>
      <c r="AI37" s="80">
        <v>0.33439968599999997</v>
      </c>
      <c r="AJ37" s="52">
        <v>2591</v>
      </c>
      <c r="AK37" s="53">
        <f t="shared" si="9"/>
        <v>43.18333333333333</v>
      </c>
      <c r="AL37" s="79">
        <f>AK37*AH37</f>
        <v>0.33423251887800309</v>
      </c>
      <c r="AM37" s="54">
        <f t="shared" si="12"/>
        <v>0</v>
      </c>
      <c r="AO37" s="67">
        <v>45183.354166666664</v>
      </c>
      <c r="AP37" s="68">
        <v>8.7199350546054901E-3</v>
      </c>
      <c r="AQ37" s="69">
        <v>0.62723254799999995</v>
      </c>
      <c r="AR37" s="69">
        <v>2375</v>
      </c>
      <c r="AS37" s="69">
        <f t="shared" si="10"/>
        <v>39.583333333333336</v>
      </c>
      <c r="AT37" s="69">
        <f>AS37*AP37</f>
        <v>0.34516409591146735</v>
      </c>
      <c r="AU37" s="70">
        <f t="shared" si="11"/>
        <v>0</v>
      </c>
    </row>
    <row r="38" spans="1:47" x14ac:dyDescent="0.25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"/>
        <v>2.4500000000000002</v>
      </c>
      <c r="F38" s="12">
        <f>E38*B38</f>
        <v>3.7411207462004674E-3</v>
      </c>
      <c r="G38" s="13">
        <f t="shared" si="2"/>
        <v>0</v>
      </c>
      <c r="I38" s="25">
        <v>44781.365277777775</v>
      </c>
      <c r="J38" s="26">
        <v>3.4616339816976299E-3</v>
      </c>
      <c r="K38" s="27">
        <v>1.2281127095</v>
      </c>
      <c r="L38" s="28">
        <v>778</v>
      </c>
      <c r="M38" s="29">
        <f t="shared" si="3"/>
        <v>12.966666666666667</v>
      </c>
      <c r="N38" s="26">
        <f>M38*J38</f>
        <v>4.4885853962679266E-2</v>
      </c>
      <c r="O38" s="29">
        <f t="shared" si="4"/>
        <v>0</v>
      </c>
      <c r="Q38" s="35">
        <v>45136.364583333336</v>
      </c>
      <c r="R38" s="78">
        <v>8.4005436746933306E-3</v>
      </c>
      <c r="S38" s="77">
        <v>1.145105356</v>
      </c>
      <c r="T38" s="36">
        <v>4829</v>
      </c>
      <c r="U38" s="37">
        <f t="shared" si="5"/>
        <v>80.483333333333334</v>
      </c>
      <c r="V38" s="37">
        <f t="shared" si="13"/>
        <v>0.6761037567515682</v>
      </c>
      <c r="W38" s="38">
        <f t="shared" si="6"/>
        <v>30.662751949554721</v>
      </c>
      <c r="Y38" s="45">
        <v>45151.364583333336</v>
      </c>
      <c r="Z38" s="4">
        <v>5.9093812827711702E-3</v>
      </c>
      <c r="AA38" s="3">
        <v>0.66168135500000003</v>
      </c>
      <c r="AB38" s="4">
        <v>1316</v>
      </c>
      <c r="AC38" s="46">
        <f t="shared" si="7"/>
        <v>21.933333333333334</v>
      </c>
      <c r="AD38" s="47">
        <f>AC38*Z38</f>
        <v>0.12961242946878099</v>
      </c>
      <c r="AE38" s="50">
        <f t="shared" si="8"/>
        <v>0</v>
      </c>
      <c r="AG38" s="51">
        <v>45166.364583333336</v>
      </c>
      <c r="AH38" s="79">
        <v>9.8195732874963998E-3</v>
      </c>
      <c r="AI38" s="80">
        <v>0.377160934</v>
      </c>
      <c r="AJ38" s="52">
        <v>3651</v>
      </c>
      <c r="AK38" s="53">
        <f t="shared" si="9"/>
        <v>60.85</v>
      </c>
      <c r="AL38" s="79">
        <f>AK38*AH38</f>
        <v>0.59752103454415595</v>
      </c>
      <c r="AM38" s="54">
        <f t="shared" si="12"/>
        <v>28.862487240276568</v>
      </c>
      <c r="AO38" s="67">
        <v>45183.364583333336</v>
      </c>
      <c r="AP38" s="68">
        <v>5.6987856325918899E-3</v>
      </c>
      <c r="AQ38" s="69">
        <v>0.39953381599999999</v>
      </c>
      <c r="AR38" s="69">
        <v>1178</v>
      </c>
      <c r="AS38" s="69">
        <f t="shared" si="10"/>
        <v>19.633333333333333</v>
      </c>
      <c r="AT38" s="69">
        <f>AS38*AP38</f>
        <v>0.11188615791988743</v>
      </c>
      <c r="AU38" s="70">
        <f t="shared" si="11"/>
        <v>0</v>
      </c>
    </row>
    <row r="39" spans="1:47" x14ac:dyDescent="0.25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"/>
        <v>2.5</v>
      </c>
      <c r="F39" s="12">
        <f>E39*B39</f>
        <v>4.0463502081167502E-3</v>
      </c>
      <c r="G39" s="13">
        <f t="shared" si="2"/>
        <v>0</v>
      </c>
      <c r="I39" s="25">
        <v>44781.375694444447</v>
      </c>
      <c r="J39" s="26">
        <v>3.4131643147401001E-3</v>
      </c>
      <c r="K39" s="27">
        <v>1.1599344165000001</v>
      </c>
      <c r="L39" s="28">
        <v>810</v>
      </c>
      <c r="M39" s="29">
        <f t="shared" si="3"/>
        <v>13.5</v>
      </c>
      <c r="N39" s="26">
        <f>M39*J39</f>
        <v>4.6077718248991352E-2</v>
      </c>
      <c r="O39" s="29">
        <f t="shared" si="4"/>
        <v>0</v>
      </c>
      <c r="Q39" s="35">
        <v>45136.375</v>
      </c>
      <c r="R39" s="78">
        <v>7.0970964554372797E-3</v>
      </c>
      <c r="S39" s="77">
        <v>0.99150227300000005</v>
      </c>
      <c r="T39" s="36">
        <v>4215</v>
      </c>
      <c r="U39" s="37">
        <f t="shared" si="5"/>
        <v>70.25</v>
      </c>
      <c r="V39" s="37">
        <f t="shared" si="13"/>
        <v>0.4985710259944689</v>
      </c>
      <c r="W39" s="38">
        <f t="shared" si="6"/>
        <v>26.413777935966973</v>
      </c>
      <c r="Y39" s="45">
        <v>45151.375</v>
      </c>
      <c r="Z39" s="4">
        <v>5.9834434241630499E-3</v>
      </c>
      <c r="AA39" s="3">
        <v>0.81307424100000003</v>
      </c>
      <c r="AB39" s="4">
        <v>1925</v>
      </c>
      <c r="AC39" s="46">
        <f t="shared" si="7"/>
        <v>32.083333333333336</v>
      </c>
      <c r="AD39" s="47">
        <f>AC39*Z39</f>
        <v>0.19196880985856454</v>
      </c>
      <c r="AE39" s="50">
        <f t="shared" si="8"/>
        <v>0</v>
      </c>
      <c r="AG39" s="51">
        <v>45166.375</v>
      </c>
      <c r="AH39" s="79">
        <v>7.33101660789795E-3</v>
      </c>
      <c r="AI39" s="80">
        <v>0.33439968599999997</v>
      </c>
      <c r="AJ39" s="52">
        <v>2663</v>
      </c>
      <c r="AK39" s="53">
        <f t="shared" si="9"/>
        <v>44.383333333333333</v>
      </c>
      <c r="AL39" s="79">
        <f>AK39*AH39</f>
        <v>0.32537495378053732</v>
      </c>
      <c r="AM39" s="54">
        <f t="shared" si="12"/>
        <v>0</v>
      </c>
      <c r="AO39" s="67">
        <v>45183.375</v>
      </c>
      <c r="AP39" s="68">
        <v>4.0251710180752897E-3</v>
      </c>
      <c r="AQ39" s="69">
        <v>0.39953381599999999</v>
      </c>
      <c r="AR39" s="69">
        <v>1135</v>
      </c>
      <c r="AS39" s="69">
        <f t="shared" si="10"/>
        <v>18.916666666666668</v>
      </c>
      <c r="AT39" s="69">
        <f>AS39*AP39</f>
        <v>7.6142818425257566E-2</v>
      </c>
      <c r="AU39" s="70">
        <f t="shared" si="11"/>
        <v>0</v>
      </c>
    </row>
    <row r="40" spans="1:47" x14ac:dyDescent="0.25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"/>
        <v>2.5666666666666669</v>
      </c>
      <c r="F40" s="12">
        <f>E40*B40</f>
        <v>5.0562118545212894E-3</v>
      </c>
      <c r="G40" s="13">
        <f t="shared" si="2"/>
        <v>0</v>
      </c>
      <c r="I40" s="25">
        <v>44781.386111111111</v>
      </c>
      <c r="J40" s="26">
        <v>3.8335622992210099E-3</v>
      </c>
      <c r="K40" s="27">
        <v>1.1715929684999999</v>
      </c>
      <c r="L40" s="28">
        <v>843</v>
      </c>
      <c r="M40" s="29">
        <f t="shared" si="3"/>
        <v>14.05</v>
      </c>
      <c r="N40" s="26">
        <f>M40*J40</f>
        <v>5.3861550304055192E-2</v>
      </c>
      <c r="O40" s="29">
        <f t="shared" si="4"/>
        <v>0</v>
      </c>
      <c r="Q40" s="35">
        <v>45136.385416666664</v>
      </c>
      <c r="R40" s="78">
        <v>9.7070100761388108E-3</v>
      </c>
      <c r="S40" s="77">
        <v>0.99150227300000005</v>
      </c>
      <c r="T40" s="36">
        <v>4458</v>
      </c>
      <c r="U40" s="37">
        <f t="shared" si="5"/>
        <v>74.3</v>
      </c>
      <c r="V40" s="37">
        <f t="shared" si="13"/>
        <v>0.72123084865711362</v>
      </c>
      <c r="W40" s="38">
        <f t="shared" si="6"/>
        <v>31.648459436364803</v>
      </c>
      <c r="Y40" s="45">
        <v>45151.385416666664</v>
      </c>
      <c r="Z40" s="4">
        <v>5.0464275926609698E-3</v>
      </c>
      <c r="AA40" s="3">
        <v>0.50323377899999999</v>
      </c>
      <c r="AB40" s="4">
        <v>999</v>
      </c>
      <c r="AC40" s="46">
        <f t="shared" si="7"/>
        <v>16.649999999999999</v>
      </c>
      <c r="AD40" s="47">
        <f>AC40*Z40</f>
        <v>8.4023019417805142E-2</v>
      </c>
      <c r="AE40" s="50">
        <f t="shared" si="8"/>
        <v>0</v>
      </c>
      <c r="AG40" s="51">
        <v>45166.385416666664</v>
      </c>
      <c r="AH40" s="79">
        <v>1.19769987878003E-2</v>
      </c>
      <c r="AI40" s="80">
        <v>0.44939223900000003</v>
      </c>
      <c r="AJ40" s="52">
        <v>4679</v>
      </c>
      <c r="AK40" s="53">
        <f t="shared" si="9"/>
        <v>77.983333333333334</v>
      </c>
      <c r="AL40" s="79">
        <f>AK40*AH40</f>
        <v>0.93400628880196002</v>
      </c>
      <c r="AM40" s="54">
        <f t="shared" si="12"/>
        <v>35.919798352605596</v>
      </c>
      <c r="AO40" s="67">
        <v>45183.385416666664</v>
      </c>
      <c r="AP40" s="68">
        <v>5.6592452129397199E-3</v>
      </c>
      <c r="AQ40" s="69">
        <v>0.44894941300000002</v>
      </c>
      <c r="AR40" s="69">
        <v>1330</v>
      </c>
      <c r="AS40" s="69">
        <f t="shared" si="10"/>
        <v>22.166666666666668</v>
      </c>
      <c r="AT40" s="69">
        <f>AS40*AP40</f>
        <v>0.12544660222016379</v>
      </c>
      <c r="AU40" s="70">
        <f t="shared" si="11"/>
        <v>0</v>
      </c>
    </row>
    <row r="41" spans="1:47" x14ac:dyDescent="0.25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"/>
        <v>1.9166666666666667</v>
      </c>
      <c r="F41" s="12">
        <f>E41*B41</f>
        <v>3.2183972715271844E-3</v>
      </c>
      <c r="G41" s="13">
        <f t="shared" si="2"/>
        <v>0</v>
      </c>
      <c r="I41" s="25">
        <v>44781.396527777775</v>
      </c>
      <c r="J41" s="26">
        <v>3.15750563489481E-3</v>
      </c>
      <c r="K41" s="27">
        <v>1.142992303</v>
      </c>
      <c r="L41" s="28">
        <v>722</v>
      </c>
      <c r="M41" s="29">
        <f t="shared" si="3"/>
        <v>12.033333333333333</v>
      </c>
      <c r="N41" s="26">
        <f>M41*J41</f>
        <v>3.799531780656755E-2</v>
      </c>
      <c r="O41" s="29">
        <f t="shared" si="4"/>
        <v>0</v>
      </c>
      <c r="Q41" s="35">
        <v>45136.395833333336</v>
      </c>
      <c r="R41" s="78">
        <v>7.4884125662997396E-3</v>
      </c>
      <c r="S41" s="77">
        <v>0.99150227300000005</v>
      </c>
      <c r="T41" s="36">
        <v>4292</v>
      </c>
      <c r="U41" s="37">
        <f t="shared" si="5"/>
        <v>71.533333333333331</v>
      </c>
      <c r="V41" s="37">
        <f t="shared" si="13"/>
        <v>0.53567111224264141</v>
      </c>
      <c r="W41" s="38">
        <f t="shared" si="6"/>
        <v>27.358674605746323</v>
      </c>
      <c r="Y41" s="45">
        <v>45151.395833333336</v>
      </c>
      <c r="Z41" s="4">
        <v>4.7078887460927097E-3</v>
      </c>
      <c r="AA41" s="3">
        <v>0.59425534599999996</v>
      </c>
      <c r="AB41" s="4">
        <v>1204</v>
      </c>
      <c r="AC41" s="46">
        <f t="shared" si="7"/>
        <v>20.066666666666666</v>
      </c>
      <c r="AD41" s="47">
        <f>AC41*Z41</f>
        <v>9.447163417159371E-2</v>
      </c>
      <c r="AE41" s="50">
        <f t="shared" si="8"/>
        <v>0</v>
      </c>
      <c r="AG41" s="51">
        <v>45166.395833333336</v>
      </c>
      <c r="AH41" s="79">
        <v>1.0630397236378699E-2</v>
      </c>
      <c r="AI41" s="80">
        <v>0.377160934</v>
      </c>
      <c r="AJ41" s="52">
        <v>3588</v>
      </c>
      <c r="AK41" s="53">
        <f t="shared" si="9"/>
        <v>59.8</v>
      </c>
      <c r="AL41" s="79">
        <f>AK41*AH41</f>
        <v>0.63569775473544621</v>
      </c>
      <c r="AM41" s="54">
        <f t="shared" si="12"/>
        <v>29.751265901467569</v>
      </c>
      <c r="AO41" s="67">
        <v>45183.395833333336</v>
      </c>
      <c r="AP41" s="68">
        <v>2.7543519901081499E-3</v>
      </c>
      <c r="AQ41" s="69">
        <v>0.29572637699999998</v>
      </c>
      <c r="AR41" s="69">
        <v>284</v>
      </c>
      <c r="AS41" s="69">
        <f t="shared" si="10"/>
        <v>4.7333333333333334</v>
      </c>
      <c r="AT41" s="69">
        <f>AS41*AP41</f>
        <v>1.3037266086511909E-2</v>
      </c>
      <c r="AU41" s="70">
        <f t="shared" si="11"/>
        <v>0</v>
      </c>
    </row>
    <row r="42" spans="1:47" x14ac:dyDescent="0.25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"/>
        <v>1.9333333333333333</v>
      </c>
      <c r="F42" s="12">
        <f>E42*B42</f>
        <v>2.945165554367303E-3</v>
      </c>
      <c r="G42" s="13">
        <f t="shared" si="2"/>
        <v>0</v>
      </c>
      <c r="I42" s="25">
        <v>44781.406944444447</v>
      </c>
      <c r="J42" s="26">
        <v>3.40619910451701E-3</v>
      </c>
      <c r="K42" s="27">
        <v>1.1391712730000001</v>
      </c>
      <c r="L42" s="28">
        <v>690</v>
      </c>
      <c r="M42" s="29">
        <f t="shared" si="3"/>
        <v>11.5</v>
      </c>
      <c r="N42" s="26">
        <f>M42*J42</f>
        <v>3.9171289701945618E-2</v>
      </c>
      <c r="O42" s="29">
        <f t="shared" si="4"/>
        <v>0</v>
      </c>
      <c r="Q42" s="35">
        <v>45136.40625</v>
      </c>
      <c r="R42" s="78">
        <v>7.8988869008013302E-3</v>
      </c>
      <c r="S42" s="77">
        <v>1.145105356</v>
      </c>
      <c r="T42" s="36">
        <v>5177</v>
      </c>
      <c r="U42" s="37">
        <f t="shared" si="5"/>
        <v>86.283333333333331</v>
      </c>
      <c r="V42" s="37">
        <f t="shared" si="13"/>
        <v>0.68154229142414147</v>
      </c>
      <c r="W42" s="38">
        <f t="shared" si="6"/>
        <v>30.783289155104974</v>
      </c>
      <c r="Y42" s="45">
        <v>45151.40625</v>
      </c>
      <c r="Z42" s="4">
        <v>5.3876873761773397E-3</v>
      </c>
      <c r="AA42" s="3">
        <v>0.59425534599999996</v>
      </c>
      <c r="AB42" s="4">
        <v>1203</v>
      </c>
      <c r="AC42" s="46">
        <f t="shared" si="7"/>
        <v>20.05</v>
      </c>
      <c r="AD42" s="47">
        <f>AC42*Z42</f>
        <v>0.10802313189235567</v>
      </c>
      <c r="AE42" s="50">
        <f t="shared" si="8"/>
        <v>0</v>
      </c>
      <c r="AG42" s="51">
        <v>45166.40625</v>
      </c>
      <c r="AH42" s="79">
        <v>5.9073109628511996E-3</v>
      </c>
      <c r="AI42" s="80">
        <v>0.314737561</v>
      </c>
      <c r="AJ42" s="52">
        <v>2163</v>
      </c>
      <c r="AK42" s="53">
        <f t="shared" si="9"/>
        <v>36.049999999999997</v>
      </c>
      <c r="AL42" s="79">
        <f>AK42*AH42</f>
        <v>0.21295856021078574</v>
      </c>
      <c r="AM42" s="54">
        <f t="shared" si="12"/>
        <v>0</v>
      </c>
      <c r="AO42" s="67">
        <v>45183.40625</v>
      </c>
      <c r="AP42" s="68">
        <v>5.2471403429525101E-3</v>
      </c>
      <c r="AQ42" s="69">
        <v>0.376777213</v>
      </c>
      <c r="AR42" s="69">
        <v>844</v>
      </c>
      <c r="AS42" s="69">
        <f t="shared" si="10"/>
        <v>14.066666666666666</v>
      </c>
      <c r="AT42" s="69">
        <f>AS42*AP42</f>
        <v>7.3809774157531968E-2</v>
      </c>
      <c r="AU42" s="70">
        <f t="shared" si="11"/>
        <v>0</v>
      </c>
    </row>
    <row r="43" spans="1:47" x14ac:dyDescent="0.25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"/>
        <v>2.2333333333333334</v>
      </c>
      <c r="F43" s="12">
        <f>E43*B43</f>
        <v>4.0947866309655623E-3</v>
      </c>
      <c r="G43" s="13">
        <f t="shared" si="2"/>
        <v>0</v>
      </c>
      <c r="I43" s="25">
        <v>44781.417361111111</v>
      </c>
      <c r="J43" s="26">
        <v>3.65055506764743E-3</v>
      </c>
      <c r="K43" s="27">
        <v>1.126503907</v>
      </c>
      <c r="L43" s="28">
        <v>765</v>
      </c>
      <c r="M43" s="29">
        <f t="shared" si="3"/>
        <v>12.75</v>
      </c>
      <c r="N43" s="26">
        <f>M43*J43</f>
        <v>4.6544577112504731E-2</v>
      </c>
      <c r="O43" s="29">
        <f t="shared" si="4"/>
        <v>0</v>
      </c>
      <c r="Q43" s="35">
        <v>45136.416666666664</v>
      </c>
      <c r="R43" s="78">
        <v>7.0901273989394404E-3</v>
      </c>
      <c r="S43" s="77">
        <v>0.89859415399999998</v>
      </c>
      <c r="T43" s="36">
        <v>3761</v>
      </c>
      <c r="U43" s="37">
        <f t="shared" si="5"/>
        <v>62.68333333333333</v>
      </c>
      <c r="V43" s="37">
        <f t="shared" si="13"/>
        <v>0.44443281912352056</v>
      </c>
      <c r="W43" s="38">
        <f t="shared" si="6"/>
        <v>24.968028454143379</v>
      </c>
      <c r="Y43" s="45">
        <v>45151.416666666664</v>
      </c>
      <c r="Z43" s="4">
        <v>7.52203922405932E-3</v>
      </c>
      <c r="AA43" s="3">
        <v>0.69769667099999999</v>
      </c>
      <c r="AB43" s="4">
        <v>1564</v>
      </c>
      <c r="AC43" s="46">
        <f t="shared" si="7"/>
        <v>26.066666666666666</v>
      </c>
      <c r="AD43" s="47">
        <f>AC43*Z43</f>
        <v>0.19607448910714628</v>
      </c>
      <c r="AE43" s="50">
        <f t="shared" si="8"/>
        <v>0</v>
      </c>
      <c r="AG43" s="51">
        <v>45166.416666666664</v>
      </c>
      <c r="AH43" s="79">
        <v>1.0229736157172599E-2</v>
      </c>
      <c r="AI43" s="80">
        <v>0.377160934</v>
      </c>
      <c r="AJ43" s="52">
        <v>3795</v>
      </c>
      <c r="AK43" s="53">
        <f t="shared" si="9"/>
        <v>63.25</v>
      </c>
      <c r="AL43" s="79">
        <f>AK43*AH43</f>
        <v>0.64703081194116685</v>
      </c>
      <c r="AM43" s="54">
        <f t="shared" si="12"/>
        <v>30.009830800478195</v>
      </c>
      <c r="AO43" s="67">
        <v>45183.416666666664</v>
      </c>
      <c r="AP43" s="68">
        <v>5.4693397405303802E-3</v>
      </c>
      <c r="AQ43" s="69">
        <v>0.376777213</v>
      </c>
      <c r="AR43" s="69">
        <v>815</v>
      </c>
      <c r="AS43" s="69">
        <f t="shared" si="10"/>
        <v>13.583333333333334</v>
      </c>
      <c r="AT43" s="69">
        <f>AS43*AP43</f>
        <v>7.4291864808870997E-2</v>
      </c>
      <c r="AU43" s="70">
        <f t="shared" si="11"/>
        <v>0</v>
      </c>
    </row>
    <row r="44" spans="1:47" x14ac:dyDescent="0.25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"/>
        <v>2.1166666666666667</v>
      </c>
      <c r="F44" s="12">
        <f>E44*B44</f>
        <v>3.2567797147781698E-3</v>
      </c>
      <c r="G44" s="13">
        <f t="shared" si="2"/>
        <v>0</v>
      </c>
      <c r="I44" s="25">
        <v>44781.427777777775</v>
      </c>
      <c r="J44" s="26">
        <v>3.28949326496658E-3</v>
      </c>
      <c r="K44" s="27">
        <v>1.1902769595</v>
      </c>
      <c r="L44" s="28">
        <v>802</v>
      </c>
      <c r="M44" s="29">
        <f t="shared" si="3"/>
        <v>13.366666666666667</v>
      </c>
      <c r="N44" s="26">
        <f>M44*J44</f>
        <v>4.3969559975053286E-2</v>
      </c>
      <c r="O44" s="29">
        <f t="shared" si="4"/>
        <v>0</v>
      </c>
      <c r="Q44" s="35">
        <v>45136.427083333336</v>
      </c>
      <c r="R44" s="78">
        <v>9.9106306272953703E-3</v>
      </c>
      <c r="S44" s="77">
        <v>0.89859415399999998</v>
      </c>
      <c r="T44" s="36">
        <v>4471</v>
      </c>
      <c r="U44" s="37">
        <f t="shared" si="5"/>
        <v>74.516666666666666</v>
      </c>
      <c r="V44" s="37">
        <f t="shared" si="13"/>
        <v>0.73850715891062668</v>
      </c>
      <c r="W44" s="38">
        <f t="shared" si="6"/>
        <v>32.017461353840112</v>
      </c>
      <c r="Y44" s="45">
        <v>45151.427083333336</v>
      </c>
      <c r="Z44" s="4">
        <v>6.47636080442402E-3</v>
      </c>
      <c r="AA44" s="3">
        <v>0.59425534599999996</v>
      </c>
      <c r="AB44" s="4">
        <v>1210</v>
      </c>
      <c r="AC44" s="46">
        <f t="shared" si="7"/>
        <v>20.166666666666668</v>
      </c>
      <c r="AD44" s="47">
        <f>AC44*Z44</f>
        <v>0.13060660955588441</v>
      </c>
      <c r="AE44" s="50">
        <f t="shared" si="8"/>
        <v>0</v>
      </c>
      <c r="AG44" s="51">
        <v>45166.427083333336</v>
      </c>
      <c r="AH44" s="79">
        <v>1.0277800000538601E-2</v>
      </c>
      <c r="AI44" s="80">
        <v>0.377160934</v>
      </c>
      <c r="AJ44" s="52">
        <v>3981</v>
      </c>
      <c r="AK44" s="53">
        <f t="shared" si="9"/>
        <v>66.349999999999994</v>
      </c>
      <c r="AL44" s="79">
        <f>AK44*AH44</f>
        <v>0.6819320300357361</v>
      </c>
      <c r="AM44" s="54">
        <f t="shared" si="12"/>
        <v>30.791908264570221</v>
      </c>
      <c r="AO44" s="67">
        <v>45183.427083333336</v>
      </c>
      <c r="AP44" s="68">
        <v>3.0347529379728001E-3</v>
      </c>
      <c r="AQ44" s="69">
        <v>0.33439968599999997</v>
      </c>
      <c r="AR44" s="69">
        <v>556</v>
      </c>
      <c r="AS44" s="69">
        <f t="shared" si="10"/>
        <v>9.2666666666666675</v>
      </c>
      <c r="AT44" s="69">
        <f>AS44*AP44</f>
        <v>2.8122043891881283E-2</v>
      </c>
      <c r="AU44" s="70">
        <f t="shared" si="11"/>
        <v>0</v>
      </c>
    </row>
    <row r="45" spans="1:47" x14ac:dyDescent="0.25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"/>
        <v>1.6666666666666667</v>
      </c>
      <c r="F45" s="12">
        <f>E45*B45</f>
        <v>2.5539119317508001E-3</v>
      </c>
      <c r="G45" s="13">
        <f t="shared" si="2"/>
        <v>0</v>
      </c>
      <c r="I45" s="25">
        <v>44781.438194444447</v>
      </c>
      <c r="J45" s="26">
        <v>3.6605450949931699E-3</v>
      </c>
      <c r="K45" s="27">
        <v>1.228492825</v>
      </c>
      <c r="L45" s="28">
        <v>827</v>
      </c>
      <c r="M45" s="29">
        <f t="shared" si="3"/>
        <v>13.783333333333333</v>
      </c>
      <c r="N45" s="26">
        <f>M45*J45</f>
        <v>5.0454513225989192E-2</v>
      </c>
      <c r="O45" s="29">
        <f t="shared" si="4"/>
        <v>0</v>
      </c>
      <c r="Q45" s="35">
        <v>45136.4375</v>
      </c>
      <c r="R45" s="78">
        <v>7.1914230595903801E-3</v>
      </c>
      <c r="S45" s="77">
        <v>0.85535298199999998</v>
      </c>
      <c r="T45" s="36">
        <v>3967</v>
      </c>
      <c r="U45" s="37">
        <f t="shared" si="5"/>
        <v>66.11666666666666</v>
      </c>
      <c r="V45" s="37">
        <f t="shared" si="13"/>
        <v>0.47547292128991725</v>
      </c>
      <c r="W45" s="38">
        <f t="shared" si="6"/>
        <v>25.807271531844108</v>
      </c>
      <c r="Y45" s="45">
        <v>45151.4375</v>
      </c>
      <c r="Z45" s="4">
        <v>5.0946192727216698E-3</v>
      </c>
      <c r="AA45" s="3">
        <v>0.59425534599999996</v>
      </c>
      <c r="AB45" s="4">
        <v>1076</v>
      </c>
      <c r="AC45" s="46">
        <f t="shared" si="7"/>
        <v>17.933333333333334</v>
      </c>
      <c r="AD45" s="47">
        <f>AC45*Z45</f>
        <v>9.1363505624141944E-2</v>
      </c>
      <c r="AE45" s="50">
        <f t="shared" si="8"/>
        <v>0</v>
      </c>
      <c r="AG45" s="51">
        <v>45166.4375</v>
      </c>
      <c r="AH45" s="79">
        <v>1.0536330408973499E-2</v>
      </c>
      <c r="AI45" s="80">
        <v>0.44939223900000003</v>
      </c>
      <c r="AJ45" s="52">
        <v>4954</v>
      </c>
      <c r="AK45" s="53">
        <f t="shared" si="9"/>
        <v>82.566666666666663</v>
      </c>
      <c r="AL45" s="79">
        <f>AK45*AH45</f>
        <v>0.8699496807675785</v>
      </c>
      <c r="AM45" s="54">
        <f t="shared" si="12"/>
        <v>34.691563207225272</v>
      </c>
      <c r="AO45" s="67">
        <v>45183.4375</v>
      </c>
      <c r="AP45" s="68">
        <v>4.3050076959034499E-3</v>
      </c>
      <c r="AQ45" s="69">
        <v>0.399936554</v>
      </c>
      <c r="AR45" s="69">
        <v>965</v>
      </c>
      <c r="AS45" s="69">
        <f t="shared" si="10"/>
        <v>16.083333333333332</v>
      </c>
      <c r="AT45" s="69">
        <f>AS45*AP45</f>
        <v>6.9238873775780474E-2</v>
      </c>
      <c r="AU45" s="70">
        <f t="shared" si="11"/>
        <v>0</v>
      </c>
    </row>
    <row r="46" spans="1:47" x14ac:dyDescent="0.25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"/>
        <v>2.0166666666666666</v>
      </c>
      <c r="F46" s="12">
        <f>E46*B46</f>
        <v>3.7003921337866704E-3</v>
      </c>
      <c r="G46" s="13">
        <f t="shared" si="2"/>
        <v>0</v>
      </c>
      <c r="I46" s="25">
        <v>44781.448611111111</v>
      </c>
      <c r="J46" s="26">
        <v>2.9920416967513302E-3</v>
      </c>
      <c r="K46" s="27">
        <v>1.212618097</v>
      </c>
      <c r="L46" s="28">
        <v>767</v>
      </c>
      <c r="M46" s="29">
        <f t="shared" si="3"/>
        <v>12.783333333333333</v>
      </c>
      <c r="N46" s="26">
        <f>M46*J46</f>
        <v>3.8248266356804506E-2</v>
      </c>
      <c r="O46" s="29">
        <f t="shared" si="4"/>
        <v>0</v>
      </c>
      <c r="Q46" s="35">
        <v>45136.447916666664</v>
      </c>
      <c r="R46" s="78">
        <v>5.5897858817166701E-3</v>
      </c>
      <c r="S46" s="77">
        <v>0.66228851600000005</v>
      </c>
      <c r="T46" s="36">
        <v>3144</v>
      </c>
      <c r="U46" s="37">
        <f t="shared" si="5"/>
        <v>52.4</v>
      </c>
      <c r="V46" s="37">
        <f t="shared" si="13"/>
        <v>0.29290478020195349</v>
      </c>
      <c r="W46" s="38">
        <f t="shared" si="6"/>
        <v>0</v>
      </c>
      <c r="Y46" s="45">
        <v>45151.447916666664</v>
      </c>
      <c r="Z46" s="4">
        <v>7.2259572661356403E-3</v>
      </c>
      <c r="AA46" s="3">
        <v>0.66228851600000005</v>
      </c>
      <c r="AB46" s="4">
        <v>1443</v>
      </c>
      <c r="AC46" s="46">
        <f t="shared" si="7"/>
        <v>24.05</v>
      </c>
      <c r="AD46" s="47">
        <f>AC46*Z46</f>
        <v>0.17378427225056214</v>
      </c>
      <c r="AE46" s="50">
        <f t="shared" si="8"/>
        <v>0</v>
      </c>
      <c r="AG46" s="51">
        <v>45166.447916666664</v>
      </c>
      <c r="AH46" s="79">
        <v>1.3016474451338101E-2</v>
      </c>
      <c r="AI46" s="80">
        <v>0.44939223900000003</v>
      </c>
      <c r="AJ46" s="52">
        <v>4748</v>
      </c>
      <c r="AK46" s="53">
        <f t="shared" si="9"/>
        <v>79.13333333333334</v>
      </c>
      <c r="AL46" s="79">
        <f>AK46*AH46</f>
        <v>1.0300370115825552</v>
      </c>
      <c r="AM46" s="54">
        <f t="shared" si="12"/>
        <v>37.683186838441159</v>
      </c>
      <c r="AO46" s="67">
        <v>45183.447916666664</v>
      </c>
      <c r="AP46" s="68">
        <v>5.0325801980003904E-3</v>
      </c>
      <c r="AQ46" s="69">
        <v>0.44894941300000002</v>
      </c>
      <c r="AR46" s="69">
        <v>1233</v>
      </c>
      <c r="AS46" s="69">
        <f t="shared" si="10"/>
        <v>20.55</v>
      </c>
      <c r="AT46" s="69">
        <f>AS46*AP46</f>
        <v>0.10341952306890803</v>
      </c>
      <c r="AU46" s="70">
        <f t="shared" si="11"/>
        <v>0</v>
      </c>
    </row>
    <row r="47" spans="1:47" x14ac:dyDescent="0.25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"/>
        <v>1.5833333333333333</v>
      </c>
      <c r="F47" s="12">
        <f>E47*B47</f>
        <v>2.1156699328010258E-3</v>
      </c>
      <c r="G47" s="13">
        <f t="shared" si="2"/>
        <v>0</v>
      </c>
      <c r="I47" s="25">
        <v>44781.459027777775</v>
      </c>
      <c r="J47" s="26">
        <v>3.6286534058963698E-3</v>
      </c>
      <c r="K47" s="27">
        <v>1.2029581084999901</v>
      </c>
      <c r="L47" s="28">
        <v>849</v>
      </c>
      <c r="M47" s="29">
        <f t="shared" si="3"/>
        <v>14.15</v>
      </c>
      <c r="N47" s="26">
        <f>M47*J47</f>
        <v>5.1345445693433633E-2</v>
      </c>
      <c r="O47" s="29">
        <f t="shared" si="4"/>
        <v>0</v>
      </c>
      <c r="Q47" s="35">
        <v>45136.458333333336</v>
      </c>
      <c r="R47" s="78">
        <v>3.7332386039585601E-3</v>
      </c>
      <c r="S47" s="77">
        <v>0.475692385</v>
      </c>
      <c r="T47" s="36">
        <v>1263</v>
      </c>
      <c r="U47" s="37">
        <f t="shared" si="5"/>
        <v>21.05</v>
      </c>
      <c r="V47" s="37">
        <f t="shared" si="13"/>
        <v>7.8584672613327688E-2</v>
      </c>
      <c r="W47" s="38">
        <f t="shared" si="6"/>
        <v>0</v>
      </c>
      <c r="Y47" s="45">
        <v>45151.458333333336</v>
      </c>
      <c r="Z47" s="4">
        <v>5.4511975980878697E-3</v>
      </c>
      <c r="AA47" s="3">
        <v>0.59425534599999996</v>
      </c>
      <c r="AB47" s="4">
        <v>1196</v>
      </c>
      <c r="AC47" s="46">
        <f t="shared" si="7"/>
        <v>19.933333333333334</v>
      </c>
      <c r="AD47" s="47">
        <f>AC47*Z47</f>
        <v>0.10866053878855153</v>
      </c>
      <c r="AE47" s="50">
        <f t="shared" si="8"/>
        <v>0</v>
      </c>
      <c r="AG47" s="51">
        <v>45166.458333333336</v>
      </c>
      <c r="AH47" s="79">
        <v>1.4131578061917701E-2</v>
      </c>
      <c r="AI47" s="80">
        <v>0.44939223900000003</v>
      </c>
      <c r="AJ47" s="52">
        <v>5180</v>
      </c>
      <c r="AK47" s="53">
        <f t="shared" si="9"/>
        <v>86.333333333333329</v>
      </c>
      <c r="AL47" s="79">
        <f>AK47*AH47</f>
        <v>1.2200262393455614</v>
      </c>
      <c r="AM47" s="54">
        <f t="shared" si="12"/>
        <v>40.94006952406091</v>
      </c>
      <c r="AO47" s="67">
        <v>45183.458333333336</v>
      </c>
      <c r="AP47" s="68">
        <v>4.59052443231848E-3</v>
      </c>
      <c r="AQ47" s="69">
        <v>0.376777213</v>
      </c>
      <c r="AR47" s="69">
        <v>858</v>
      </c>
      <c r="AS47" s="69">
        <f t="shared" si="10"/>
        <v>14.3</v>
      </c>
      <c r="AT47" s="69">
        <f>AS47*AP47</f>
        <v>6.5644499382154262E-2</v>
      </c>
      <c r="AU47" s="70">
        <f t="shared" si="11"/>
        <v>0</v>
      </c>
    </row>
    <row r="48" spans="1:47" x14ac:dyDescent="0.25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"/>
        <v>1.4833333333333334</v>
      </c>
      <c r="F48" s="12">
        <f>E48*B48</f>
        <v>2.3399449608516218E-3</v>
      </c>
      <c r="G48" s="13">
        <f t="shared" si="2"/>
        <v>0</v>
      </c>
      <c r="I48" s="25">
        <v>44781.469444444447</v>
      </c>
      <c r="J48" s="26">
        <v>3.1493245660237702E-3</v>
      </c>
      <c r="K48" s="27">
        <v>1.1786703704999999</v>
      </c>
      <c r="L48" s="28">
        <v>801</v>
      </c>
      <c r="M48" s="29">
        <f t="shared" si="3"/>
        <v>13.35</v>
      </c>
      <c r="N48" s="26">
        <f>M48*J48</f>
        <v>4.2043482956417327E-2</v>
      </c>
      <c r="O48" s="29">
        <f t="shared" si="4"/>
        <v>0</v>
      </c>
      <c r="Q48" s="35">
        <v>45136.46875</v>
      </c>
      <c r="R48" s="78">
        <v>6.6261927688387101E-3</v>
      </c>
      <c r="S48" s="77">
        <v>0.77321039300000005</v>
      </c>
      <c r="T48" s="36">
        <v>3412</v>
      </c>
      <c r="U48" s="37">
        <f t="shared" si="5"/>
        <v>56.866666666666667</v>
      </c>
      <c r="V48" s="37">
        <f t="shared" si="13"/>
        <v>0.376809495454628</v>
      </c>
      <c r="W48" s="38">
        <f t="shared" si="6"/>
        <v>23.029285130619289</v>
      </c>
      <c r="Y48" s="45">
        <v>45151.46875</v>
      </c>
      <c r="Z48" s="4">
        <v>5.71809601586296E-3</v>
      </c>
      <c r="AA48" s="3">
        <v>0.59425534599999996</v>
      </c>
      <c r="AB48" s="4">
        <v>1299</v>
      </c>
      <c r="AC48" s="46">
        <f t="shared" si="7"/>
        <v>21.65</v>
      </c>
      <c r="AD48" s="47">
        <f>AC48*Z48</f>
        <v>0.12379677874343308</v>
      </c>
      <c r="AE48" s="50">
        <f t="shared" si="8"/>
        <v>0</v>
      </c>
      <c r="AG48" s="51">
        <v>45166.46875</v>
      </c>
      <c r="AH48" s="79">
        <v>8.1139714277344809E-3</v>
      </c>
      <c r="AI48" s="80">
        <v>0.377160934</v>
      </c>
      <c r="AJ48" s="52">
        <v>3712</v>
      </c>
      <c r="AK48" s="53">
        <f t="shared" si="9"/>
        <v>61.866666666666667</v>
      </c>
      <c r="AL48" s="79">
        <f>AK48*AH48</f>
        <v>0.50198436566250659</v>
      </c>
      <c r="AM48" s="54">
        <f t="shared" si="12"/>
        <v>26.502178779401593</v>
      </c>
      <c r="AO48" s="67">
        <v>45183.46875</v>
      </c>
      <c r="AP48" s="68">
        <v>5.43883589558097E-3</v>
      </c>
      <c r="AQ48" s="69">
        <v>0.44894941300000002</v>
      </c>
      <c r="AR48" s="69">
        <v>1260</v>
      </c>
      <c r="AS48" s="69">
        <f t="shared" si="10"/>
        <v>21</v>
      </c>
      <c r="AT48" s="69">
        <f>AS48*AP48</f>
        <v>0.11421555380720037</v>
      </c>
      <c r="AU48" s="70">
        <f t="shared" si="11"/>
        <v>0</v>
      </c>
    </row>
    <row r="49" spans="1:47" x14ac:dyDescent="0.25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"/>
        <v>2.1166666666666667</v>
      </c>
      <c r="F49" s="12">
        <f>E49*B49</f>
        <v>3.9808640160950296E-3</v>
      </c>
      <c r="G49" s="13">
        <f t="shared" si="2"/>
        <v>0</v>
      </c>
      <c r="I49" s="25">
        <v>44781.479861111111</v>
      </c>
      <c r="J49" s="26">
        <v>3.35735845027515E-3</v>
      </c>
      <c r="K49" s="27">
        <v>1.251653779</v>
      </c>
      <c r="L49" s="28">
        <v>837</v>
      </c>
      <c r="M49" s="29">
        <f t="shared" si="3"/>
        <v>13.95</v>
      </c>
      <c r="N49" s="26">
        <f>M49*J49</f>
        <v>4.6835150381338342E-2</v>
      </c>
      <c r="O49" s="29">
        <f t="shared" si="4"/>
        <v>0</v>
      </c>
      <c r="Q49" s="35">
        <v>45136.479166666664</v>
      </c>
      <c r="R49" s="78">
        <v>4.9496387641399797E-3</v>
      </c>
      <c r="S49" s="77">
        <v>0.56216848100000005</v>
      </c>
      <c r="T49" s="36">
        <v>2314</v>
      </c>
      <c r="U49" s="37">
        <f t="shared" si="5"/>
        <v>38.56666666666667</v>
      </c>
      <c r="V49" s="37">
        <f t="shared" si="13"/>
        <v>0.19089106833699857</v>
      </c>
      <c r="W49" s="38">
        <f t="shared" si="6"/>
        <v>0</v>
      </c>
      <c r="Y49" s="45">
        <v>45151.479166666664</v>
      </c>
      <c r="Z49" s="4">
        <v>3.59740281805622E-3</v>
      </c>
      <c r="AA49" s="3">
        <v>0.42386643899999998</v>
      </c>
      <c r="AB49" s="4">
        <v>602</v>
      </c>
      <c r="AC49" s="46">
        <f t="shared" si="7"/>
        <v>10.033333333333333</v>
      </c>
      <c r="AD49" s="47">
        <f>AC49*Z49</f>
        <v>3.6093941607830742E-2</v>
      </c>
      <c r="AE49" s="50">
        <f t="shared" si="8"/>
        <v>0</v>
      </c>
      <c r="AG49" s="51">
        <v>45166.479166666664</v>
      </c>
      <c r="AH49" s="79">
        <v>8.2288900462328396E-3</v>
      </c>
      <c r="AI49" s="80">
        <v>0.377160934</v>
      </c>
      <c r="AJ49" s="52">
        <v>4056</v>
      </c>
      <c r="AK49" s="53">
        <f t="shared" si="9"/>
        <v>67.599999999999994</v>
      </c>
      <c r="AL49" s="79">
        <f>AK49*AH49</f>
        <v>0.55627296712533991</v>
      </c>
      <c r="AM49" s="54">
        <f t="shared" si="12"/>
        <v>27.868981957172135</v>
      </c>
      <c r="AO49" s="67">
        <v>45183.479166666664</v>
      </c>
      <c r="AP49" s="68">
        <v>4.9756135295642096E-3</v>
      </c>
      <c r="AQ49" s="69">
        <v>0.44894941300000002</v>
      </c>
      <c r="AR49" s="69">
        <v>1271</v>
      </c>
      <c r="AS49" s="69">
        <f t="shared" si="10"/>
        <v>21.183333333333334</v>
      </c>
      <c r="AT49" s="69">
        <f>AS49*AP49</f>
        <v>0.10540007993460183</v>
      </c>
      <c r="AU49" s="70">
        <f t="shared" si="11"/>
        <v>0</v>
      </c>
    </row>
    <row r="50" spans="1:47" x14ac:dyDescent="0.25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"/>
        <v>1.8333333333333333</v>
      </c>
      <c r="F50" s="12">
        <f>E50*B50</f>
        <v>2.7456831428888215E-3</v>
      </c>
      <c r="G50" s="13">
        <f t="shared" si="2"/>
        <v>0</v>
      </c>
      <c r="I50" s="25">
        <v>44781.490277777775</v>
      </c>
      <c r="J50" s="26">
        <v>3.3282184882447402E-3</v>
      </c>
      <c r="K50" s="27">
        <v>1.2937263295000001</v>
      </c>
      <c r="L50" s="28">
        <v>901</v>
      </c>
      <c r="M50" s="29">
        <f t="shared" si="3"/>
        <v>15.016666666666667</v>
      </c>
      <c r="N50" s="26">
        <f>M50*J50</f>
        <v>4.9978747631808519E-2</v>
      </c>
      <c r="O50" s="29">
        <f t="shared" si="4"/>
        <v>0</v>
      </c>
      <c r="Q50" s="35">
        <v>45136.489583333336</v>
      </c>
      <c r="R50" s="78">
        <v>7.5254533645734796E-3</v>
      </c>
      <c r="S50" s="77">
        <v>0.73432993800000002</v>
      </c>
      <c r="T50" s="36">
        <v>3094</v>
      </c>
      <c r="U50" s="37">
        <f t="shared" si="5"/>
        <v>51.56666666666667</v>
      </c>
      <c r="V50" s="37">
        <f t="shared" si="13"/>
        <v>0.38806254516650579</v>
      </c>
      <c r="W50" s="38">
        <f t="shared" si="6"/>
        <v>23.363546554934821</v>
      </c>
      <c r="Y50" s="45">
        <v>45151.489583333336</v>
      </c>
      <c r="Z50" s="4">
        <v>5.3495256449413702E-3</v>
      </c>
      <c r="AA50" s="3">
        <v>0.66228851600000005</v>
      </c>
      <c r="AB50" s="4">
        <v>1439</v>
      </c>
      <c r="AC50" s="46">
        <f t="shared" si="7"/>
        <v>23.983333333333334</v>
      </c>
      <c r="AD50" s="47">
        <f>AC50*Z50</f>
        <v>0.12829945671784387</v>
      </c>
      <c r="AE50" s="50">
        <f t="shared" si="8"/>
        <v>0</v>
      </c>
      <c r="AG50" s="51">
        <v>45166.489583333336</v>
      </c>
      <c r="AH50" s="79">
        <v>1.3045911178820599E-2</v>
      </c>
      <c r="AI50" s="80">
        <v>0.44939223900000003</v>
      </c>
      <c r="AJ50" s="52">
        <v>5197</v>
      </c>
      <c r="AK50" s="53">
        <f t="shared" si="9"/>
        <v>86.61666666666666</v>
      </c>
      <c r="AL50" s="79">
        <f>AK50*AH50</f>
        <v>1.1299933399388442</v>
      </c>
      <c r="AM50" s="54">
        <f t="shared" si="12"/>
        <v>39.431641163362293</v>
      </c>
      <c r="AO50" s="67">
        <v>45183.489583333336</v>
      </c>
      <c r="AP50" s="68">
        <v>4.7343069462729998E-3</v>
      </c>
      <c r="AQ50" s="69">
        <v>0.44894941300000002</v>
      </c>
      <c r="AR50" s="69">
        <v>1186</v>
      </c>
      <c r="AS50" s="69">
        <f t="shared" si="10"/>
        <v>19.766666666666666</v>
      </c>
      <c r="AT50" s="69">
        <f>AS50*AP50</f>
        <v>9.3581467304662963E-2</v>
      </c>
      <c r="AU50" s="70">
        <f t="shared" si="11"/>
        <v>0</v>
      </c>
    </row>
    <row r="51" spans="1:47" x14ac:dyDescent="0.25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"/>
        <v>2.1333333333333333</v>
      </c>
      <c r="F51" s="12">
        <f>E51*B51</f>
        <v>3.0931361687444904E-3</v>
      </c>
      <c r="G51" s="13">
        <f t="shared" si="2"/>
        <v>0</v>
      </c>
      <c r="I51" s="25">
        <v>44781.500694444447</v>
      </c>
      <c r="J51" s="26">
        <v>3.0087789011748198E-3</v>
      </c>
      <c r="K51" s="27">
        <v>1.1877777380000001</v>
      </c>
      <c r="L51" s="28">
        <v>844</v>
      </c>
      <c r="M51" s="29">
        <f t="shared" si="3"/>
        <v>14.066666666666666</v>
      </c>
      <c r="N51" s="26">
        <f>M51*J51</f>
        <v>4.2323489876525795E-2</v>
      </c>
      <c r="O51" s="29">
        <f t="shared" si="4"/>
        <v>0</v>
      </c>
      <c r="Q51" s="35">
        <v>45136.5</v>
      </c>
      <c r="R51" s="78">
        <v>9.0030645332755295E-3</v>
      </c>
      <c r="S51" s="77">
        <v>0.85462156099999997</v>
      </c>
      <c r="T51" s="36">
        <v>3866</v>
      </c>
      <c r="U51" s="37">
        <f t="shared" si="5"/>
        <v>64.433333333333337</v>
      </c>
      <c r="V51" s="37">
        <f t="shared" si="13"/>
        <v>0.58009745809405333</v>
      </c>
      <c r="W51" s="38">
        <f t="shared" si="6"/>
        <v>28.447231957877804</v>
      </c>
      <c r="Y51" s="45">
        <v>45151.5</v>
      </c>
      <c r="Z51" s="4">
        <v>4.09028408030315E-3</v>
      </c>
      <c r="AA51" s="3">
        <v>0.53201108200000002</v>
      </c>
      <c r="AB51" s="4">
        <v>1006</v>
      </c>
      <c r="AC51" s="46">
        <f t="shared" si="7"/>
        <v>16.766666666666666</v>
      </c>
      <c r="AD51" s="47">
        <f>AC51*Z51</f>
        <v>6.8580429746416149E-2</v>
      </c>
      <c r="AE51" s="50">
        <f t="shared" si="8"/>
        <v>0</v>
      </c>
      <c r="AG51" s="51">
        <v>45166.5</v>
      </c>
      <c r="AH51" s="79">
        <v>8.9315088498678995E-3</v>
      </c>
      <c r="AI51" s="80">
        <v>0.33439968599999997</v>
      </c>
      <c r="AJ51" s="52">
        <v>3374</v>
      </c>
      <c r="AK51" s="53">
        <f t="shared" si="9"/>
        <v>56.233333333333334</v>
      </c>
      <c r="AL51" s="79">
        <f>AK51*AH51</f>
        <v>0.50224851432423823</v>
      </c>
      <c r="AM51" s="54">
        <f t="shared" si="12"/>
        <v>26.50900706392347</v>
      </c>
      <c r="AO51" s="67">
        <v>45183.5</v>
      </c>
      <c r="AP51" s="68">
        <v>4.7910827052805201E-3</v>
      </c>
      <c r="AQ51" s="69">
        <v>0.44894941300000002</v>
      </c>
      <c r="AR51" s="69">
        <v>1296</v>
      </c>
      <c r="AS51" s="69">
        <f t="shared" si="10"/>
        <v>21.6</v>
      </c>
      <c r="AT51" s="69">
        <f>AS51*AP51</f>
        <v>0.10348738643405923</v>
      </c>
      <c r="AU51" s="70">
        <f t="shared" si="11"/>
        <v>0</v>
      </c>
    </row>
    <row r="52" spans="1:47" x14ac:dyDescent="0.25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"/>
        <v>2.1833333333333331</v>
      </c>
      <c r="F52" s="12">
        <f>E52*B52</f>
        <v>3.5906083453237985E-3</v>
      </c>
      <c r="G52" s="13">
        <f t="shared" si="2"/>
        <v>0</v>
      </c>
      <c r="I52" s="25">
        <v>44781.511111111111</v>
      </c>
      <c r="J52" s="26">
        <v>3.6192184068272399E-3</v>
      </c>
      <c r="K52" s="27">
        <v>1.141804142</v>
      </c>
      <c r="L52" s="28">
        <v>754</v>
      </c>
      <c r="M52" s="29">
        <f t="shared" si="3"/>
        <v>12.566666666666666</v>
      </c>
      <c r="N52" s="26">
        <f>M52*J52</f>
        <v>4.5481511312462315E-2</v>
      </c>
      <c r="O52" s="29">
        <f t="shared" si="4"/>
        <v>0</v>
      </c>
      <c r="Q52" s="35">
        <v>45136.510416666664</v>
      </c>
      <c r="R52" s="78">
        <v>5.9519933653504999E-3</v>
      </c>
      <c r="S52" s="77">
        <v>0.772537527</v>
      </c>
      <c r="T52" s="36">
        <v>3095</v>
      </c>
      <c r="U52" s="37">
        <f t="shared" si="5"/>
        <v>51.583333333333336</v>
      </c>
      <c r="V52" s="37">
        <f t="shared" si="13"/>
        <v>0.30702365776266333</v>
      </c>
      <c r="W52" s="38">
        <f t="shared" si="6"/>
        <v>0</v>
      </c>
      <c r="Y52" s="45">
        <v>45151.510416666664</v>
      </c>
      <c r="Z52" s="4">
        <v>4.6310378051022498E-3</v>
      </c>
      <c r="AA52" s="3">
        <v>0.53201108200000002</v>
      </c>
      <c r="AB52" s="4">
        <v>996</v>
      </c>
      <c r="AC52" s="46">
        <f t="shared" si="7"/>
        <v>16.600000000000001</v>
      </c>
      <c r="AD52" s="47">
        <f>AC52*Z52</f>
        <v>7.6875227564697349E-2</v>
      </c>
      <c r="AE52" s="50">
        <f t="shared" si="8"/>
        <v>0</v>
      </c>
      <c r="AG52" s="51">
        <v>45166.510416666664</v>
      </c>
      <c r="AH52" s="79">
        <v>5.6741231058604902E-2</v>
      </c>
      <c r="AI52" s="80">
        <v>2.247064306</v>
      </c>
      <c r="AJ52" s="52">
        <v>7302</v>
      </c>
      <c r="AK52" s="53">
        <f t="shared" si="9"/>
        <v>121.7</v>
      </c>
      <c r="AL52" s="79">
        <f>AK52*AH52</f>
        <v>6.9054078198322166</v>
      </c>
      <c r="AM52" s="54">
        <f t="shared" si="12"/>
        <v>95.676352165121884</v>
      </c>
      <c r="AO52" s="67">
        <v>45183.510416666664</v>
      </c>
      <c r="AP52" s="68">
        <v>7.2708837491915496E-3</v>
      </c>
      <c r="AQ52" s="69">
        <v>0.44894941300000002</v>
      </c>
      <c r="AR52" s="69">
        <v>1306</v>
      </c>
      <c r="AS52" s="69">
        <f t="shared" si="10"/>
        <v>21.766666666666666</v>
      </c>
      <c r="AT52" s="69">
        <f>AS52*AP52</f>
        <v>0.15826290294073606</v>
      </c>
      <c r="AU52" s="70">
        <f t="shared" si="11"/>
        <v>0</v>
      </c>
    </row>
    <row r="53" spans="1:47" x14ac:dyDescent="0.25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"/>
        <v>2.4333333333333331</v>
      </c>
      <c r="F53" s="12">
        <f>E53*B53</f>
        <v>3.646345246022776E-3</v>
      </c>
      <c r="G53" s="13">
        <f t="shared" si="2"/>
        <v>0</v>
      </c>
      <c r="I53" s="25">
        <v>44781.521527777775</v>
      </c>
      <c r="J53" s="26">
        <v>3.45172323880017E-3</v>
      </c>
      <c r="K53" s="27">
        <v>1.2578480294999901</v>
      </c>
      <c r="L53" s="28">
        <v>769</v>
      </c>
      <c r="M53" s="29">
        <f t="shared" si="3"/>
        <v>12.816666666666666</v>
      </c>
      <c r="N53" s="26">
        <f>M53*J53</f>
        <v>4.4239586177288848E-2</v>
      </c>
      <c r="O53" s="29">
        <f t="shared" si="4"/>
        <v>0</v>
      </c>
      <c r="Q53" s="35">
        <v>45136.520833333336</v>
      </c>
      <c r="R53" s="78">
        <v>6.0874473409900402E-3</v>
      </c>
      <c r="S53" s="77">
        <v>0.85462156099999997</v>
      </c>
      <c r="T53" s="36">
        <v>3532</v>
      </c>
      <c r="U53" s="37">
        <f t="shared" si="5"/>
        <v>58.866666666666667</v>
      </c>
      <c r="V53" s="37">
        <f t="shared" si="13"/>
        <v>0.35834773347294702</v>
      </c>
      <c r="W53" s="38">
        <f t="shared" si="6"/>
        <v>0</v>
      </c>
      <c r="Y53" s="45">
        <v>45151.520833333336</v>
      </c>
      <c r="Z53" s="4">
        <v>5.4668184779477196E-3</v>
      </c>
      <c r="AA53" s="3">
        <v>0.59425534599999996</v>
      </c>
      <c r="AB53" s="4">
        <v>1349</v>
      </c>
      <c r="AC53" s="46">
        <f t="shared" si="7"/>
        <v>22.483333333333334</v>
      </c>
      <c r="AD53" s="47">
        <f>AC53*Z53</f>
        <v>0.12291230211252457</v>
      </c>
      <c r="AE53" s="50">
        <f t="shared" si="8"/>
        <v>0</v>
      </c>
      <c r="AG53" s="51">
        <v>45166.520833333336</v>
      </c>
      <c r="AH53" s="79">
        <v>2.7278545013558999E-2</v>
      </c>
      <c r="AI53" s="80">
        <v>2.0619739560000001</v>
      </c>
      <c r="AJ53" s="52">
        <v>10382</v>
      </c>
      <c r="AK53" s="53">
        <f t="shared" si="9"/>
        <v>173.03333333333333</v>
      </c>
      <c r="AL53" s="79">
        <f>AK53*AH53</f>
        <v>4.7200975721794922</v>
      </c>
      <c r="AM53" s="54">
        <f t="shared" si="12"/>
        <v>79.412228909168903</v>
      </c>
      <c r="AO53" s="67">
        <v>45183.520833333336</v>
      </c>
      <c r="AP53" s="68">
        <v>5.5277851148418404E-3</v>
      </c>
      <c r="AQ53" s="69">
        <v>0.376777213</v>
      </c>
      <c r="AR53" s="69">
        <v>1635</v>
      </c>
      <c r="AS53" s="69">
        <f t="shared" si="10"/>
        <v>27.25</v>
      </c>
      <c r="AT53" s="69">
        <f>AS53*AP53</f>
        <v>0.15063214437944014</v>
      </c>
      <c r="AU53" s="70">
        <f t="shared" si="11"/>
        <v>0</v>
      </c>
    </row>
    <row r="54" spans="1:47" x14ac:dyDescent="0.25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"/>
        <v>1.6833333333333333</v>
      </c>
      <c r="F54" s="12">
        <f>E54*B54</f>
        <v>2.9504205064830712E-3</v>
      </c>
      <c r="G54" s="13">
        <f t="shared" si="2"/>
        <v>0</v>
      </c>
      <c r="I54" s="25">
        <v>44781.531944444447</v>
      </c>
      <c r="J54" s="26">
        <v>3.7018170829171801E-3</v>
      </c>
      <c r="K54" s="27">
        <v>1.3324552590000001</v>
      </c>
      <c r="L54" s="28">
        <v>828</v>
      </c>
      <c r="M54" s="29">
        <f t="shared" si="3"/>
        <v>13.8</v>
      </c>
      <c r="N54" s="26">
        <f>M54*J54</f>
        <v>5.1085075744257087E-2</v>
      </c>
      <c r="O54" s="29">
        <f t="shared" si="4"/>
        <v>0</v>
      </c>
      <c r="Q54" s="35">
        <v>45136.53125</v>
      </c>
      <c r="R54" s="78">
        <v>6.9240636557042099E-3</v>
      </c>
      <c r="S54" s="77">
        <v>0.89783227600000004</v>
      </c>
      <c r="T54" s="36">
        <v>4737</v>
      </c>
      <c r="U54" s="37">
        <f t="shared" si="5"/>
        <v>78.95</v>
      </c>
      <c r="V54" s="37">
        <f t="shared" si="13"/>
        <v>0.5466548256178474</v>
      </c>
      <c r="W54" s="38">
        <f t="shared" si="6"/>
        <v>27.631963081806077</v>
      </c>
      <c r="Y54" s="45">
        <v>45151.53125</v>
      </c>
      <c r="Z54" s="4">
        <v>6.2279021899720299E-3</v>
      </c>
      <c r="AA54" s="3">
        <v>0.59425534599999996</v>
      </c>
      <c r="AB54" s="4">
        <v>1323</v>
      </c>
      <c r="AC54" s="46">
        <f t="shared" si="7"/>
        <v>22.05</v>
      </c>
      <c r="AD54" s="47">
        <f>AC54*Z54</f>
        <v>0.13732524328888326</v>
      </c>
      <c r="AE54" s="50">
        <f t="shared" si="8"/>
        <v>0</v>
      </c>
      <c r="AG54" s="51">
        <v>45166.53125</v>
      </c>
      <c r="AH54" s="79">
        <v>3.3881498761867697E-2</v>
      </c>
      <c r="AI54" s="80">
        <v>1.8086265969999999</v>
      </c>
      <c r="AJ54" s="52">
        <v>10156</v>
      </c>
      <c r="AK54" s="53">
        <f t="shared" si="9"/>
        <v>169.26666666666668</v>
      </c>
      <c r="AL54" s="79">
        <f>AK54*AH54</f>
        <v>5.7350083570921395</v>
      </c>
      <c r="AM54" s="54">
        <f t="shared" si="12"/>
        <v>87.359013166733888</v>
      </c>
      <c r="AO54" s="67">
        <v>45183.53125</v>
      </c>
      <c r="AP54" s="68">
        <v>5.26403645332144E-3</v>
      </c>
      <c r="AQ54" s="69">
        <v>0.44894941300000002</v>
      </c>
      <c r="AR54" s="69">
        <v>1230</v>
      </c>
      <c r="AS54" s="69">
        <f t="shared" si="10"/>
        <v>20.5</v>
      </c>
      <c r="AT54" s="69">
        <f>AS54*AP54</f>
        <v>0.10791274729308951</v>
      </c>
      <c r="AU54" s="70">
        <f t="shared" si="11"/>
        <v>0</v>
      </c>
    </row>
    <row r="55" spans="1:47" x14ac:dyDescent="0.25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"/>
        <v>2.1166666666666667</v>
      </c>
      <c r="F55" s="12">
        <f>E55*B55</f>
        <v>3.6994629292366782E-3</v>
      </c>
      <c r="G55" s="13">
        <f t="shared" si="2"/>
        <v>0</v>
      </c>
      <c r="I55" s="25">
        <v>44781.542361111111</v>
      </c>
      <c r="J55" s="26">
        <v>4.65691285625332E-3</v>
      </c>
      <c r="K55" s="27">
        <v>1.5909838079999901</v>
      </c>
      <c r="L55" s="28">
        <v>1445</v>
      </c>
      <c r="M55" s="29">
        <f t="shared" si="3"/>
        <v>24.083333333333332</v>
      </c>
      <c r="N55" s="26">
        <f>M55*J55</f>
        <v>0.11215398462143412</v>
      </c>
      <c r="O55" s="29">
        <f t="shared" si="4"/>
        <v>0</v>
      </c>
      <c r="Q55" s="35">
        <v>45136.541666666664</v>
      </c>
      <c r="R55" s="78">
        <v>5.39412258391347E-3</v>
      </c>
      <c r="S55" s="77">
        <v>0.56216848100000005</v>
      </c>
      <c r="T55" s="36">
        <v>1520</v>
      </c>
      <c r="U55" s="37">
        <f t="shared" si="5"/>
        <v>25.333333333333332</v>
      </c>
      <c r="V55" s="37">
        <f t="shared" si="13"/>
        <v>0.13665110545914122</v>
      </c>
      <c r="W55" s="38">
        <f t="shared" si="6"/>
        <v>0</v>
      </c>
      <c r="Y55" s="45">
        <v>45151.541666666664</v>
      </c>
      <c r="Z55" s="4">
        <v>6.2470266960211601E-3</v>
      </c>
      <c r="AA55" s="3">
        <v>0.66168135500000003</v>
      </c>
      <c r="AB55" s="4">
        <v>1368</v>
      </c>
      <c r="AC55" s="46">
        <f t="shared" si="7"/>
        <v>22.8</v>
      </c>
      <c r="AD55" s="47">
        <f>AC55*Z55</f>
        <v>0.14243220866928247</v>
      </c>
      <c r="AE55" s="50">
        <f t="shared" si="8"/>
        <v>0</v>
      </c>
      <c r="AG55" s="51">
        <v>45166.541666666664</v>
      </c>
      <c r="AH55" s="79">
        <v>2.8678916831400399E-2</v>
      </c>
      <c r="AI55" s="80">
        <v>1.8086265969999999</v>
      </c>
      <c r="AJ55" s="52">
        <v>10077</v>
      </c>
      <c r="AK55" s="53">
        <f t="shared" si="9"/>
        <v>167.95</v>
      </c>
      <c r="AL55" s="79">
        <f>AK55*AH55</f>
        <v>4.8166240818336963</v>
      </c>
      <c r="AM55" s="54">
        <f t="shared" si="12"/>
        <v>80.203388791059325</v>
      </c>
      <c r="AO55" s="67">
        <v>45183.541666666664</v>
      </c>
      <c r="AP55" s="68">
        <v>5.3015390052096904E-3</v>
      </c>
      <c r="AQ55" s="69">
        <v>0.47522856800000002</v>
      </c>
      <c r="AR55" s="69">
        <v>1553</v>
      </c>
      <c r="AS55" s="69">
        <f t="shared" si="10"/>
        <v>25.883333333333333</v>
      </c>
      <c r="AT55" s="69">
        <f>AS55*AP55</f>
        <v>0.13722150125151081</v>
      </c>
      <c r="AU55" s="70">
        <f t="shared" si="11"/>
        <v>0</v>
      </c>
    </row>
    <row r="56" spans="1:47" x14ac:dyDescent="0.25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"/>
        <v>1.7</v>
      </c>
      <c r="F56" s="12">
        <f>E56*B56</f>
        <v>2.3828965445448079E-3</v>
      </c>
      <c r="G56" s="13">
        <f t="shared" si="2"/>
        <v>0</v>
      </c>
      <c r="I56" s="25">
        <v>44781.552777777775</v>
      </c>
      <c r="J56" s="26">
        <v>5.2679225855420701E-3</v>
      </c>
      <c r="K56" s="27">
        <v>2.1687506614999998</v>
      </c>
      <c r="L56" s="28">
        <v>1853</v>
      </c>
      <c r="M56" s="29">
        <f t="shared" si="3"/>
        <v>30.883333333333333</v>
      </c>
      <c r="N56" s="26">
        <f>M56*J56</f>
        <v>0.16269100918349094</v>
      </c>
      <c r="O56" s="29">
        <f t="shared" si="4"/>
        <v>0</v>
      </c>
      <c r="Q56" s="35">
        <v>45136.552083333336</v>
      </c>
      <c r="R56" s="78">
        <v>7.4800171752494897E-3</v>
      </c>
      <c r="S56" s="77">
        <v>0.77321039300000005</v>
      </c>
      <c r="T56" s="36">
        <v>3102</v>
      </c>
      <c r="U56" s="37">
        <f t="shared" si="5"/>
        <v>51.7</v>
      </c>
      <c r="V56" s="37">
        <f t="shared" si="13"/>
        <v>0.38671688796039866</v>
      </c>
      <c r="W56" s="38">
        <f t="shared" si="6"/>
        <v>23.323837793864588</v>
      </c>
      <c r="Y56" s="45">
        <v>45151.552083333336</v>
      </c>
      <c r="Z56" s="4">
        <v>5.5351229738632704E-3</v>
      </c>
      <c r="AA56" s="3">
        <v>0.59425534599999996</v>
      </c>
      <c r="AB56" s="4">
        <v>1279</v>
      </c>
      <c r="AC56" s="46">
        <f t="shared" si="7"/>
        <v>21.316666666666666</v>
      </c>
      <c r="AD56" s="47">
        <f>AC56*Z56</f>
        <v>0.11799037139285204</v>
      </c>
      <c r="AE56" s="50">
        <f t="shared" si="8"/>
        <v>0</v>
      </c>
      <c r="AG56" s="51">
        <v>45166.552083333336</v>
      </c>
      <c r="AH56" s="79">
        <v>2.3825918833108702E-2</v>
      </c>
      <c r="AI56" s="80">
        <v>1.5821856839999999</v>
      </c>
      <c r="AJ56" s="52">
        <v>10151</v>
      </c>
      <c r="AK56" s="53">
        <f t="shared" si="9"/>
        <v>169.18333333333334</v>
      </c>
      <c r="AL56" s="79">
        <f>AK56*AH56</f>
        <v>4.0309483679147737</v>
      </c>
      <c r="AM56" s="54">
        <f t="shared" si="12"/>
        <v>73.505784301683235</v>
      </c>
      <c r="AO56" s="67">
        <v>45183.552083333336</v>
      </c>
      <c r="AP56" s="68">
        <v>5.8778806381355004E-3</v>
      </c>
      <c r="AQ56" s="69">
        <v>0.47522856800000002</v>
      </c>
      <c r="AR56" s="69">
        <v>1282</v>
      </c>
      <c r="AS56" s="69">
        <f t="shared" si="10"/>
        <v>21.366666666666667</v>
      </c>
      <c r="AT56" s="69">
        <f>AS56*AP56</f>
        <v>0.12559071630149521</v>
      </c>
      <c r="AU56" s="70">
        <f t="shared" si="11"/>
        <v>0</v>
      </c>
    </row>
    <row r="57" spans="1:47" x14ac:dyDescent="0.25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"/>
        <v>1.4833333333333334</v>
      </c>
      <c r="F57" s="12">
        <f>E57*B57</f>
        <v>2.0135599758475645E-3</v>
      </c>
      <c r="G57" s="13">
        <f t="shared" si="2"/>
        <v>0</v>
      </c>
      <c r="I57" s="25">
        <v>44781.563194444447</v>
      </c>
      <c r="J57" s="26">
        <v>4.70751967541648E-3</v>
      </c>
      <c r="K57" s="27">
        <v>2.3007473825</v>
      </c>
      <c r="L57" s="28">
        <v>1713</v>
      </c>
      <c r="M57" s="29">
        <f t="shared" si="3"/>
        <v>28.55</v>
      </c>
      <c r="N57" s="26">
        <f>M57*J57</f>
        <v>0.13439968673314051</v>
      </c>
      <c r="O57" s="29">
        <f t="shared" si="4"/>
        <v>0</v>
      </c>
      <c r="Q57" s="35">
        <v>45136.5625</v>
      </c>
      <c r="R57" s="78">
        <v>8.05563591415266E-3</v>
      </c>
      <c r="S57" s="77">
        <v>0.89859415399999998</v>
      </c>
      <c r="T57" s="36">
        <v>4973</v>
      </c>
      <c r="U57" s="37">
        <f t="shared" si="5"/>
        <v>82.88333333333334</v>
      </c>
      <c r="V57" s="37">
        <f t="shared" si="13"/>
        <v>0.66767795668468632</v>
      </c>
      <c r="W57" s="38">
        <f t="shared" si="6"/>
        <v>30.475025054476774</v>
      </c>
      <c r="Y57" s="45">
        <v>45151.5625</v>
      </c>
      <c r="Z57" s="4">
        <v>3.5668797659729099E-3</v>
      </c>
      <c r="AA57" s="3">
        <v>0.42386643899999998</v>
      </c>
      <c r="AB57" s="4">
        <v>644</v>
      </c>
      <c r="AC57" s="46">
        <f t="shared" si="7"/>
        <v>10.733333333333333</v>
      </c>
      <c r="AD57" s="47">
        <f>AC57*Z57</f>
        <v>3.8284509488109228E-2</v>
      </c>
      <c r="AE57" s="50">
        <f t="shared" si="8"/>
        <v>0</v>
      </c>
      <c r="AG57" s="51">
        <v>45166.5625</v>
      </c>
      <c r="AH57" s="79">
        <v>2.76358389955462E-2</v>
      </c>
      <c r="AI57" s="80">
        <v>2.5487565000000001</v>
      </c>
      <c r="AJ57" s="52">
        <v>9877</v>
      </c>
      <c r="AK57" s="53">
        <f t="shared" si="9"/>
        <v>164.61666666666667</v>
      </c>
      <c r="AL57" s="79">
        <f>AK57*AH57</f>
        <v>4.5493196959834972</v>
      </c>
      <c r="AM57" s="54">
        <f t="shared" si="12"/>
        <v>77.991984810012738</v>
      </c>
      <c r="AO57" s="67">
        <v>45183.5625</v>
      </c>
      <c r="AP57" s="68">
        <v>6.1503624604552004E-3</v>
      </c>
      <c r="AQ57" s="69">
        <v>0.47522856800000002</v>
      </c>
      <c r="AR57" s="69">
        <v>1568</v>
      </c>
      <c r="AS57" s="69">
        <f t="shared" si="10"/>
        <v>26.133333333333333</v>
      </c>
      <c r="AT57" s="69">
        <f>AS57*AP57</f>
        <v>0.1607294722998959</v>
      </c>
      <c r="AU57" s="70">
        <f t="shared" si="11"/>
        <v>0</v>
      </c>
    </row>
    <row r="58" spans="1:47" x14ac:dyDescent="0.25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"/>
        <v>1.3833333333333333</v>
      </c>
      <c r="F58" s="12">
        <f>E58*B58</f>
        <v>2.5120373171316109E-3</v>
      </c>
      <c r="G58" s="13">
        <f t="shared" si="2"/>
        <v>0</v>
      </c>
      <c r="I58" s="25">
        <v>44781.573611111111</v>
      </c>
      <c r="J58" s="26">
        <v>4.7535558655237703E-3</v>
      </c>
      <c r="K58" s="27">
        <v>3.2652481369999999</v>
      </c>
      <c r="L58" s="28">
        <v>1191</v>
      </c>
      <c r="M58" s="29">
        <f t="shared" si="3"/>
        <v>19.850000000000001</v>
      </c>
      <c r="N58" s="26">
        <f>M58*J58</f>
        <v>9.4358083930646847E-2</v>
      </c>
      <c r="O58" s="29">
        <f t="shared" si="4"/>
        <v>0</v>
      </c>
      <c r="Q58" s="35">
        <v>45136.572916666664</v>
      </c>
      <c r="R58" s="78">
        <v>9.9370329282074607E-3</v>
      </c>
      <c r="S58" s="77">
        <v>1.5125919880000001</v>
      </c>
      <c r="T58" s="36">
        <v>7017</v>
      </c>
      <c r="U58" s="37">
        <f t="shared" si="5"/>
        <v>116.95</v>
      </c>
      <c r="V58" s="37">
        <f t="shared" si="13"/>
        <v>1.1621360009538626</v>
      </c>
      <c r="W58" s="38">
        <f t="shared" si="6"/>
        <v>39.976974540218343</v>
      </c>
      <c r="Y58" s="45">
        <v>45151.572916666664</v>
      </c>
      <c r="Z58" s="4">
        <v>4.2656587944937003E-3</v>
      </c>
      <c r="AA58" s="3">
        <v>0.42386643899999998</v>
      </c>
      <c r="AB58" s="4">
        <v>653</v>
      </c>
      <c r="AC58" s="46">
        <f t="shared" si="7"/>
        <v>10.883333333333333</v>
      </c>
      <c r="AD58" s="47">
        <f>AC58*Z58</f>
        <v>4.6424586546739768E-2</v>
      </c>
      <c r="AE58" s="50">
        <f t="shared" si="8"/>
        <v>0</v>
      </c>
      <c r="AG58" s="51">
        <v>45166.572916666664</v>
      </c>
      <c r="AH58" s="79">
        <v>2.4532591637448999E-2</v>
      </c>
      <c r="AI58" s="80">
        <v>1.729502407</v>
      </c>
      <c r="AJ58" s="52">
        <v>10114</v>
      </c>
      <c r="AK58" s="53">
        <f t="shared" si="9"/>
        <v>168.56666666666666</v>
      </c>
      <c r="AL58" s="79">
        <f>AK58*AH58</f>
        <v>4.1353771970193192</v>
      </c>
      <c r="AM58" s="54">
        <f t="shared" si="12"/>
        <v>74.43223351140314</v>
      </c>
      <c r="AO58" s="67">
        <v>45183.572916666664</v>
      </c>
      <c r="AP58" s="68">
        <v>5.4259374162804203E-3</v>
      </c>
      <c r="AQ58" s="69">
        <v>0.44894941300000002</v>
      </c>
      <c r="AR58" s="69">
        <v>1036</v>
      </c>
      <c r="AS58" s="69">
        <f t="shared" si="10"/>
        <v>17.266666666666666</v>
      </c>
      <c r="AT58" s="69">
        <f>AS58*AP58</f>
        <v>9.3687852721108592E-2</v>
      </c>
      <c r="AU58" s="70">
        <f t="shared" si="11"/>
        <v>0</v>
      </c>
    </row>
    <row r="59" spans="1:47" x14ac:dyDescent="0.25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"/>
        <v>1.7</v>
      </c>
      <c r="F59" s="12">
        <f>E59*B59</f>
        <v>2.5255434904317168E-3</v>
      </c>
      <c r="G59" s="13">
        <f t="shared" si="2"/>
        <v>0</v>
      </c>
      <c r="I59" s="25">
        <v>44781.584027777775</v>
      </c>
      <c r="J59" s="26">
        <v>4.8194943991620798E-3</v>
      </c>
      <c r="K59" s="27">
        <v>7.0573823745000004</v>
      </c>
      <c r="L59" s="28">
        <v>2122</v>
      </c>
      <c r="M59" s="29">
        <f t="shared" si="3"/>
        <v>35.366666666666667</v>
      </c>
      <c r="N59" s="26">
        <f>M59*J59</f>
        <v>0.17044945191703223</v>
      </c>
      <c r="O59" s="29">
        <f t="shared" si="4"/>
        <v>0</v>
      </c>
      <c r="Q59" s="35">
        <v>45136.583333333336</v>
      </c>
      <c r="R59" s="78">
        <v>1.15829784004414E-2</v>
      </c>
      <c r="S59" s="77">
        <v>1.654461261</v>
      </c>
      <c r="T59" s="36">
        <v>7444</v>
      </c>
      <c r="U59" s="37">
        <f t="shared" si="5"/>
        <v>124.06666666666666</v>
      </c>
      <c r="V59" s="37">
        <f t="shared" si="13"/>
        <v>1.437061520214763</v>
      </c>
      <c r="W59" s="38">
        <f t="shared" si="6"/>
        <v>44.357726288728202</v>
      </c>
      <c r="Y59" s="45">
        <v>45151.583333333336</v>
      </c>
      <c r="Z59" s="4">
        <v>4.9476959212309398E-3</v>
      </c>
      <c r="AA59" s="3">
        <v>0.50323377899999999</v>
      </c>
      <c r="AB59" s="4">
        <v>958</v>
      </c>
      <c r="AC59" s="46">
        <f t="shared" si="7"/>
        <v>15.966666666666667</v>
      </c>
      <c r="AD59" s="47">
        <f>AC59*Z59</f>
        <v>7.8998211542320673E-2</v>
      </c>
      <c r="AE59" s="50">
        <f t="shared" si="8"/>
        <v>0</v>
      </c>
      <c r="AG59" s="51">
        <v>45166.583333333336</v>
      </c>
      <c r="AH59" s="79">
        <v>2.3355203318128601E-2</v>
      </c>
      <c r="AI59" s="80">
        <v>1.9734137430000001</v>
      </c>
      <c r="AJ59" s="52">
        <v>9975</v>
      </c>
      <c r="AK59" s="53">
        <f t="shared" si="9"/>
        <v>166.25</v>
      </c>
      <c r="AL59" s="79">
        <f>AK59*AH59</f>
        <v>3.8828025516388798</v>
      </c>
      <c r="AM59" s="54">
        <f t="shared" si="12"/>
        <v>72.170223328675746</v>
      </c>
      <c r="AO59" s="67">
        <v>45183.583333333336</v>
      </c>
      <c r="AP59" s="68">
        <v>9.00687876097752E-3</v>
      </c>
      <c r="AQ59" s="69">
        <v>0.44894941300000002</v>
      </c>
      <c r="AR59" s="69">
        <v>3109</v>
      </c>
      <c r="AS59" s="69">
        <f t="shared" si="10"/>
        <v>51.81666666666667</v>
      </c>
      <c r="AT59" s="69">
        <f>AS59*AP59</f>
        <v>0.46670643446465188</v>
      </c>
      <c r="AU59" s="70">
        <f t="shared" si="11"/>
        <v>25.573156472879504</v>
      </c>
    </row>
    <row r="60" spans="1:47" x14ac:dyDescent="0.25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"/>
        <v>3.05</v>
      </c>
      <c r="F60" s="12">
        <f>E60*B60</f>
        <v>4.6247200438349892E-3</v>
      </c>
      <c r="G60" s="13">
        <f t="shared" si="2"/>
        <v>0</v>
      </c>
      <c r="I60" s="25">
        <v>44781.594444444447</v>
      </c>
      <c r="J60" s="26">
        <v>6.5819226188078197E-3</v>
      </c>
      <c r="K60" s="27">
        <v>13.5126390895</v>
      </c>
      <c r="L60" s="28">
        <v>6566</v>
      </c>
      <c r="M60" s="29">
        <f t="shared" si="3"/>
        <v>109.43333333333334</v>
      </c>
      <c r="N60" s="26">
        <f>M60*J60</f>
        <v>0.72028173191820244</v>
      </c>
      <c r="O60" s="29">
        <f t="shared" si="4"/>
        <v>31.628057381454148</v>
      </c>
      <c r="Q60" s="35">
        <v>45136.59375</v>
      </c>
      <c r="R60" s="78">
        <v>8.2986986919222194E-3</v>
      </c>
      <c r="S60" s="77">
        <v>1.5125919880000001</v>
      </c>
      <c r="T60" s="36">
        <v>6600</v>
      </c>
      <c r="U60" s="37">
        <f t="shared" si="5"/>
        <v>110</v>
      </c>
      <c r="V60" s="37">
        <f t="shared" si="13"/>
        <v>0.91285685611144418</v>
      </c>
      <c r="W60" s="38">
        <f t="shared" si="6"/>
        <v>35.519168131343648</v>
      </c>
      <c r="Y60" s="45">
        <v>45151.59375</v>
      </c>
      <c r="Z60" s="4">
        <v>4.5164095459671602E-3</v>
      </c>
      <c r="AA60" s="3">
        <v>0.42386643899999998</v>
      </c>
      <c r="AB60" s="4">
        <v>703</v>
      </c>
      <c r="AC60" s="46">
        <f t="shared" si="7"/>
        <v>11.716666666666667</v>
      </c>
      <c r="AD60" s="47">
        <f>AC60*Z60</f>
        <v>5.2917265180248564E-2</v>
      </c>
      <c r="AE60" s="50">
        <f t="shared" si="8"/>
        <v>0</v>
      </c>
      <c r="AG60" s="51">
        <v>45166.59375</v>
      </c>
      <c r="AH60" s="79">
        <v>2.39173471155559E-2</v>
      </c>
      <c r="AI60" s="80">
        <v>1.9734137430000001</v>
      </c>
      <c r="AJ60" s="52">
        <v>10302</v>
      </c>
      <c r="AK60" s="53">
        <f t="shared" si="9"/>
        <v>171.7</v>
      </c>
      <c r="AL60" s="79">
        <f>AK60*AH60</f>
        <v>4.1066084997409478</v>
      </c>
      <c r="AM60" s="54">
        <f t="shared" si="12"/>
        <v>74.178212802820894</v>
      </c>
      <c r="AO60" s="67">
        <v>45183.59375</v>
      </c>
      <c r="AP60" s="68">
        <v>2.4100971767564601E-2</v>
      </c>
      <c r="AQ60" s="69">
        <v>0.53201108200000002</v>
      </c>
      <c r="AR60" s="69">
        <v>8466</v>
      </c>
      <c r="AS60" s="69">
        <f t="shared" si="10"/>
        <v>141.1</v>
      </c>
      <c r="AT60" s="69">
        <f>AS60*AP60</f>
        <v>3.4006471164033649</v>
      </c>
      <c r="AU60" s="70">
        <f t="shared" si="11"/>
        <v>67.633099751080081</v>
      </c>
    </row>
    <row r="61" spans="1:47" x14ac:dyDescent="0.25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"/>
        <v>3.6166666666666667</v>
      </c>
      <c r="F61" s="12">
        <f>E61*B61</f>
        <v>7.7571641382806079E-3</v>
      </c>
      <c r="G61" s="13">
        <f t="shared" si="2"/>
        <v>0</v>
      </c>
      <c r="I61" s="25">
        <v>44781.604861111111</v>
      </c>
      <c r="J61" s="26">
        <v>7.6504738912046904E-3</v>
      </c>
      <c r="K61" s="27">
        <v>21.08342828</v>
      </c>
      <c r="L61" s="28">
        <v>8903</v>
      </c>
      <c r="M61" s="29">
        <f t="shared" si="3"/>
        <v>148.38333333333333</v>
      </c>
      <c r="N61" s="26">
        <f>M61*J61</f>
        <v>1.1352028175565894</v>
      </c>
      <c r="O61" s="29">
        <f t="shared" si="4"/>
        <v>39.520557851236589</v>
      </c>
      <c r="Q61" s="35">
        <v>45136.604166666664</v>
      </c>
      <c r="R61" s="78">
        <v>1.14772214194534E-2</v>
      </c>
      <c r="S61" s="77">
        <v>1.88950475</v>
      </c>
      <c r="T61" s="36">
        <v>7854</v>
      </c>
      <c r="U61" s="37">
        <f t="shared" si="5"/>
        <v>130.9</v>
      </c>
      <c r="V61" s="37">
        <f t="shared" si="13"/>
        <v>1.50236828380645</v>
      </c>
      <c r="W61" s="38">
        <f t="shared" si="6"/>
        <v>45.33368254123814</v>
      </c>
      <c r="Y61" s="45">
        <v>45151.604166666664</v>
      </c>
      <c r="Z61" s="4">
        <v>6.4941977104702496E-3</v>
      </c>
      <c r="AA61" s="3">
        <v>0.59425534599999996</v>
      </c>
      <c r="AB61" s="4">
        <v>1297</v>
      </c>
      <c r="AC61" s="46">
        <f t="shared" si="7"/>
        <v>21.616666666666667</v>
      </c>
      <c r="AD61" s="47">
        <f>AC61*Z61</f>
        <v>0.14038290717466523</v>
      </c>
      <c r="AE61" s="50">
        <f t="shared" si="8"/>
        <v>0</v>
      </c>
      <c r="AG61" s="51">
        <v>45166.604166666664</v>
      </c>
      <c r="AH61" s="79">
        <v>2.6806143579513199E-2</v>
      </c>
      <c r="AI61" s="80">
        <v>2.1522282119999998</v>
      </c>
      <c r="AJ61" s="52">
        <v>9901</v>
      </c>
      <c r="AK61" s="53">
        <f t="shared" si="9"/>
        <v>165.01666666666668</v>
      </c>
      <c r="AL61" s="79">
        <f>AK61*AH61</f>
        <v>4.4234604596793368</v>
      </c>
      <c r="AM61" s="54">
        <f t="shared" si="12"/>
        <v>76.927800845856368</v>
      </c>
      <c r="AO61" s="67">
        <v>45183.604166666664</v>
      </c>
      <c r="AP61" s="68">
        <v>1.7258350457656599E-2</v>
      </c>
      <c r="AQ61" s="69">
        <v>0.81307424100000003</v>
      </c>
      <c r="AR61" s="69">
        <v>7471</v>
      </c>
      <c r="AS61" s="69">
        <f t="shared" si="10"/>
        <v>124.51666666666667</v>
      </c>
      <c r="AT61" s="69">
        <f>AS61*AP61</f>
        <v>2.1489522711525408</v>
      </c>
      <c r="AU61" s="70">
        <f t="shared" si="11"/>
        <v>54.018813623467587</v>
      </c>
    </row>
    <row r="62" spans="1:47" x14ac:dyDescent="0.25">
      <c r="A62" s="10">
        <v>44776.615277777775</v>
      </c>
      <c r="B62" s="11">
        <v>6.3360207758395102E-3</v>
      </c>
      <c r="C62" s="12">
        <v>1.3141996124999999</v>
      </c>
      <c r="D62" s="9">
        <v>1822</v>
      </c>
      <c r="E62" s="13">
        <f t="shared" si="1"/>
        <v>30.366666666666667</v>
      </c>
      <c r="F62" s="12">
        <f>E62*B62</f>
        <v>0.19240383089299312</v>
      </c>
      <c r="G62" s="13">
        <f t="shared" si="2"/>
        <v>0</v>
      </c>
      <c r="I62" s="25">
        <v>44781.615277777775</v>
      </c>
      <c r="J62" s="26">
        <v>9.6643334557268094E-3</v>
      </c>
      <c r="K62" s="27">
        <v>28.119352749999901</v>
      </c>
      <c r="L62" s="28">
        <v>10574</v>
      </c>
      <c r="M62" s="29">
        <f t="shared" si="3"/>
        <v>176.23333333333332</v>
      </c>
      <c r="N62" s="26">
        <f>M62*J62</f>
        <v>1.703177699347588</v>
      </c>
      <c r="O62" s="29">
        <f t="shared" si="4"/>
        <v>48.206055461172006</v>
      </c>
      <c r="Q62" s="35">
        <v>45136.614583333336</v>
      </c>
      <c r="R62" s="78">
        <v>1.30097885776974E-2</v>
      </c>
      <c r="S62" s="77">
        <v>4.4021109559999996</v>
      </c>
      <c r="T62" s="36">
        <v>10081</v>
      </c>
      <c r="U62" s="37">
        <f t="shared" si="5"/>
        <v>168.01666666666668</v>
      </c>
      <c r="V62" s="37">
        <f t="shared" si="13"/>
        <v>2.1858613108627916</v>
      </c>
      <c r="W62" s="38">
        <f t="shared" si="6"/>
        <v>54.471179758949042</v>
      </c>
      <c r="Y62" s="45">
        <v>45151.614583333336</v>
      </c>
      <c r="Z62" s="4">
        <v>5.0241242592723896E-3</v>
      </c>
      <c r="AA62" s="3">
        <v>0.50323377899999999</v>
      </c>
      <c r="AB62" s="4">
        <v>905</v>
      </c>
      <c r="AC62" s="46">
        <f t="shared" si="7"/>
        <v>15.083333333333334</v>
      </c>
      <c r="AD62" s="47">
        <f>AC62*Z62</f>
        <v>7.5780540910691876E-2</v>
      </c>
      <c r="AE62" s="50">
        <f t="shared" si="8"/>
        <v>0</v>
      </c>
      <c r="AG62" s="51">
        <v>45166.614583333336</v>
      </c>
      <c r="AH62" s="79">
        <v>2.26472397089727E-2</v>
      </c>
      <c r="AI62" s="80">
        <v>1.729502407</v>
      </c>
      <c r="AJ62" s="52">
        <v>10038</v>
      </c>
      <c r="AK62" s="53">
        <f t="shared" si="9"/>
        <v>167.3</v>
      </c>
      <c r="AL62" s="79">
        <f>AK62*AH62</f>
        <v>3.788883203311133</v>
      </c>
      <c r="AM62" s="54">
        <f t="shared" si="12"/>
        <v>71.310016358111767</v>
      </c>
      <c r="AO62" s="67">
        <v>45183.614583333336</v>
      </c>
      <c r="AP62" s="68">
        <v>5.6744170912803898E-2</v>
      </c>
      <c r="AQ62" s="69">
        <v>1.200201638</v>
      </c>
      <c r="AR62" s="69">
        <v>9147</v>
      </c>
      <c r="AS62" s="69">
        <f t="shared" si="10"/>
        <v>152.44999999999999</v>
      </c>
      <c r="AT62" s="69">
        <f>AS62*AP62</f>
        <v>8.6506488556569536</v>
      </c>
      <c r="AU62" s="70">
        <f t="shared" si="11"/>
        <v>106.83814356839687</v>
      </c>
    </row>
    <row r="63" spans="1:47" x14ac:dyDescent="0.25">
      <c r="A63" s="10">
        <v>44776.625694444447</v>
      </c>
      <c r="B63" s="11">
        <v>2.7100659833378001E-2</v>
      </c>
      <c r="C63" s="12">
        <v>12.6789259225</v>
      </c>
      <c r="D63" s="9">
        <v>10683</v>
      </c>
      <c r="E63" s="13">
        <f t="shared" si="1"/>
        <v>178.05</v>
      </c>
      <c r="F63" s="12">
        <f>E63*B63</f>
        <v>4.8252724833329532</v>
      </c>
      <c r="G63" s="13">
        <f t="shared" si="2"/>
        <v>80.273877098790663</v>
      </c>
      <c r="I63" s="25">
        <v>44781.625694444447</v>
      </c>
      <c r="J63" s="26">
        <v>1.03130225848837E-2</v>
      </c>
      <c r="K63" s="27">
        <v>32.007500319999998</v>
      </c>
      <c r="L63" s="28">
        <v>11744</v>
      </c>
      <c r="M63" s="29">
        <f t="shared" si="3"/>
        <v>195.73333333333332</v>
      </c>
      <c r="N63" s="26">
        <f>M63*J63</f>
        <v>2.0186022872812361</v>
      </c>
      <c r="O63" s="29">
        <f t="shared" si="4"/>
        <v>52.388619007464662</v>
      </c>
      <c r="Q63" s="35">
        <v>45136.625</v>
      </c>
      <c r="R63" s="78">
        <v>1.91440093988796E-2</v>
      </c>
      <c r="S63" s="77">
        <v>14.6021538</v>
      </c>
      <c r="T63" s="36">
        <v>10289</v>
      </c>
      <c r="U63" s="37">
        <f t="shared" si="5"/>
        <v>171.48333333333332</v>
      </c>
      <c r="V63" s="37">
        <f t="shared" si="13"/>
        <v>3.2828785450845364</v>
      </c>
      <c r="W63" s="38">
        <f t="shared" si="6"/>
        <v>66.475800518584137</v>
      </c>
      <c r="Y63" s="45">
        <v>45151.625</v>
      </c>
      <c r="Z63" s="4">
        <v>6.1805829942155003E-3</v>
      </c>
      <c r="AA63" s="3">
        <v>0.59425534599999996</v>
      </c>
      <c r="AB63" s="4">
        <v>1267</v>
      </c>
      <c r="AC63" s="46">
        <f t="shared" si="7"/>
        <v>21.116666666666667</v>
      </c>
      <c r="AD63" s="47">
        <f>AC63*Z63</f>
        <v>0.13051331089451731</v>
      </c>
      <c r="AE63" s="50">
        <f t="shared" si="8"/>
        <v>0</v>
      </c>
      <c r="AG63" s="51">
        <v>45166.625</v>
      </c>
      <c r="AH63" s="79">
        <v>2.02472921111106E-2</v>
      </c>
      <c r="AI63" s="80">
        <v>1.317101139</v>
      </c>
      <c r="AJ63" s="52">
        <v>9938</v>
      </c>
      <c r="AK63" s="53">
        <f t="shared" si="9"/>
        <v>165.63333333333333</v>
      </c>
      <c r="AL63" s="79">
        <f>AK63*AH63</f>
        <v>3.353626483336952</v>
      </c>
      <c r="AM63" s="54">
        <f t="shared" si="12"/>
        <v>67.173524646610915</v>
      </c>
      <c r="AO63" s="67">
        <v>45183.625</v>
      </c>
      <c r="AP63" s="68">
        <v>5.1852698622373301E-2</v>
      </c>
      <c r="AQ63" s="69">
        <v>1.9748874890000001</v>
      </c>
      <c r="AR63" s="69">
        <v>8687</v>
      </c>
      <c r="AS63" s="69">
        <f t="shared" si="10"/>
        <v>144.78333333333333</v>
      </c>
      <c r="AT63" s="69">
        <f>AS63*AP63</f>
        <v>7.5074065488759478</v>
      </c>
      <c r="AU63" s="70">
        <f t="shared" si="11"/>
        <v>99.673799545223744</v>
      </c>
    </row>
    <row r="64" spans="1:47" x14ac:dyDescent="0.25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"/>
        <v>197.53333333333333</v>
      </c>
      <c r="F64" s="12">
        <f>E64*B64</f>
        <v>2.4621689492952754</v>
      </c>
      <c r="G64" s="13">
        <f t="shared" si="2"/>
        <v>57.74068660746331</v>
      </c>
      <c r="I64" s="25">
        <v>44781.636111111111</v>
      </c>
      <c r="J64" s="26">
        <v>9.1361670131292396E-3</v>
      </c>
      <c r="K64" s="27">
        <v>31.620971515000001</v>
      </c>
      <c r="L64" s="28">
        <v>9639</v>
      </c>
      <c r="M64" s="29">
        <f t="shared" si="3"/>
        <v>160.65</v>
      </c>
      <c r="N64" s="26">
        <f>M64*J64</f>
        <v>1.4677252306592123</v>
      </c>
      <c r="O64" s="29">
        <f t="shared" si="4"/>
        <v>44.818728513329802</v>
      </c>
      <c r="Q64" s="35">
        <v>45136.635416666664</v>
      </c>
      <c r="R64" s="78">
        <v>2.2161578187086601E-2</v>
      </c>
      <c r="S64" s="77">
        <v>13.238676509999999</v>
      </c>
      <c r="T64" s="36">
        <v>9280</v>
      </c>
      <c r="U64" s="37">
        <f t="shared" si="5"/>
        <v>154.66666666666666</v>
      </c>
      <c r="V64" s="37">
        <f t="shared" si="13"/>
        <v>3.427657426269394</v>
      </c>
      <c r="W64" s="38">
        <f t="shared" si="6"/>
        <v>67.895630319562855</v>
      </c>
      <c r="Y64" s="45">
        <v>45151.635416666664</v>
      </c>
      <c r="Z64" s="4">
        <v>6.3237965110980602E-3</v>
      </c>
      <c r="AA64" s="3">
        <v>0.69769667099999999</v>
      </c>
      <c r="AB64" s="4">
        <v>1633</v>
      </c>
      <c r="AC64" s="46">
        <f t="shared" si="7"/>
        <v>27.216666666666665</v>
      </c>
      <c r="AD64" s="47">
        <f>AC64*Z64</f>
        <v>0.17211266171038553</v>
      </c>
      <c r="AE64" s="50">
        <f t="shared" si="8"/>
        <v>0</v>
      </c>
      <c r="AG64" s="51">
        <v>45166.635416666664</v>
      </c>
      <c r="AH64" s="79">
        <v>1.9758487775732199E-2</v>
      </c>
      <c r="AI64" s="80">
        <v>1.200201638</v>
      </c>
      <c r="AJ64" s="52">
        <v>9561</v>
      </c>
      <c r="AK64" s="53">
        <f t="shared" si="9"/>
        <v>159.35</v>
      </c>
      <c r="AL64" s="79">
        <f>AK64*AH64</f>
        <v>3.1485150270629259</v>
      </c>
      <c r="AM64" s="54">
        <f t="shared" si="12"/>
        <v>65.129236714115137</v>
      </c>
      <c r="AO64" s="67">
        <v>45183.635416666664</v>
      </c>
      <c r="AP64" s="68">
        <v>5.3260935853835997E-2</v>
      </c>
      <c r="AQ64" s="69">
        <v>1.5125919880000001</v>
      </c>
      <c r="AR64" s="69">
        <v>8011</v>
      </c>
      <c r="AS64" s="69">
        <f t="shared" si="10"/>
        <v>133.51666666666668</v>
      </c>
      <c r="AT64" s="69">
        <f>AS64*AP64</f>
        <v>7.111222618751337</v>
      </c>
      <c r="AU64" s="70">
        <f t="shared" si="11"/>
        <v>97.062328103421052</v>
      </c>
    </row>
    <row r="65" spans="1:47" x14ac:dyDescent="0.25">
      <c r="A65" s="10">
        <v>44776.646527777775</v>
      </c>
      <c r="B65" s="11">
        <v>1.0060327126060999E-2</v>
      </c>
      <c r="C65" s="12">
        <v>19.508647905</v>
      </c>
      <c r="D65" s="9">
        <v>9885</v>
      </c>
      <c r="E65" s="13">
        <f t="shared" si="1"/>
        <v>164.75</v>
      </c>
      <c r="F65" s="12">
        <f>E65*B65</f>
        <v>1.6574388940185496</v>
      </c>
      <c r="G65" s="13">
        <f t="shared" si="2"/>
        <v>47.567699592066525</v>
      </c>
      <c r="I65" s="25">
        <v>44781.646527777775</v>
      </c>
      <c r="J65" s="26">
        <v>8.4765582589645706E-3</v>
      </c>
      <c r="K65" s="27">
        <v>30.826982135000002</v>
      </c>
      <c r="L65" s="28">
        <v>9640</v>
      </c>
      <c r="M65" s="29">
        <f t="shared" si="3"/>
        <v>160.66666666666666</v>
      </c>
      <c r="N65" s="26">
        <f>M65*J65</f>
        <v>1.361900360273641</v>
      </c>
      <c r="O65" s="29">
        <f t="shared" si="4"/>
        <v>43.206049923903961</v>
      </c>
      <c r="Q65" s="35">
        <v>45136.645833333336</v>
      </c>
      <c r="R65" s="78">
        <v>2.74909315822277E-2</v>
      </c>
      <c r="S65" s="77">
        <v>14.6021538</v>
      </c>
      <c r="T65" s="36">
        <v>9010</v>
      </c>
      <c r="U65" s="37">
        <f t="shared" si="5"/>
        <v>150.16666666666666</v>
      </c>
      <c r="V65" s="37">
        <f t="shared" si="13"/>
        <v>4.1282215592645262</v>
      </c>
      <c r="W65" s="38">
        <f t="shared" si="6"/>
        <v>74.369135417746435</v>
      </c>
      <c r="Y65" s="45">
        <v>45151.645833333336</v>
      </c>
      <c r="Z65" s="4">
        <v>4.28503411207875E-3</v>
      </c>
      <c r="AA65" s="3">
        <v>0.50323377899999999</v>
      </c>
      <c r="AB65" s="4">
        <v>999</v>
      </c>
      <c r="AC65" s="46">
        <f t="shared" si="7"/>
        <v>16.649999999999999</v>
      </c>
      <c r="AD65" s="47">
        <f>AC65*Z65</f>
        <v>7.1345817966111183E-2</v>
      </c>
      <c r="AE65" s="50">
        <f t="shared" si="8"/>
        <v>0</v>
      </c>
      <c r="AG65" s="51">
        <v>45166.645833333336</v>
      </c>
      <c r="AH65" s="79">
        <v>2.1139988783839998E-2</v>
      </c>
      <c r="AI65" s="80">
        <v>1.511415151</v>
      </c>
      <c r="AJ65" s="52">
        <v>9841</v>
      </c>
      <c r="AK65" s="53">
        <f t="shared" si="9"/>
        <v>164.01666666666668</v>
      </c>
      <c r="AL65" s="79">
        <f>AK65*AH65</f>
        <v>3.4673104936961572</v>
      </c>
      <c r="AM65" s="54">
        <f t="shared" si="12"/>
        <v>68.27913876301389</v>
      </c>
      <c r="AO65" s="67">
        <v>45183.645833333336</v>
      </c>
      <c r="AP65" s="68">
        <v>4.0899762043143599E-2</v>
      </c>
      <c r="AQ65" s="69">
        <v>1.0404225359999999</v>
      </c>
      <c r="AR65" s="69">
        <v>8770</v>
      </c>
      <c r="AS65" s="69">
        <f t="shared" si="10"/>
        <v>146.16666666666666</v>
      </c>
      <c r="AT65" s="69">
        <f>AS65*AP65</f>
        <v>5.9781818853061557</v>
      </c>
      <c r="AU65" s="70">
        <f t="shared" si="11"/>
        <v>89.15372486745953</v>
      </c>
    </row>
    <row r="66" spans="1:47" x14ac:dyDescent="0.25">
      <c r="A66" s="10">
        <v>44776.656944444447</v>
      </c>
      <c r="B66" s="11">
        <v>8.5108884807833796E-3</v>
      </c>
      <c r="C66" s="12">
        <v>15.20489341</v>
      </c>
      <c r="D66" s="9">
        <v>7309</v>
      </c>
      <c r="E66" s="13">
        <f t="shared" si="1"/>
        <v>121.81666666666666</v>
      </c>
      <c r="F66" s="12">
        <f>E66*B66</f>
        <v>1.036768065100762</v>
      </c>
      <c r="G66" s="13">
        <f t="shared" si="2"/>
        <v>37.803575502160662</v>
      </c>
      <c r="I66" s="25">
        <v>44781.656944444447</v>
      </c>
      <c r="J66" s="26">
        <v>9.0524697506822703E-3</v>
      </c>
      <c r="K66" s="27">
        <v>30.790400730000002</v>
      </c>
      <c r="L66" s="28">
        <v>9073</v>
      </c>
      <c r="M66" s="29">
        <f t="shared" si="3"/>
        <v>151.21666666666667</v>
      </c>
      <c r="N66" s="26">
        <f>M66*J66</f>
        <v>1.3688843007990039</v>
      </c>
      <c r="O66" s="29">
        <f t="shared" si="4"/>
        <v>43.31440835604613</v>
      </c>
      <c r="Q66" s="35">
        <v>45136.65625</v>
      </c>
      <c r="R66" s="78">
        <v>3.3894640450781402E-2</v>
      </c>
      <c r="S66" s="77">
        <v>20.131538750000001</v>
      </c>
      <c r="T66" s="36">
        <v>7529</v>
      </c>
      <c r="U66" s="37">
        <f t="shared" si="5"/>
        <v>125.48333333333333</v>
      </c>
      <c r="V66" s="37">
        <f t="shared" si="13"/>
        <v>4.2532124658988861</v>
      </c>
      <c r="W66" s="38">
        <f t="shared" si="6"/>
        <v>75.463396074733694</v>
      </c>
      <c r="Y66" s="45">
        <v>45151.65625</v>
      </c>
      <c r="Z66" s="4">
        <v>5.3342621805738399E-3</v>
      </c>
      <c r="AA66" s="3">
        <v>0.59425534599999996</v>
      </c>
      <c r="AB66" s="4">
        <v>1215</v>
      </c>
      <c r="AC66" s="46">
        <f t="shared" si="7"/>
        <v>20.25</v>
      </c>
      <c r="AD66" s="47">
        <f>AC66*Z66</f>
        <v>0.10801880915662027</v>
      </c>
      <c r="AE66" s="50">
        <f t="shared" si="8"/>
        <v>0</v>
      </c>
      <c r="AG66" s="51">
        <v>45166.65625</v>
      </c>
      <c r="AH66" s="79">
        <v>2.1083112129099899E-2</v>
      </c>
      <c r="AI66" s="80">
        <v>1.200201638</v>
      </c>
      <c r="AJ66" s="52">
        <v>9102</v>
      </c>
      <c r="AK66" s="53">
        <f t="shared" si="9"/>
        <v>151.69999999999999</v>
      </c>
      <c r="AL66" s="79">
        <f>AK66*AH66</f>
        <v>3.1983081099844544</v>
      </c>
      <c r="AM66" s="54">
        <f t="shared" si="12"/>
        <v>65.631610794766416</v>
      </c>
      <c r="AO66" s="67">
        <v>45183.65625</v>
      </c>
      <c r="AP66" s="68">
        <v>6.2147021210142303E-2</v>
      </c>
      <c r="AQ66" s="69">
        <v>1.8086265969999999</v>
      </c>
      <c r="AR66" s="69">
        <v>7627</v>
      </c>
      <c r="AS66" s="69">
        <f t="shared" si="10"/>
        <v>127.11666666666666</v>
      </c>
      <c r="AT66" s="69">
        <f>AS66*AP66</f>
        <v>7.8999221794959222</v>
      </c>
      <c r="AU66" s="70">
        <f t="shared" si="11"/>
        <v>102.1926083809247</v>
      </c>
    </row>
    <row r="67" spans="1:47" x14ac:dyDescent="0.25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"/>
        <v>134.19999999999999</v>
      </c>
      <c r="F67" s="12">
        <f>E67*B67</f>
        <v>1.1779930094244508</v>
      </c>
      <c r="G67" s="13">
        <f t="shared" si="2"/>
        <v>40.243169637786821</v>
      </c>
      <c r="I67" s="25">
        <v>44781.667361111111</v>
      </c>
      <c r="J67" s="26">
        <v>7.8646514729987498E-3</v>
      </c>
      <c r="K67" s="27">
        <v>28.530895780000002</v>
      </c>
      <c r="L67" s="28">
        <v>7779</v>
      </c>
      <c r="M67" s="29">
        <f t="shared" si="3"/>
        <v>129.65</v>
      </c>
      <c r="N67" s="26">
        <f>M67*J67</f>
        <v>1.0196520634742881</v>
      </c>
      <c r="O67" s="29">
        <f t="shared" si="4"/>
        <v>37.496655980859039</v>
      </c>
      <c r="Q67" s="35">
        <v>45136.666666666664</v>
      </c>
      <c r="R67" s="78">
        <v>2.8544689536798101E-2</v>
      </c>
      <c r="S67" s="77">
        <v>10.529934320000001</v>
      </c>
      <c r="T67" s="36">
        <v>8328</v>
      </c>
      <c r="U67" s="37">
        <f t="shared" si="5"/>
        <v>138.80000000000001</v>
      </c>
      <c r="V67" s="37">
        <f t="shared" ref="V67:V100" si="14">R67*U67</f>
        <v>3.9620029077075767</v>
      </c>
      <c r="W67" s="38">
        <f t="shared" si="6"/>
        <v>72.887401129850275</v>
      </c>
      <c r="Y67" s="45">
        <v>45151.666666666664</v>
      </c>
      <c r="Z67" s="4">
        <v>4.94110435991711E-3</v>
      </c>
      <c r="AA67" s="3">
        <v>0.59425534599999996</v>
      </c>
      <c r="AB67" s="4">
        <v>1160</v>
      </c>
      <c r="AC67" s="46">
        <f t="shared" si="7"/>
        <v>19.333333333333332</v>
      </c>
      <c r="AD67" s="47">
        <f>AC67*Z67</f>
        <v>9.5528017625064118E-2</v>
      </c>
      <c r="AE67" s="50">
        <f t="shared" si="8"/>
        <v>0</v>
      </c>
      <c r="AG67" s="51">
        <v>45166.666666666664</v>
      </c>
      <c r="AH67" s="79">
        <v>1.64349425586818E-2</v>
      </c>
      <c r="AI67" s="80">
        <v>0.89859415399999998</v>
      </c>
      <c r="AJ67" s="52">
        <v>8363</v>
      </c>
      <c r="AK67" s="53">
        <f t="shared" si="9"/>
        <v>139.38333333333333</v>
      </c>
      <c r="AL67" s="79">
        <f>AK67*AH67</f>
        <v>2.2907570769709316</v>
      </c>
      <c r="AM67" s="54">
        <f t="shared" si="12"/>
        <v>55.735939623692062</v>
      </c>
      <c r="AO67" s="67">
        <v>45183.666666666664</v>
      </c>
      <c r="AP67" s="68">
        <v>6.7195709589701405E-2</v>
      </c>
      <c r="AQ67" s="69">
        <v>1.9734137430000001</v>
      </c>
      <c r="AR67" s="69">
        <v>6705</v>
      </c>
      <c r="AS67" s="69">
        <f t="shared" si="10"/>
        <v>111.75</v>
      </c>
      <c r="AT67" s="69">
        <f>AS67*AP67</f>
        <v>7.5091205466491324</v>
      </c>
      <c r="AU67" s="70">
        <f t="shared" si="11"/>
        <v>99.684942648089418</v>
      </c>
    </row>
    <row r="68" spans="1:47" x14ac:dyDescent="0.25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15">D68/60</f>
        <v>151.36666666666667</v>
      </c>
      <c r="F68" s="12">
        <f>E68*B68</f>
        <v>1.3317654792033575</v>
      </c>
      <c r="G68" s="13">
        <f t="shared" ref="G68:G94" si="16">IF(37.141*F68^0.4897&gt;22.6, 37.141*F68^0.4897, 0)</f>
        <v>42.735212073900847</v>
      </c>
      <c r="I68" s="25">
        <v>44781.677777777775</v>
      </c>
      <c r="J68" s="26">
        <v>7.7673222083756502E-3</v>
      </c>
      <c r="K68" s="27">
        <v>25.756546825000001</v>
      </c>
      <c r="L68" s="28">
        <v>6901</v>
      </c>
      <c r="M68" s="29">
        <f t="shared" ref="M68:M99" si="17">L68/60</f>
        <v>115.01666666666667</v>
      </c>
      <c r="N68" s="26">
        <f>M68*J68</f>
        <v>0.89337150933333931</v>
      </c>
      <c r="O68" s="29">
        <f t="shared" ref="O68:O99" si="18">IF(37.141*N68^0.4897&gt;22.6, 37.141*N68^0.4897, 0)</f>
        <v>35.145846764055413</v>
      </c>
      <c r="Q68" s="35">
        <v>45136.677083333336</v>
      </c>
      <c r="R68" s="78">
        <v>1.9428027849175401E-2</v>
      </c>
      <c r="S68" s="77">
        <v>5.509495866</v>
      </c>
      <c r="T68" s="36">
        <v>9064</v>
      </c>
      <c r="U68" s="37">
        <f t="shared" ref="U68:U100" si="19">T68/60</f>
        <v>151.06666666666666</v>
      </c>
      <c r="V68" s="37">
        <f t="shared" si="14"/>
        <v>2.934927407082097</v>
      </c>
      <c r="W68" s="38">
        <f t="shared" ref="W68:W100" si="20">IF(37.141*V68^0.4897&gt;22.6, 37.141*V68^0.4897, 0)</f>
        <v>62.926854263426122</v>
      </c>
      <c r="Y68" s="45">
        <v>45151.677083333336</v>
      </c>
      <c r="Z68" s="4">
        <v>6.99976730464526E-3</v>
      </c>
      <c r="AA68" s="3">
        <v>0.89783227600000004</v>
      </c>
      <c r="AB68" s="4">
        <v>2164</v>
      </c>
      <c r="AC68" s="46">
        <f t="shared" ref="AC68:AC99" si="21">AB68/60</f>
        <v>36.06666666666667</v>
      </c>
      <c r="AD68" s="47">
        <f>AC68*Z68</f>
        <v>0.25245827412087241</v>
      </c>
      <c r="AE68" s="50">
        <f t="shared" ref="AE68:AE99" si="22">IF(37.141*AD68^0.4897&gt;22.6, 37.141*AD68^0.4897, 0)</f>
        <v>0</v>
      </c>
      <c r="AG68" s="51">
        <v>45166.677083333336</v>
      </c>
      <c r="AH68" s="79">
        <v>1.59233748664541E-2</v>
      </c>
      <c r="AI68" s="80">
        <v>0.77321039300000005</v>
      </c>
      <c r="AJ68" s="52">
        <v>7242</v>
      </c>
      <c r="AK68" s="53">
        <f t="shared" ref="AK68:AK99" si="23">AJ68/60</f>
        <v>120.7</v>
      </c>
      <c r="AL68" s="79">
        <f>AK68*AH68</f>
        <v>1.9219513463810098</v>
      </c>
      <c r="AM68" s="54">
        <f t="shared" ref="AM68:AM99" si="24">IF(37.141*AL68^0.4897&gt;22.6, 37.141*AL68^0.4897, 0)</f>
        <v>51.144889047467956</v>
      </c>
      <c r="AO68" s="67">
        <v>45183.677083333336</v>
      </c>
      <c r="AP68" s="68">
        <v>6.8238673667422395E-2</v>
      </c>
      <c r="AQ68" s="69">
        <v>2.8809824239999999</v>
      </c>
      <c r="AR68" s="69">
        <v>5452</v>
      </c>
      <c r="AS68" s="69">
        <f t="shared" ref="AS68:AS99" si="25">AR68/60</f>
        <v>90.86666666666666</v>
      </c>
      <c r="AT68" s="69">
        <f>AS68*AP68</f>
        <v>6.2006208139131145</v>
      </c>
      <c r="AU68" s="70">
        <f t="shared" ref="AU68:AU99" si="26">IF(37.141*AT68^0.4897&gt;22.6, 37.141*AT68^0.4897, 0)</f>
        <v>90.763053303722728</v>
      </c>
    </row>
    <row r="69" spans="1:47" x14ac:dyDescent="0.25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15"/>
        <v>141.36666666666667</v>
      </c>
      <c r="F69" s="12">
        <f>E69*B69</f>
        <v>1.3885452595130416</v>
      </c>
      <c r="G69" s="13">
        <f t="shared" si="16"/>
        <v>43.617949398828969</v>
      </c>
      <c r="I69" s="25">
        <v>44781.688194444447</v>
      </c>
      <c r="J69" s="26">
        <v>7.6001711982110198E-3</v>
      </c>
      <c r="K69" s="27">
        <v>23.474647859999902</v>
      </c>
      <c r="L69" s="28">
        <v>5815</v>
      </c>
      <c r="M69" s="29">
        <f t="shared" si="17"/>
        <v>96.916666666666671</v>
      </c>
      <c r="N69" s="26">
        <f>M69*J69</f>
        <v>0.736583258626618</v>
      </c>
      <c r="O69" s="29">
        <f t="shared" si="18"/>
        <v>31.976588608982734</v>
      </c>
      <c r="Q69" s="35">
        <v>45136.6875</v>
      </c>
      <c r="R69" s="78">
        <v>2.5673292453439599E-2</v>
      </c>
      <c r="S69" s="77">
        <v>9.2095990650000008</v>
      </c>
      <c r="T69" s="36">
        <v>8050</v>
      </c>
      <c r="U69" s="37">
        <f t="shared" si="19"/>
        <v>134.16666666666666</v>
      </c>
      <c r="V69" s="37">
        <f t="shared" si="14"/>
        <v>3.4445000708364795</v>
      </c>
      <c r="W69" s="38">
        <f t="shared" si="20"/>
        <v>68.058800694432833</v>
      </c>
      <c r="Y69" s="45">
        <v>45151.6875</v>
      </c>
      <c r="Z69" s="4">
        <v>2.6837429858589299E-3</v>
      </c>
      <c r="AA69" s="3">
        <v>0.35506608000000001</v>
      </c>
      <c r="AB69" s="4">
        <v>372</v>
      </c>
      <c r="AC69" s="46">
        <f t="shared" si="21"/>
        <v>6.2</v>
      </c>
      <c r="AD69" s="47">
        <f>AC69*Z69</f>
        <v>1.6639206512325366E-2</v>
      </c>
      <c r="AE69" s="50">
        <f t="shared" si="22"/>
        <v>0</v>
      </c>
      <c r="AG69" s="51">
        <v>45166.6875</v>
      </c>
      <c r="AH69" s="79">
        <v>1.52310117770912E-2</v>
      </c>
      <c r="AI69" s="80">
        <v>1.0404225359999999</v>
      </c>
      <c r="AJ69" s="52">
        <v>8474</v>
      </c>
      <c r="AK69" s="53">
        <f t="shared" si="23"/>
        <v>141.23333333333332</v>
      </c>
      <c r="AL69" s="79">
        <f>AK69*AH69</f>
        <v>2.1511265633178467</v>
      </c>
      <c r="AM69" s="54">
        <f t="shared" si="24"/>
        <v>54.04557165756178</v>
      </c>
      <c r="AO69" s="67">
        <v>45183.6875</v>
      </c>
      <c r="AP69" s="68">
        <v>7.4940646797744398E-2</v>
      </c>
      <c r="AQ69" s="69">
        <v>2.8809824239999999</v>
      </c>
      <c r="AR69" s="69">
        <v>6099</v>
      </c>
      <c r="AS69" s="69">
        <f t="shared" si="25"/>
        <v>101.65</v>
      </c>
      <c r="AT69" s="69">
        <f>AS69*AP69</f>
        <v>7.6177167469907188</v>
      </c>
      <c r="AU69" s="70">
        <f t="shared" si="26"/>
        <v>100.38832478554443</v>
      </c>
    </row>
    <row r="70" spans="1:47" x14ac:dyDescent="0.25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15"/>
        <v>137.53333333333333</v>
      </c>
      <c r="F70" s="12">
        <f>E70*B70</f>
        <v>1.1593722717000319</v>
      </c>
      <c r="G70" s="13">
        <f t="shared" si="16"/>
        <v>39.930389944927285</v>
      </c>
      <c r="I70" s="25">
        <v>44781.698611111111</v>
      </c>
      <c r="J70" s="26">
        <v>7.3233148896358902E-3</v>
      </c>
      <c r="K70" s="27">
        <v>20.642438585000001</v>
      </c>
      <c r="L70" s="28">
        <v>5349</v>
      </c>
      <c r="M70" s="29">
        <f t="shared" si="17"/>
        <v>89.15</v>
      </c>
      <c r="N70" s="26">
        <f>M70*J70</f>
        <v>0.65287352241103969</v>
      </c>
      <c r="O70" s="29">
        <f t="shared" si="18"/>
        <v>30.14223013829745</v>
      </c>
      <c r="Q70" s="35">
        <v>45136.688888888886</v>
      </c>
      <c r="R70" s="78">
        <v>2.6726720837802701E-2</v>
      </c>
      <c r="S70" s="77">
        <v>6.5397134279999998</v>
      </c>
      <c r="T70" s="36">
        <v>8302</v>
      </c>
      <c r="U70" s="37">
        <f t="shared" si="19"/>
        <v>138.36666666666667</v>
      </c>
      <c r="V70" s="37">
        <f t="shared" si="14"/>
        <v>3.6980872732573005</v>
      </c>
      <c r="W70" s="38">
        <f t="shared" si="20"/>
        <v>70.468009795221292</v>
      </c>
      <c r="Y70" s="45">
        <v>45151.697916666664</v>
      </c>
      <c r="Z70" s="4">
        <v>5.4941946201569301E-3</v>
      </c>
      <c r="AA70" s="3">
        <v>0.59425534599999996</v>
      </c>
      <c r="AB70" s="4">
        <v>1059</v>
      </c>
      <c r="AC70" s="46">
        <f t="shared" si="21"/>
        <v>17.649999999999999</v>
      </c>
      <c r="AD70" s="47">
        <f>AC70*Z70</f>
        <v>9.6972535045769803E-2</v>
      </c>
      <c r="AE70" s="50">
        <f t="shared" si="22"/>
        <v>0</v>
      </c>
      <c r="AG70" s="51">
        <v>45166.697916666664</v>
      </c>
      <c r="AH70" s="79">
        <v>1.5422890021263101E-2</v>
      </c>
      <c r="AI70" s="80">
        <v>0.89859415399999998</v>
      </c>
      <c r="AJ70" s="52">
        <v>8087</v>
      </c>
      <c r="AK70" s="53">
        <f t="shared" si="23"/>
        <v>134.78333333333333</v>
      </c>
      <c r="AL70" s="79">
        <f>AK70*AH70</f>
        <v>2.0787485266992447</v>
      </c>
      <c r="AM70" s="54">
        <f t="shared" si="24"/>
        <v>53.147300424444779</v>
      </c>
      <c r="AO70" s="67">
        <v>45183.697916666664</v>
      </c>
      <c r="AP70" s="68">
        <v>6.5013474225098206E-2</v>
      </c>
      <c r="AQ70" s="69">
        <v>2.5469425430000001</v>
      </c>
      <c r="AR70" s="69">
        <v>6098</v>
      </c>
      <c r="AS70" s="69">
        <f t="shared" si="25"/>
        <v>101.63333333333334</v>
      </c>
      <c r="AT70" s="69">
        <f>AS70*AP70</f>
        <v>6.6075360970774817</v>
      </c>
      <c r="AU70" s="70">
        <f t="shared" si="26"/>
        <v>93.632572938006859</v>
      </c>
    </row>
    <row r="71" spans="1:47" x14ac:dyDescent="0.25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15"/>
        <v>130.56666666666666</v>
      </c>
      <c r="F71" s="12">
        <f>E71*B71</f>
        <v>1.2900142723560228</v>
      </c>
      <c r="G71" s="13">
        <f t="shared" si="16"/>
        <v>42.07379889809004</v>
      </c>
      <c r="I71" s="25">
        <v>44781.709027777775</v>
      </c>
      <c r="J71" s="26">
        <v>6.1617735079587798E-3</v>
      </c>
      <c r="K71" s="27">
        <v>18.24147606</v>
      </c>
      <c r="L71" s="28">
        <v>5553</v>
      </c>
      <c r="M71" s="29">
        <f t="shared" si="17"/>
        <v>92.55</v>
      </c>
      <c r="N71" s="26">
        <f>M71*J71</f>
        <v>0.57027213816158506</v>
      </c>
      <c r="O71" s="29">
        <f t="shared" si="18"/>
        <v>28.210255746906032</v>
      </c>
      <c r="Q71" s="35">
        <v>45136.697916666664</v>
      </c>
      <c r="R71" s="78">
        <v>2.1513581248433E-2</v>
      </c>
      <c r="S71" s="77">
        <v>3.8698277910000001</v>
      </c>
      <c r="T71" s="36">
        <v>8644</v>
      </c>
      <c r="U71" s="37">
        <f t="shared" si="19"/>
        <v>144.06666666666666</v>
      </c>
      <c r="V71" s="37">
        <f t="shared" si="14"/>
        <v>3.0993899385242476</v>
      </c>
      <c r="W71" s="38">
        <f t="shared" si="20"/>
        <v>64.629613249745333</v>
      </c>
      <c r="Y71" s="45">
        <v>45151.708333333336</v>
      </c>
      <c r="Z71" s="4">
        <v>4.1557140244339302E-3</v>
      </c>
      <c r="AA71" s="3">
        <v>0.50323377899999999</v>
      </c>
      <c r="AB71" s="4">
        <v>885</v>
      </c>
      <c r="AC71" s="46">
        <f t="shared" si="21"/>
        <v>14.75</v>
      </c>
      <c r="AD71" s="47">
        <f>AC71*Z71</f>
        <v>6.1296781860400468E-2</v>
      </c>
      <c r="AE71" s="50">
        <f t="shared" si="22"/>
        <v>0</v>
      </c>
      <c r="AG71" s="51">
        <v>45166.708333333336</v>
      </c>
      <c r="AH71" s="79">
        <v>1.49611079546882E-2</v>
      </c>
      <c r="AI71" s="80">
        <v>0.89859415399999998</v>
      </c>
      <c r="AJ71" s="52">
        <v>7497</v>
      </c>
      <c r="AK71" s="53">
        <f t="shared" si="23"/>
        <v>124.95</v>
      </c>
      <c r="AL71" s="79">
        <f>AK71*AH71</f>
        <v>1.8693904389382905</v>
      </c>
      <c r="AM71" s="54">
        <f t="shared" si="24"/>
        <v>50.455102302710593</v>
      </c>
      <c r="AO71" s="67">
        <v>45183.708333333336</v>
      </c>
      <c r="AP71" s="68">
        <v>8.5050969626217596E-2</v>
      </c>
      <c r="AQ71" s="69">
        <v>3.3680623299999999</v>
      </c>
      <c r="AR71" s="69">
        <v>5638</v>
      </c>
      <c r="AS71" s="69">
        <f t="shared" si="25"/>
        <v>93.966666666666669</v>
      </c>
      <c r="AT71" s="69">
        <f>AS71*AP71</f>
        <v>7.9919561125435798</v>
      </c>
      <c r="AU71" s="70">
        <f t="shared" si="26"/>
        <v>102.77389380944318</v>
      </c>
    </row>
    <row r="72" spans="1:47" x14ac:dyDescent="0.25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15"/>
        <v>124.66666666666667</v>
      </c>
      <c r="F72" s="12">
        <f>E72*B72</f>
        <v>1.0177966280449335</v>
      </c>
      <c r="G72" s="13">
        <f t="shared" si="16"/>
        <v>37.463227375233117</v>
      </c>
      <c r="I72" s="25">
        <v>44781.719444444447</v>
      </c>
      <c r="J72" s="26">
        <v>7.2152247402473097E-3</v>
      </c>
      <c r="K72" s="27">
        <v>17.286459975</v>
      </c>
      <c r="L72" s="28">
        <v>4655</v>
      </c>
      <c r="M72" s="29">
        <f t="shared" si="17"/>
        <v>77.583333333333329</v>
      </c>
      <c r="N72" s="26">
        <f>M72*J72</f>
        <v>0.55978118609752037</v>
      </c>
      <c r="O72" s="29">
        <f t="shared" si="18"/>
        <v>27.954913528904317</v>
      </c>
      <c r="Q72" s="35">
        <v>45136.708333333336</v>
      </c>
      <c r="R72" s="78">
        <v>2.2984200564068399E-2</v>
      </c>
      <c r="S72" s="77">
        <v>5.509495866</v>
      </c>
      <c r="T72" s="36">
        <v>8677</v>
      </c>
      <c r="U72" s="37">
        <f t="shared" si="19"/>
        <v>144.61666666666667</v>
      </c>
      <c r="V72" s="37">
        <f t="shared" si="14"/>
        <v>3.3238984715736919</v>
      </c>
      <c r="W72" s="38">
        <f t="shared" si="20"/>
        <v>66.88126761185822</v>
      </c>
      <c r="Y72" s="45">
        <v>45151.71875</v>
      </c>
      <c r="Z72" s="4">
        <v>5.4673449337777997E-3</v>
      </c>
      <c r="AA72" s="3">
        <v>0.475692385</v>
      </c>
      <c r="AB72" s="4">
        <v>770</v>
      </c>
      <c r="AC72" s="46">
        <f t="shared" si="21"/>
        <v>12.833333333333334</v>
      </c>
      <c r="AD72" s="47">
        <f>AC72*Z72</f>
        <v>7.0164259983481761E-2</v>
      </c>
      <c r="AE72" s="50">
        <f t="shared" si="22"/>
        <v>0</v>
      </c>
      <c r="AG72" s="51">
        <v>45166.71875</v>
      </c>
      <c r="AH72" s="79">
        <v>1.70532985817674E-2</v>
      </c>
      <c r="AI72" s="80">
        <v>0.81307424100000003</v>
      </c>
      <c r="AJ72" s="52">
        <v>7312</v>
      </c>
      <c r="AK72" s="53">
        <f t="shared" si="23"/>
        <v>121.86666666666666</v>
      </c>
      <c r="AL72" s="79">
        <f>AK72*AH72</f>
        <v>2.078228653831387</v>
      </c>
      <c r="AM72" s="54">
        <f t="shared" si="24"/>
        <v>53.140791125360266</v>
      </c>
      <c r="AO72" s="67">
        <v>45183.71875</v>
      </c>
      <c r="AP72" s="68">
        <v>6.3625838451932107E-2</v>
      </c>
      <c r="AQ72" s="69">
        <v>2.8809824239999999</v>
      </c>
      <c r="AR72" s="69">
        <v>5747</v>
      </c>
      <c r="AS72" s="69">
        <f t="shared" si="25"/>
        <v>95.783333333333331</v>
      </c>
      <c r="AT72" s="69">
        <f>AS72*AP72</f>
        <v>6.0942948930542302</v>
      </c>
      <c r="AU72" s="70">
        <f t="shared" si="26"/>
        <v>89.997534827079306</v>
      </c>
    </row>
    <row r="73" spans="1:47" x14ac:dyDescent="0.25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15"/>
        <v>104.61666666666666</v>
      </c>
      <c r="F73" s="12">
        <f>E73*B73</f>
        <v>0.74518247860970277</v>
      </c>
      <c r="G73" s="13">
        <f t="shared" si="16"/>
        <v>32.15885703275017</v>
      </c>
      <c r="I73" s="25">
        <v>44781.729861111111</v>
      </c>
      <c r="J73" s="26">
        <v>6.8176205305925004E-3</v>
      </c>
      <c r="K73" s="27">
        <v>16.382398909999999</v>
      </c>
      <c r="L73" s="28">
        <v>4307</v>
      </c>
      <c r="M73" s="29">
        <f t="shared" si="17"/>
        <v>71.783333333333331</v>
      </c>
      <c r="N73" s="26">
        <f>M73*J73</f>
        <v>0.48939152708769829</v>
      </c>
      <c r="O73" s="29">
        <f t="shared" si="18"/>
        <v>26.174497591542213</v>
      </c>
      <c r="Q73" s="35">
        <v>45136.71875</v>
      </c>
      <c r="R73" s="78">
        <v>1.6923136599373102E-2</v>
      </c>
      <c r="S73" s="77">
        <v>2.6539428329999999</v>
      </c>
      <c r="T73" s="36">
        <v>8014</v>
      </c>
      <c r="U73" s="37">
        <f t="shared" si="19"/>
        <v>133.56666666666666</v>
      </c>
      <c r="V73" s="37">
        <f t="shared" si="14"/>
        <v>2.260366945122934</v>
      </c>
      <c r="W73" s="38">
        <f t="shared" si="20"/>
        <v>55.372613673813277</v>
      </c>
      <c r="Y73" s="45">
        <v>45151.729166666664</v>
      </c>
      <c r="Z73" s="4">
        <v>6.1306569138339104E-3</v>
      </c>
      <c r="AA73" s="3">
        <v>0.562700329</v>
      </c>
      <c r="AB73" s="4">
        <v>1029</v>
      </c>
      <c r="AC73" s="46">
        <f t="shared" si="21"/>
        <v>17.149999999999999</v>
      </c>
      <c r="AD73" s="47">
        <f>AC73*Z73</f>
        <v>0.10514076607225155</v>
      </c>
      <c r="AE73" s="50">
        <f t="shared" si="22"/>
        <v>0</v>
      </c>
      <c r="AG73" s="51">
        <v>45166.729166666664</v>
      </c>
      <c r="AH73" s="79">
        <v>1.02034134920281E-2</v>
      </c>
      <c r="AI73" s="80">
        <v>0.66228851600000005</v>
      </c>
      <c r="AJ73" s="52">
        <v>4886</v>
      </c>
      <c r="AK73" s="53">
        <f t="shared" si="23"/>
        <v>81.433333333333337</v>
      </c>
      <c r="AL73" s="79">
        <f>AK73*AH73</f>
        <v>0.83089797203415505</v>
      </c>
      <c r="AM73" s="54">
        <f t="shared" si="24"/>
        <v>33.92002009615323</v>
      </c>
      <c r="AO73" s="67">
        <v>45183.729166666664</v>
      </c>
      <c r="AP73" s="68">
        <v>6.9442093168578994E-2</v>
      </c>
      <c r="AQ73" s="69">
        <v>2.7664001109999998</v>
      </c>
      <c r="AR73" s="69">
        <v>5812</v>
      </c>
      <c r="AS73" s="69">
        <f t="shared" si="25"/>
        <v>96.86666666666666</v>
      </c>
      <c r="AT73" s="69">
        <f>AS73*AP73</f>
        <v>6.7266240915963511</v>
      </c>
      <c r="AU73" s="70">
        <f t="shared" si="26"/>
        <v>94.455197655142982</v>
      </c>
    </row>
    <row r="74" spans="1:47" x14ac:dyDescent="0.25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15"/>
        <v>85.583333333333329</v>
      </c>
      <c r="F74" s="12">
        <f>E74*B74</f>
        <v>0.65617966650023729</v>
      </c>
      <c r="G74" s="13">
        <f t="shared" si="16"/>
        <v>30.216881568047896</v>
      </c>
      <c r="I74" s="25">
        <v>44781.740277777775</v>
      </c>
      <c r="J74" s="26">
        <v>6.6452975888246502E-3</v>
      </c>
      <c r="K74" s="27">
        <v>14.39848273</v>
      </c>
      <c r="L74" s="28">
        <v>4747</v>
      </c>
      <c r="M74" s="29">
        <f t="shared" si="17"/>
        <v>79.11666666666666</v>
      </c>
      <c r="N74" s="26">
        <f>M74*J74</f>
        <v>0.52575379423584356</v>
      </c>
      <c r="O74" s="29">
        <f t="shared" si="18"/>
        <v>27.109452181307351</v>
      </c>
      <c r="Q74" s="35">
        <v>45136.729166666664</v>
      </c>
      <c r="R74" s="78">
        <v>1.6200247520624302E-2</v>
      </c>
      <c r="S74" s="77">
        <v>2.8809824239999999</v>
      </c>
      <c r="T74" s="36">
        <v>7982</v>
      </c>
      <c r="U74" s="37">
        <f t="shared" si="19"/>
        <v>133.03333333333333</v>
      </c>
      <c r="V74" s="37">
        <f t="shared" si="14"/>
        <v>2.1551729284937196</v>
      </c>
      <c r="W74" s="38">
        <f t="shared" si="20"/>
        <v>54.095331733934266</v>
      </c>
      <c r="Y74" s="45">
        <v>45151.739583333336</v>
      </c>
      <c r="Z74" s="4">
        <v>4.85294001937341E-3</v>
      </c>
      <c r="AA74" s="3">
        <v>0.77321039300000005</v>
      </c>
      <c r="AB74" s="4">
        <v>1573</v>
      </c>
      <c r="AC74" s="46">
        <f t="shared" si="21"/>
        <v>26.216666666666665</v>
      </c>
      <c r="AD74" s="47">
        <f>AC74*Z74</f>
        <v>0.12722791084123955</v>
      </c>
      <c r="AE74" s="50">
        <f t="shared" si="22"/>
        <v>0</v>
      </c>
      <c r="AG74" s="51">
        <v>45166.739583333336</v>
      </c>
      <c r="AH74" s="79">
        <v>1.09171316657087E-2</v>
      </c>
      <c r="AI74" s="80">
        <v>0.69769667099999999</v>
      </c>
      <c r="AJ74" s="52">
        <v>5412</v>
      </c>
      <c r="AK74" s="53">
        <f t="shared" si="23"/>
        <v>90.2</v>
      </c>
      <c r="AL74" s="79">
        <f>AK74*AH74</f>
        <v>0.98472527624692474</v>
      </c>
      <c r="AM74" s="54">
        <f t="shared" si="24"/>
        <v>36.862092971941742</v>
      </c>
      <c r="AO74" s="67">
        <v>45183.739583333336</v>
      </c>
      <c r="AP74" s="68">
        <v>9.73095488612086E-2</v>
      </c>
      <c r="AQ74" s="69">
        <v>3.8698277910000001</v>
      </c>
      <c r="AR74" s="69">
        <v>5203</v>
      </c>
      <c r="AS74" s="69">
        <f t="shared" si="25"/>
        <v>86.716666666666669</v>
      </c>
      <c r="AT74" s="69">
        <f>AS74*AP74</f>
        <v>8.4383597120811391</v>
      </c>
      <c r="AU74" s="70">
        <f t="shared" si="26"/>
        <v>105.54609071255388</v>
      </c>
    </row>
    <row r="75" spans="1:47" x14ac:dyDescent="0.25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15"/>
        <v>69.783333333333331</v>
      </c>
      <c r="F75" s="12">
        <f>E75*B75</f>
        <v>0.45579957213297989</v>
      </c>
      <c r="G75" s="13">
        <f t="shared" si="16"/>
        <v>25.2787257337237</v>
      </c>
      <c r="I75" s="25">
        <v>44781.750694444447</v>
      </c>
      <c r="J75" s="26">
        <v>7.1871778166483196E-3</v>
      </c>
      <c r="K75" s="27">
        <v>15.218093735</v>
      </c>
      <c r="L75" s="28">
        <v>5298</v>
      </c>
      <c r="M75" s="29">
        <f t="shared" si="17"/>
        <v>88.3</v>
      </c>
      <c r="N75" s="26">
        <f>M75*J75</f>
        <v>0.63462780121004658</v>
      </c>
      <c r="O75" s="29">
        <f t="shared" si="18"/>
        <v>29.726733706097683</v>
      </c>
      <c r="Q75" s="35">
        <v>45136.739583333336</v>
      </c>
      <c r="R75" s="78">
        <v>1.4098258677324799E-2</v>
      </c>
      <c r="S75" s="77">
        <v>2.6558198119999998</v>
      </c>
      <c r="T75" s="36">
        <v>8011</v>
      </c>
      <c r="U75" s="37">
        <f t="shared" si="19"/>
        <v>133.51666666666668</v>
      </c>
      <c r="V75" s="37">
        <f t="shared" si="14"/>
        <v>1.8823525044008163</v>
      </c>
      <c r="W75" s="38">
        <f t="shared" si="20"/>
        <v>50.626120782656123</v>
      </c>
      <c r="Y75" s="45">
        <v>45151.75</v>
      </c>
      <c r="Z75" s="4">
        <v>4.9686764790561402E-3</v>
      </c>
      <c r="AA75" s="3">
        <v>0.59425534599999996</v>
      </c>
      <c r="AB75" s="4">
        <v>1135</v>
      </c>
      <c r="AC75" s="46">
        <f t="shared" si="21"/>
        <v>18.916666666666668</v>
      </c>
      <c r="AD75" s="47">
        <f>AC75*Z75</f>
        <v>9.3990796728811998E-2</v>
      </c>
      <c r="AE75" s="50">
        <f t="shared" si="22"/>
        <v>0</v>
      </c>
      <c r="AG75" s="51">
        <v>45166.75</v>
      </c>
      <c r="AH75" s="79">
        <v>1.0954063122563499E-2</v>
      </c>
      <c r="AI75" s="80">
        <v>0.59425534599999996</v>
      </c>
      <c r="AJ75" s="52">
        <v>4707</v>
      </c>
      <c r="AK75" s="53">
        <f t="shared" si="23"/>
        <v>78.45</v>
      </c>
      <c r="AL75" s="79">
        <f>AK75*AH75</f>
        <v>0.8593462519651065</v>
      </c>
      <c r="AM75" s="54">
        <f t="shared" si="24"/>
        <v>34.483850526131711</v>
      </c>
      <c r="AO75" s="67">
        <v>45183.75</v>
      </c>
      <c r="AP75" s="68">
        <v>0.12148791730821901</v>
      </c>
      <c r="AQ75" s="69">
        <v>6.6940258559999997</v>
      </c>
      <c r="AR75" s="69">
        <v>4652</v>
      </c>
      <c r="AS75" s="69">
        <f t="shared" si="25"/>
        <v>77.533333333333331</v>
      </c>
      <c r="AT75" s="69">
        <f>AS75*AP75</f>
        <v>9.4193631886305802</v>
      </c>
      <c r="AU75" s="70">
        <f t="shared" si="26"/>
        <v>111.38634211146521</v>
      </c>
    </row>
    <row r="76" spans="1:47" x14ac:dyDescent="0.25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15"/>
        <v>56.35</v>
      </c>
      <c r="F76" s="12">
        <f>E76*B76</f>
        <v>0.40091021067984606</v>
      </c>
      <c r="G76" s="13">
        <f t="shared" si="16"/>
        <v>23.739182874624156</v>
      </c>
      <c r="I76" s="25">
        <v>44781.761111111111</v>
      </c>
      <c r="J76" s="26">
        <v>6.6272216752253097E-3</v>
      </c>
      <c r="K76" s="27">
        <v>13.768905965</v>
      </c>
      <c r="L76" s="28">
        <v>5207</v>
      </c>
      <c r="M76" s="29">
        <f t="shared" si="17"/>
        <v>86.783333333333331</v>
      </c>
      <c r="N76" s="26">
        <f>M76*J76</f>
        <v>0.57513238771496977</v>
      </c>
      <c r="O76" s="29">
        <f t="shared" si="18"/>
        <v>28.327737969171352</v>
      </c>
      <c r="Q76" s="35">
        <v>45136.75</v>
      </c>
      <c r="R76" s="78">
        <v>1.50958119915185E-2</v>
      </c>
      <c r="S76" s="77">
        <v>2.6558198119999998</v>
      </c>
      <c r="T76" s="36">
        <v>7465</v>
      </c>
      <c r="U76" s="37">
        <f t="shared" si="19"/>
        <v>124.41666666666667</v>
      </c>
      <c r="V76" s="37">
        <f t="shared" si="14"/>
        <v>1.8781706086114267</v>
      </c>
      <c r="W76" s="38">
        <f t="shared" si="20"/>
        <v>50.571011673526229</v>
      </c>
      <c r="Y76" s="45">
        <v>45151.760416666664</v>
      </c>
      <c r="Z76" s="4">
        <v>5.2549597770071904E-3</v>
      </c>
      <c r="AA76" s="3">
        <v>0.69769667099999999</v>
      </c>
      <c r="AB76" s="4">
        <v>1257</v>
      </c>
      <c r="AC76" s="46">
        <f t="shared" si="21"/>
        <v>20.95</v>
      </c>
      <c r="AD76" s="47">
        <f>AC76*Z76</f>
        <v>0.11009140732830064</v>
      </c>
      <c r="AE76" s="50">
        <f t="shared" si="22"/>
        <v>0</v>
      </c>
      <c r="AG76" s="51">
        <v>45166.760416666664</v>
      </c>
      <c r="AH76" s="79">
        <v>1.3575714997825099E-2</v>
      </c>
      <c r="AI76" s="80">
        <v>0.69769667099999999</v>
      </c>
      <c r="AJ76" s="52">
        <v>5617</v>
      </c>
      <c r="AK76" s="53">
        <f t="shared" si="23"/>
        <v>93.61666666666666</v>
      </c>
      <c r="AL76" s="79">
        <f>AK76*AH76</f>
        <v>1.2709131857130596</v>
      </c>
      <c r="AM76" s="54">
        <f t="shared" si="24"/>
        <v>41.767563527184244</v>
      </c>
      <c r="AO76" s="67">
        <v>45183.760416666664</v>
      </c>
      <c r="AP76" s="68">
        <v>7.0039998255896102E-2</v>
      </c>
      <c r="AQ76" s="69">
        <v>2.6558198119999998</v>
      </c>
      <c r="AR76" s="69">
        <v>5802</v>
      </c>
      <c r="AS76" s="69">
        <f t="shared" si="25"/>
        <v>96.7</v>
      </c>
      <c r="AT76" s="69">
        <f>AS76*AP76</f>
        <v>6.7728678313451534</v>
      </c>
      <c r="AU76" s="70">
        <f t="shared" si="26"/>
        <v>94.772630546827756</v>
      </c>
    </row>
    <row r="77" spans="1:47" x14ac:dyDescent="0.25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15"/>
        <v>45.483333333333334</v>
      </c>
      <c r="F77" s="12">
        <f>E77*B77</f>
        <v>0.30577115356829154</v>
      </c>
      <c r="G77" s="13">
        <f t="shared" si="16"/>
        <v>0</v>
      </c>
      <c r="I77" s="25">
        <v>44781.771527777775</v>
      </c>
      <c r="J77" s="26">
        <v>7.1315589399115996E-3</v>
      </c>
      <c r="K77" s="27">
        <v>10.713533245000001</v>
      </c>
      <c r="L77" s="28">
        <v>3390</v>
      </c>
      <c r="M77" s="29">
        <f t="shared" si="17"/>
        <v>56.5</v>
      </c>
      <c r="N77" s="26">
        <f>M77*J77</f>
        <v>0.40293308010500539</v>
      </c>
      <c r="O77" s="29">
        <f t="shared" si="18"/>
        <v>23.797764112710826</v>
      </c>
      <c r="Q77" s="35">
        <v>45136.760416666664</v>
      </c>
      <c r="R77" s="78">
        <v>1.29994040158092E-2</v>
      </c>
      <c r="S77" s="77">
        <v>2.0619739560000001</v>
      </c>
      <c r="T77" s="36">
        <v>6561</v>
      </c>
      <c r="U77" s="37">
        <f t="shared" si="19"/>
        <v>109.35</v>
      </c>
      <c r="V77" s="37">
        <f t="shared" si="14"/>
        <v>1.4214848291287361</v>
      </c>
      <c r="W77" s="38">
        <f t="shared" si="20"/>
        <v>44.121621251906596</v>
      </c>
      <c r="Y77" s="45">
        <v>45151.770833333336</v>
      </c>
      <c r="Z77" s="4">
        <v>1.20267098061293E-2</v>
      </c>
      <c r="AA77" s="3">
        <v>0.59425534599999996</v>
      </c>
      <c r="AB77" s="4">
        <v>4902</v>
      </c>
      <c r="AC77" s="46">
        <f t="shared" si="21"/>
        <v>81.7</v>
      </c>
      <c r="AD77" s="47">
        <f>AC77*Z77</f>
        <v>0.98258219116076384</v>
      </c>
      <c r="AE77" s="50">
        <f t="shared" si="22"/>
        <v>36.822785439690144</v>
      </c>
      <c r="AG77" s="51">
        <v>45166.770833333336</v>
      </c>
      <c r="AH77" s="79">
        <v>1.55340760841929E-2</v>
      </c>
      <c r="AI77" s="80">
        <v>0.81307424100000003</v>
      </c>
      <c r="AJ77" s="52">
        <v>6158</v>
      </c>
      <c r="AK77" s="53">
        <f t="shared" si="23"/>
        <v>102.63333333333334</v>
      </c>
      <c r="AL77" s="79">
        <f>AK77*AH77</f>
        <v>1.5943140087743315</v>
      </c>
      <c r="AM77" s="54">
        <f t="shared" si="24"/>
        <v>46.671742210542483</v>
      </c>
      <c r="AO77" s="67">
        <v>45183.770833333336</v>
      </c>
      <c r="AP77" s="68">
        <v>6.18691893714143E-2</v>
      </c>
      <c r="AQ77" s="69">
        <v>2.247064306</v>
      </c>
      <c r="AR77" s="69">
        <v>6293</v>
      </c>
      <c r="AS77" s="69">
        <f t="shared" si="25"/>
        <v>104.88333333333334</v>
      </c>
      <c r="AT77" s="69">
        <f>AS77*AP77</f>
        <v>6.4890468119051699</v>
      </c>
      <c r="AU77" s="70">
        <f t="shared" si="26"/>
        <v>92.806540268983241</v>
      </c>
    </row>
    <row r="78" spans="1:47" x14ac:dyDescent="0.25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15"/>
        <v>41.56666666666667</v>
      </c>
      <c r="F78" s="12">
        <f>E78*B78</f>
        <v>0.20109340607214066</v>
      </c>
      <c r="G78" s="13">
        <f t="shared" si="16"/>
        <v>0</v>
      </c>
      <c r="I78" s="25">
        <v>44781.781944444447</v>
      </c>
      <c r="J78" s="26">
        <v>5.71562118563865E-3</v>
      </c>
      <c r="K78" s="27">
        <v>10.73823973</v>
      </c>
      <c r="L78" s="28">
        <v>3233</v>
      </c>
      <c r="M78" s="29">
        <f t="shared" si="17"/>
        <v>53.883333333333333</v>
      </c>
      <c r="N78" s="26">
        <f>M78*J78</f>
        <v>0.30797672155282924</v>
      </c>
      <c r="O78" s="29">
        <f t="shared" si="18"/>
        <v>0</v>
      </c>
      <c r="Q78" s="35">
        <v>45136.770833333336</v>
      </c>
      <c r="R78" s="78">
        <v>1.41961564302592E-2</v>
      </c>
      <c r="S78" s="77">
        <v>2.3436582540000002</v>
      </c>
      <c r="T78" s="36">
        <v>6999</v>
      </c>
      <c r="U78" s="37">
        <f t="shared" si="19"/>
        <v>116.65</v>
      </c>
      <c r="V78" s="37">
        <f t="shared" si="14"/>
        <v>1.6559816475897358</v>
      </c>
      <c r="W78" s="38">
        <f t="shared" si="20"/>
        <v>47.547214629001694</v>
      </c>
      <c r="Y78" s="45">
        <v>45151.78125</v>
      </c>
      <c r="Z78" s="4">
        <v>1.1325554905865299E-2</v>
      </c>
      <c r="AA78" s="3">
        <v>2.7664001109999998</v>
      </c>
      <c r="AB78" s="4">
        <v>6670</v>
      </c>
      <c r="AC78" s="46">
        <f t="shared" si="21"/>
        <v>111.16666666666667</v>
      </c>
      <c r="AD78" s="47">
        <f>AC78*Z78</f>
        <v>1.2590241870353591</v>
      </c>
      <c r="AE78" s="50">
        <f t="shared" si="22"/>
        <v>41.575767813015752</v>
      </c>
      <c r="AG78" s="51">
        <v>45166.78125</v>
      </c>
      <c r="AH78" s="79">
        <v>1.19831947919809E-2</v>
      </c>
      <c r="AI78" s="80">
        <v>0.69769667099999999</v>
      </c>
      <c r="AJ78" s="52">
        <v>5711</v>
      </c>
      <c r="AK78" s="53">
        <f t="shared" si="23"/>
        <v>95.183333333333337</v>
      </c>
      <c r="AL78" s="79">
        <f>AK78*AH78</f>
        <v>1.140600424283382</v>
      </c>
      <c r="AM78" s="54">
        <f t="shared" si="24"/>
        <v>39.612466210306977</v>
      </c>
      <c r="AO78" s="67">
        <v>45183.78125</v>
      </c>
      <c r="AP78" s="68">
        <v>6.0709785559574299E-2</v>
      </c>
      <c r="AQ78" s="69">
        <v>2.3436582540000002</v>
      </c>
      <c r="AR78" s="69">
        <v>6218</v>
      </c>
      <c r="AS78" s="69">
        <f t="shared" si="25"/>
        <v>103.63333333333334</v>
      </c>
      <c r="AT78" s="69">
        <f>AS78*AP78</f>
        <v>6.2915574434905501</v>
      </c>
      <c r="AU78" s="70">
        <f t="shared" si="26"/>
        <v>91.412474790851846</v>
      </c>
    </row>
    <row r="79" spans="1:47" x14ac:dyDescent="0.25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15"/>
        <v>41.083333333333336</v>
      </c>
      <c r="F79" s="12">
        <f>E79*B79</f>
        <v>0.20240044900171872</v>
      </c>
      <c r="G79" s="13">
        <f t="shared" si="16"/>
        <v>0</v>
      </c>
      <c r="I79" s="25">
        <v>44781.792361111111</v>
      </c>
      <c r="J79" s="26">
        <v>5.7347840315271903E-3</v>
      </c>
      <c r="K79" s="27">
        <v>9.41508928649999</v>
      </c>
      <c r="L79" s="28">
        <v>2405</v>
      </c>
      <c r="M79" s="29">
        <f t="shared" si="17"/>
        <v>40.083333333333336</v>
      </c>
      <c r="N79" s="26">
        <f>M79*J79</f>
        <v>0.22986925993038157</v>
      </c>
      <c r="O79" s="29">
        <f t="shared" si="18"/>
        <v>0</v>
      </c>
      <c r="Q79" s="35">
        <v>45136.78125</v>
      </c>
      <c r="R79" s="78">
        <v>1.2127009560730199E-2</v>
      </c>
      <c r="S79" s="77">
        <v>2.0619739560000001</v>
      </c>
      <c r="T79" s="36">
        <v>6538</v>
      </c>
      <c r="U79" s="37">
        <f t="shared" si="19"/>
        <v>108.96666666666667</v>
      </c>
      <c r="V79" s="37">
        <f t="shared" si="14"/>
        <v>1.3214398084675674</v>
      </c>
      <c r="W79" s="38">
        <f t="shared" si="20"/>
        <v>42.572631686625165</v>
      </c>
      <c r="Y79" s="45">
        <v>45151.791666666664</v>
      </c>
      <c r="Z79" s="4">
        <v>9.3017912165181404E-3</v>
      </c>
      <c r="AA79" s="3">
        <v>2.6539428329999999</v>
      </c>
      <c r="AB79" s="4">
        <v>5421</v>
      </c>
      <c r="AC79" s="46">
        <f t="shared" si="21"/>
        <v>90.35</v>
      </c>
      <c r="AD79" s="47">
        <f>AC79*Z79</f>
        <v>0.84041683641241394</v>
      </c>
      <c r="AE79" s="50">
        <f t="shared" si="22"/>
        <v>34.109760413043801</v>
      </c>
      <c r="AG79" s="51">
        <v>45166.791666666664</v>
      </c>
      <c r="AH79" s="79">
        <v>1.53530311490996E-2</v>
      </c>
      <c r="AI79" s="80">
        <v>0.69769667099999999</v>
      </c>
      <c r="AJ79" s="52">
        <v>5798</v>
      </c>
      <c r="AK79" s="53">
        <f t="shared" si="23"/>
        <v>96.63333333333334</v>
      </c>
      <c r="AL79" s="79">
        <f>AK79*AH79</f>
        <v>1.4836145767079916</v>
      </c>
      <c r="AM79" s="54">
        <f t="shared" si="24"/>
        <v>45.055678199723602</v>
      </c>
      <c r="AO79" s="67">
        <v>45183.791666666664</v>
      </c>
      <c r="AP79" s="68">
        <v>5.1910935948964503E-2</v>
      </c>
      <c r="AQ79" s="69">
        <v>2.247064306</v>
      </c>
      <c r="AR79" s="69">
        <v>6711</v>
      </c>
      <c r="AS79" s="69">
        <f t="shared" si="25"/>
        <v>111.85</v>
      </c>
      <c r="AT79" s="69">
        <f>AS79*AP79</f>
        <v>5.8062381858916794</v>
      </c>
      <c r="AU79" s="70">
        <f t="shared" si="26"/>
        <v>87.888671447756025</v>
      </c>
    </row>
    <row r="80" spans="1:47" x14ac:dyDescent="0.25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15"/>
        <v>37.85</v>
      </c>
      <c r="F80" s="12">
        <f>E80*B80</f>
        <v>0.18947121633143948</v>
      </c>
      <c r="G80" s="13">
        <f t="shared" si="16"/>
        <v>0</v>
      </c>
      <c r="I80" s="25">
        <v>44781.802777777775</v>
      </c>
      <c r="J80" s="26">
        <v>6.6550809194387498E-3</v>
      </c>
      <c r="K80" s="27">
        <v>9.5693059164999994</v>
      </c>
      <c r="L80" s="28">
        <v>2654</v>
      </c>
      <c r="M80" s="29">
        <f t="shared" si="17"/>
        <v>44.233333333333334</v>
      </c>
      <c r="N80" s="26">
        <f>M80*J80</f>
        <v>0.29437641266984071</v>
      </c>
      <c r="O80" s="29">
        <f t="shared" si="18"/>
        <v>0</v>
      </c>
      <c r="Q80" s="35">
        <v>45136.791666666664</v>
      </c>
      <c r="R80" s="78">
        <v>1.17473840599687E-2</v>
      </c>
      <c r="S80" s="77">
        <v>1.8086265969999999</v>
      </c>
      <c r="T80" s="36">
        <v>5964</v>
      </c>
      <c r="U80" s="37">
        <f t="shared" si="19"/>
        <v>99.4</v>
      </c>
      <c r="V80" s="37">
        <f t="shared" si="14"/>
        <v>1.1676899755608887</v>
      </c>
      <c r="W80" s="38">
        <f t="shared" si="20"/>
        <v>40.070420028323532</v>
      </c>
      <c r="Y80" s="45">
        <v>45151.802083333336</v>
      </c>
      <c r="Z80" s="4">
        <v>8.3559528913760995E-3</v>
      </c>
      <c r="AA80" s="3">
        <v>1.654461261</v>
      </c>
      <c r="AB80" s="4">
        <v>4505</v>
      </c>
      <c r="AC80" s="46">
        <f t="shared" si="21"/>
        <v>75.083333333333329</v>
      </c>
      <c r="AD80" s="47">
        <f>AC80*Z80</f>
        <v>0.62739279626082212</v>
      </c>
      <c r="AE80" s="50">
        <f t="shared" si="22"/>
        <v>29.560290618491003</v>
      </c>
      <c r="AG80" s="51">
        <v>45166.802083333336</v>
      </c>
      <c r="AH80" s="79">
        <v>1.7272207017591901E-2</v>
      </c>
      <c r="AI80" s="80">
        <v>0.77321039300000005</v>
      </c>
      <c r="AJ80" s="52">
        <v>6206</v>
      </c>
      <c r="AK80" s="53">
        <f t="shared" si="23"/>
        <v>103.43333333333334</v>
      </c>
      <c r="AL80" s="79">
        <f>AK80*AH80</f>
        <v>1.7865219458529225</v>
      </c>
      <c r="AM80" s="54">
        <f t="shared" si="24"/>
        <v>49.347151014865034</v>
      </c>
      <c r="AO80" s="67">
        <v>45183.802083333336</v>
      </c>
      <c r="AP80" s="68">
        <v>4.82634327580964E-2</v>
      </c>
      <c r="AQ80" s="69">
        <v>2.247064306</v>
      </c>
      <c r="AR80" s="69">
        <v>7436</v>
      </c>
      <c r="AS80" s="69">
        <f t="shared" si="25"/>
        <v>123.93333333333334</v>
      </c>
      <c r="AT80" s="69">
        <f>AS80*AP80</f>
        <v>5.9814480998200805</v>
      </c>
      <c r="AU80" s="70">
        <f t="shared" si="26"/>
        <v>89.177574662300941</v>
      </c>
    </row>
    <row r="81" spans="1:47" x14ac:dyDescent="0.25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15"/>
        <v>30.483333333333334</v>
      </c>
      <c r="F81" s="12">
        <f>E81*B81</f>
        <v>0.17247208778819584</v>
      </c>
      <c r="G81" s="13">
        <f t="shared" si="16"/>
        <v>0</v>
      </c>
      <c r="I81" s="25">
        <v>44781.813194444447</v>
      </c>
      <c r="J81" s="26">
        <v>6.0417883005502498E-3</v>
      </c>
      <c r="K81" s="27">
        <v>10.085595189999999</v>
      </c>
      <c r="L81" s="28">
        <v>2763</v>
      </c>
      <c r="M81" s="29">
        <f t="shared" si="17"/>
        <v>46.05</v>
      </c>
      <c r="N81" s="26">
        <f>M81*J81</f>
        <v>0.27822435124033901</v>
      </c>
      <c r="O81" s="29">
        <f t="shared" si="18"/>
        <v>0</v>
      </c>
      <c r="Q81" s="35">
        <v>45136.802083333336</v>
      </c>
      <c r="R81" s="78">
        <v>1.13363662085962E-2</v>
      </c>
      <c r="S81" s="77">
        <v>2.3436582540000002</v>
      </c>
      <c r="T81" s="36">
        <v>6969</v>
      </c>
      <c r="U81" s="37">
        <f t="shared" si="19"/>
        <v>116.15</v>
      </c>
      <c r="V81" s="37">
        <f t="shared" si="14"/>
        <v>1.3167189351284487</v>
      </c>
      <c r="W81" s="38">
        <f t="shared" si="20"/>
        <v>42.498084377982146</v>
      </c>
      <c r="Y81" s="45">
        <v>45151.8125</v>
      </c>
      <c r="Z81" s="4">
        <v>7.5321054120801798E-3</v>
      </c>
      <c r="AA81" s="3">
        <v>1.5125919880000001</v>
      </c>
      <c r="AB81" s="4">
        <v>3543</v>
      </c>
      <c r="AC81" s="46">
        <f t="shared" si="21"/>
        <v>59.05</v>
      </c>
      <c r="AD81" s="47">
        <f>AC81*Z81</f>
        <v>0.44477082458333461</v>
      </c>
      <c r="AE81" s="50">
        <f t="shared" si="22"/>
        <v>24.977325558323379</v>
      </c>
      <c r="AG81" s="51">
        <v>45166.8125</v>
      </c>
      <c r="AH81" s="79">
        <v>1.33532273054027E-2</v>
      </c>
      <c r="AI81" s="80">
        <v>0.66228851600000005</v>
      </c>
      <c r="AJ81" s="52">
        <v>5906</v>
      </c>
      <c r="AK81" s="53">
        <f t="shared" si="23"/>
        <v>98.433333333333337</v>
      </c>
      <c r="AL81" s="79">
        <f>AK81*AH81</f>
        <v>1.3144026744284725</v>
      </c>
      <c r="AM81" s="54">
        <f t="shared" si="24"/>
        <v>42.461458430102837</v>
      </c>
      <c r="AO81" s="67">
        <v>45183.8125</v>
      </c>
      <c r="AP81" s="68">
        <v>4.9740763165656399E-2</v>
      </c>
      <c r="AQ81" s="69">
        <v>2.0619739560000001</v>
      </c>
      <c r="AR81" s="69">
        <v>7287</v>
      </c>
      <c r="AS81" s="69">
        <f t="shared" si="25"/>
        <v>121.45</v>
      </c>
      <c r="AT81" s="69">
        <f>AS81*AP81</f>
        <v>6.0410156864689695</v>
      </c>
      <c r="AU81" s="70">
        <f t="shared" si="26"/>
        <v>89.611375120707919</v>
      </c>
    </row>
    <row r="82" spans="1:47" x14ac:dyDescent="0.25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15"/>
        <v>35.25</v>
      </c>
      <c r="F82" s="12">
        <f>E82*B82</f>
        <v>0.19049439804106516</v>
      </c>
      <c r="G82" s="13">
        <f t="shared" si="16"/>
        <v>0</v>
      </c>
      <c r="I82" s="25">
        <v>44781.823611111111</v>
      </c>
      <c r="J82" s="26">
        <v>5.7973423146927003E-3</v>
      </c>
      <c r="K82" s="27">
        <v>8.104838397</v>
      </c>
      <c r="L82" s="28">
        <v>2352</v>
      </c>
      <c r="M82" s="29">
        <f t="shared" si="17"/>
        <v>39.200000000000003</v>
      </c>
      <c r="N82" s="26">
        <f>M82*J82</f>
        <v>0.22725581873595388</v>
      </c>
      <c r="O82" s="29">
        <f t="shared" si="18"/>
        <v>0</v>
      </c>
      <c r="Q82" s="35">
        <v>45136.8125</v>
      </c>
      <c r="R82" s="78">
        <v>9.1992902367462603E-3</v>
      </c>
      <c r="S82" s="77">
        <v>1.654461261</v>
      </c>
      <c r="T82" s="36">
        <v>5425</v>
      </c>
      <c r="U82" s="37">
        <f t="shared" si="19"/>
        <v>90.416666666666671</v>
      </c>
      <c r="V82" s="37">
        <f t="shared" si="14"/>
        <v>0.83176915890580772</v>
      </c>
      <c r="W82" s="38">
        <f t="shared" si="20"/>
        <v>33.937431496062899</v>
      </c>
      <c r="Y82" s="45">
        <v>45151.822916666664</v>
      </c>
      <c r="Z82" s="4">
        <v>5.5902406805217004E-3</v>
      </c>
      <c r="AA82" s="3">
        <v>1.318149035</v>
      </c>
      <c r="AB82" s="4">
        <v>2301</v>
      </c>
      <c r="AC82" s="46">
        <f t="shared" si="21"/>
        <v>38.35</v>
      </c>
      <c r="AD82" s="47">
        <f>AC82*Z82</f>
        <v>0.21438573009800721</v>
      </c>
      <c r="AE82" s="50">
        <f t="shared" si="22"/>
        <v>0</v>
      </c>
      <c r="AG82" s="51">
        <v>45166.822916666664</v>
      </c>
      <c r="AH82" s="79">
        <v>1.0116332544427E-2</v>
      </c>
      <c r="AI82" s="80">
        <v>0.50323377899999999</v>
      </c>
      <c r="AJ82" s="52">
        <v>4031</v>
      </c>
      <c r="AK82" s="53">
        <f t="shared" si="23"/>
        <v>67.183333333333337</v>
      </c>
      <c r="AL82" s="79">
        <f>AK82*AH82</f>
        <v>0.67964894144308741</v>
      </c>
      <c r="AM82" s="54">
        <f t="shared" si="24"/>
        <v>30.74138169190935</v>
      </c>
      <c r="AO82" s="67">
        <v>45183.822916666664</v>
      </c>
      <c r="AP82" s="68">
        <v>5.6885865818409702E-2</v>
      </c>
      <c r="AQ82" s="69">
        <v>1.8086265969999999</v>
      </c>
      <c r="AR82" s="69">
        <v>7667</v>
      </c>
      <c r="AS82" s="69">
        <f t="shared" si="25"/>
        <v>127.78333333333333</v>
      </c>
      <c r="AT82" s="69">
        <f>AS82*AP82</f>
        <v>7.2690655538291198</v>
      </c>
      <c r="AU82" s="70">
        <f t="shared" si="26"/>
        <v>98.111441353476664</v>
      </c>
    </row>
    <row r="83" spans="1:47" x14ac:dyDescent="0.25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15"/>
        <v>43.266666666666666</v>
      </c>
      <c r="F83" s="12">
        <f>E83*B83</f>
        <v>0.25766971673267414</v>
      </c>
      <c r="G83" s="13">
        <f t="shared" si="16"/>
        <v>0</v>
      </c>
      <c r="I83" s="25">
        <v>44781.834027777775</v>
      </c>
      <c r="J83" s="26">
        <v>5.4148357472824198E-3</v>
      </c>
      <c r="K83" s="27">
        <v>7.0321962280000001</v>
      </c>
      <c r="L83" s="28">
        <v>2267</v>
      </c>
      <c r="M83" s="29">
        <f t="shared" si="17"/>
        <v>37.783333333333331</v>
      </c>
      <c r="N83" s="26">
        <f>M83*J83</f>
        <v>0.20459054398482074</v>
      </c>
      <c r="O83" s="29">
        <f t="shared" si="18"/>
        <v>0</v>
      </c>
      <c r="Q83" s="35">
        <v>45136.822916666664</v>
      </c>
      <c r="R83" s="78">
        <v>1.0531632315758E-2</v>
      </c>
      <c r="S83" s="77">
        <v>1.8086265969999999</v>
      </c>
      <c r="T83" s="36">
        <v>5608</v>
      </c>
      <c r="U83" s="37">
        <f t="shared" si="19"/>
        <v>93.466666666666669</v>
      </c>
      <c r="V83" s="37">
        <f t="shared" si="14"/>
        <v>0.9843565671128478</v>
      </c>
      <c r="W83" s="38">
        <f t="shared" si="20"/>
        <v>36.855333381216369</v>
      </c>
      <c r="Y83" s="45">
        <v>45151.833333333336</v>
      </c>
      <c r="Z83" s="4">
        <v>6.80299154928666E-3</v>
      </c>
      <c r="AA83" s="3">
        <v>1.9748874890000001</v>
      </c>
      <c r="AB83" s="4">
        <v>3385</v>
      </c>
      <c r="AC83" s="46">
        <f t="shared" si="21"/>
        <v>56.416666666666664</v>
      </c>
      <c r="AD83" s="47">
        <f>AC83*Z83</f>
        <v>0.38380210657225572</v>
      </c>
      <c r="AE83" s="50">
        <f t="shared" si="22"/>
        <v>23.237583535286383</v>
      </c>
      <c r="AG83" s="51">
        <v>45166.833333333336</v>
      </c>
      <c r="AH83" s="79">
        <v>1.7752390811548498E-2</v>
      </c>
      <c r="AI83" s="80">
        <v>0.77321039300000005</v>
      </c>
      <c r="AJ83" s="52">
        <v>6125</v>
      </c>
      <c r="AK83" s="53">
        <f t="shared" si="23"/>
        <v>102.08333333333333</v>
      </c>
      <c r="AL83" s="79">
        <f>AK83*AH83</f>
        <v>1.8122232286789091</v>
      </c>
      <c r="AM83" s="54">
        <f t="shared" si="24"/>
        <v>49.693531204440781</v>
      </c>
      <c r="AO83" s="67">
        <v>45183.833333333336</v>
      </c>
      <c r="AP83" s="68">
        <v>5.03737773942897E-2</v>
      </c>
      <c r="AQ83" s="69">
        <v>2.0619739560000001</v>
      </c>
      <c r="AR83" s="69">
        <v>7823</v>
      </c>
      <c r="AS83" s="69">
        <f t="shared" si="25"/>
        <v>130.38333333333333</v>
      </c>
      <c r="AT83" s="69">
        <f>AS83*AP83</f>
        <v>6.5679010092588053</v>
      </c>
      <c r="AU83" s="70">
        <f t="shared" si="26"/>
        <v>93.357109770421886</v>
      </c>
    </row>
    <row r="84" spans="1:47" x14ac:dyDescent="0.25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15"/>
        <v>46.216666666666669</v>
      </c>
      <c r="F84" s="12">
        <f>E84*B84</f>
        <v>0.27325253613960027</v>
      </c>
      <c r="G84" s="13">
        <f t="shared" si="16"/>
        <v>0</v>
      </c>
      <c r="I84" s="25">
        <v>44781.844444444447</v>
      </c>
      <c r="J84" s="26">
        <v>4.8947742542487099E-3</v>
      </c>
      <c r="K84" s="27">
        <v>7.4050236140000001</v>
      </c>
      <c r="L84" s="28">
        <v>2134</v>
      </c>
      <c r="M84" s="29">
        <f t="shared" si="17"/>
        <v>35.56666666666667</v>
      </c>
      <c r="N84" s="26">
        <f>M84*J84</f>
        <v>0.17409080430944579</v>
      </c>
      <c r="O84" s="29">
        <f t="shared" si="18"/>
        <v>0</v>
      </c>
      <c r="Q84" s="35">
        <v>45136.833333333336</v>
      </c>
      <c r="R84" s="78">
        <v>1.14061553202879E-2</v>
      </c>
      <c r="S84" s="77">
        <v>1.8086265969999999</v>
      </c>
      <c r="T84" s="36">
        <v>5533</v>
      </c>
      <c r="U84" s="37">
        <f t="shared" si="19"/>
        <v>92.216666666666669</v>
      </c>
      <c r="V84" s="37">
        <f t="shared" si="14"/>
        <v>1.0518376231192159</v>
      </c>
      <c r="W84" s="38">
        <f t="shared" si="20"/>
        <v>38.071665105915713</v>
      </c>
      <c r="Y84" s="45">
        <v>45151.84375</v>
      </c>
      <c r="Z84" s="4">
        <v>7.8634425424520399E-3</v>
      </c>
      <c r="AA84" s="3">
        <v>1.730820966</v>
      </c>
      <c r="AB84" s="4">
        <v>3446</v>
      </c>
      <c r="AC84" s="46">
        <f t="shared" si="21"/>
        <v>57.43333333333333</v>
      </c>
      <c r="AD84" s="47">
        <f>AC84*Z84</f>
        <v>0.45162371668816215</v>
      </c>
      <c r="AE84" s="50">
        <f t="shared" si="22"/>
        <v>25.165047965570441</v>
      </c>
      <c r="AG84" s="51">
        <v>45166.84375</v>
      </c>
      <c r="AH84" s="79">
        <v>1.20150962048139E-2</v>
      </c>
      <c r="AI84" s="80">
        <v>0.59425534599999996</v>
      </c>
      <c r="AJ84" s="52">
        <v>5022</v>
      </c>
      <c r="AK84" s="53">
        <f t="shared" si="23"/>
        <v>83.7</v>
      </c>
      <c r="AL84" s="79">
        <f>AK84*AH84</f>
        <v>1.0056635523429234</v>
      </c>
      <c r="AM84" s="54">
        <f t="shared" si="24"/>
        <v>37.24385996388542</v>
      </c>
      <c r="AO84" s="67">
        <v>45183.84375</v>
      </c>
      <c r="AP84" s="68">
        <v>4.79384295690755E-2</v>
      </c>
      <c r="AQ84" s="69">
        <v>1.88950475</v>
      </c>
      <c r="AR84" s="69">
        <v>7962</v>
      </c>
      <c r="AS84" s="69">
        <f t="shared" si="25"/>
        <v>132.69999999999999</v>
      </c>
      <c r="AT84" s="69">
        <f>AS84*AP84</f>
        <v>6.3614296038163181</v>
      </c>
      <c r="AU84" s="70">
        <f t="shared" si="26"/>
        <v>91.908217180032523</v>
      </c>
    </row>
    <row r="85" spans="1:47" x14ac:dyDescent="0.25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15"/>
        <v>46.366666666666667</v>
      </c>
      <c r="F85" s="12">
        <f>E85*B85</f>
        <v>0.25839844296529829</v>
      </c>
      <c r="G85" s="13">
        <f t="shared" si="16"/>
        <v>0</v>
      </c>
      <c r="I85" s="25">
        <v>44781.854861111111</v>
      </c>
      <c r="J85" s="26">
        <v>5.4703088662425101E-3</v>
      </c>
      <c r="K85" s="27">
        <v>6.3432970429999997</v>
      </c>
      <c r="L85" s="28">
        <v>1954</v>
      </c>
      <c r="M85" s="29">
        <f t="shared" si="17"/>
        <v>32.56666666666667</v>
      </c>
      <c r="N85" s="26">
        <f>M85*J85</f>
        <v>0.17814972541063109</v>
      </c>
      <c r="O85" s="29">
        <f t="shared" si="18"/>
        <v>0</v>
      </c>
      <c r="Q85" s="35">
        <v>45136.84375</v>
      </c>
      <c r="R85" s="78">
        <v>1.5077823925000001E-2</v>
      </c>
      <c r="S85" s="77">
        <v>2.1522282119999998</v>
      </c>
      <c r="T85" s="36">
        <v>6456</v>
      </c>
      <c r="U85" s="37">
        <f t="shared" si="19"/>
        <v>107.6</v>
      </c>
      <c r="V85" s="37">
        <f t="shared" si="14"/>
        <v>1.6223738543299999</v>
      </c>
      <c r="W85" s="38">
        <f t="shared" si="20"/>
        <v>47.072201205244433</v>
      </c>
      <c r="Y85" s="45">
        <v>45151.854166666664</v>
      </c>
      <c r="Z85" s="4">
        <v>8.8774113879955298E-3</v>
      </c>
      <c r="AA85" s="3">
        <v>1.9734137430000001</v>
      </c>
      <c r="AB85" s="4">
        <v>3779</v>
      </c>
      <c r="AC85" s="46">
        <f t="shared" si="21"/>
        <v>62.983333333333334</v>
      </c>
      <c r="AD85" s="47">
        <f>AC85*Z85</f>
        <v>0.55912896058725181</v>
      </c>
      <c r="AE85" s="50">
        <f t="shared" si="22"/>
        <v>27.938958525291447</v>
      </c>
      <c r="AG85" s="51">
        <v>45166.854166666664</v>
      </c>
      <c r="AH85" s="79">
        <v>1.35240299691805E-2</v>
      </c>
      <c r="AI85" s="80">
        <v>0.59425534599999996</v>
      </c>
      <c r="AJ85" s="52">
        <v>5183</v>
      </c>
      <c r="AK85" s="53">
        <f t="shared" si="23"/>
        <v>86.38333333333334</v>
      </c>
      <c r="AL85" s="79">
        <f>AK85*AH85</f>
        <v>1.1682507888377089</v>
      </c>
      <c r="AM85" s="54">
        <f t="shared" si="24"/>
        <v>40.079843078936001</v>
      </c>
      <c r="AO85" s="67">
        <v>45183.854166666664</v>
      </c>
      <c r="AP85" s="68">
        <v>5.2706976087019401E-2</v>
      </c>
      <c r="AQ85" s="69">
        <v>1.5821856839999999</v>
      </c>
      <c r="AR85" s="69">
        <v>8104</v>
      </c>
      <c r="AS85" s="69">
        <f t="shared" si="25"/>
        <v>135.06666666666666</v>
      </c>
      <c r="AT85" s="69">
        <f>AS85*AP85</f>
        <v>7.1189555701534202</v>
      </c>
      <c r="AU85" s="70">
        <f t="shared" si="26"/>
        <v>97.11400082844311</v>
      </c>
    </row>
    <row r="86" spans="1:47" x14ac:dyDescent="0.25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15"/>
        <v>48.133333333333333</v>
      </c>
      <c r="F86" s="12">
        <f>E86*B86</f>
        <v>0.2754934976492619</v>
      </c>
      <c r="G86" s="13">
        <f t="shared" si="16"/>
        <v>0</v>
      </c>
      <c r="I86" s="25">
        <v>44781.865277777775</v>
      </c>
      <c r="J86" s="26">
        <v>4.6918933822002401E-3</v>
      </c>
      <c r="K86" s="27">
        <v>4.9490583829999997</v>
      </c>
      <c r="L86" s="28">
        <v>1514</v>
      </c>
      <c r="M86" s="29">
        <f t="shared" si="17"/>
        <v>25.233333333333334</v>
      </c>
      <c r="N86" s="26">
        <f>M86*J86</f>
        <v>0.1183921096775194</v>
      </c>
      <c r="O86" s="29">
        <f t="shared" si="18"/>
        <v>0</v>
      </c>
      <c r="Q86" s="35">
        <v>45136.854166666664</v>
      </c>
      <c r="R86" s="78">
        <v>1.5374256093017E-2</v>
      </c>
      <c r="S86" s="77">
        <v>1.88950475</v>
      </c>
      <c r="T86" s="36">
        <v>5796</v>
      </c>
      <c r="U86" s="37">
        <f t="shared" si="19"/>
        <v>96.6</v>
      </c>
      <c r="V86" s="37">
        <f t="shared" si="14"/>
        <v>1.4851531385854422</v>
      </c>
      <c r="W86" s="38">
        <f t="shared" si="20"/>
        <v>45.078553070083458</v>
      </c>
      <c r="Y86" s="45">
        <v>45151.864583333336</v>
      </c>
      <c r="Z86" s="4">
        <v>1.4897205278113701E-2</v>
      </c>
      <c r="AA86" s="3">
        <v>2.44355038</v>
      </c>
      <c r="AB86" s="4">
        <v>5572</v>
      </c>
      <c r="AC86" s="46">
        <f t="shared" si="21"/>
        <v>92.86666666666666</v>
      </c>
      <c r="AD86" s="47">
        <f>AC86*Z86</f>
        <v>1.3834537968274923</v>
      </c>
      <c r="AE86" s="50">
        <f t="shared" si="22"/>
        <v>43.539555051420827</v>
      </c>
      <c r="AG86" s="51">
        <v>45166.864583333336</v>
      </c>
      <c r="AH86" s="79">
        <v>1.4452168696499399E-2</v>
      </c>
      <c r="AI86" s="80">
        <v>0.59425534599999996</v>
      </c>
      <c r="AJ86" s="52">
        <v>4960</v>
      </c>
      <c r="AK86" s="53">
        <f t="shared" si="23"/>
        <v>82.666666666666671</v>
      </c>
      <c r="AL86" s="79">
        <f>AK86*AH86</f>
        <v>1.1947126122439504</v>
      </c>
      <c r="AM86" s="54">
        <f t="shared" si="24"/>
        <v>40.521872281664393</v>
      </c>
      <c r="AO86" s="67">
        <v>45183.864583333336</v>
      </c>
      <c r="AP86" s="68">
        <v>6.4553841919991597E-2</v>
      </c>
      <c r="AQ86" s="69">
        <v>1.5821856839999999</v>
      </c>
      <c r="AR86" s="69">
        <v>8050</v>
      </c>
      <c r="AS86" s="69">
        <f t="shared" si="25"/>
        <v>134.16666666666666</v>
      </c>
      <c r="AT86" s="69">
        <f>AS86*AP86</f>
        <v>8.6609737909322053</v>
      </c>
      <c r="AU86" s="70">
        <f t="shared" si="26"/>
        <v>106.90056919260005</v>
      </c>
    </row>
    <row r="87" spans="1:47" x14ac:dyDescent="0.25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15"/>
        <v>49.85</v>
      </c>
      <c r="F87" s="12">
        <f>E87*B87</f>
        <v>0.26522850591399999</v>
      </c>
      <c r="G87" s="13">
        <f t="shared" si="16"/>
        <v>0</v>
      </c>
      <c r="I87" s="25">
        <v>44781.875694444447</v>
      </c>
      <c r="J87" s="26">
        <v>4.8520132819575802E-3</v>
      </c>
      <c r="K87" s="27">
        <v>6.3638281955</v>
      </c>
      <c r="L87" s="28">
        <v>1940</v>
      </c>
      <c r="M87" s="29">
        <f t="shared" si="17"/>
        <v>32.333333333333336</v>
      </c>
      <c r="N87" s="26">
        <f>M87*J87</f>
        <v>0.1568817627832951</v>
      </c>
      <c r="O87" s="29">
        <f t="shared" si="18"/>
        <v>0</v>
      </c>
      <c r="Q87" s="35">
        <v>45136.864583333336</v>
      </c>
      <c r="R87" s="78">
        <v>1.2082661686635901E-2</v>
      </c>
      <c r="S87" s="77">
        <v>2.1522282119999998</v>
      </c>
      <c r="T87" s="36">
        <v>6194</v>
      </c>
      <c r="U87" s="37">
        <f t="shared" si="19"/>
        <v>103.23333333333333</v>
      </c>
      <c r="V87" s="37">
        <f t="shared" si="14"/>
        <v>1.2473334414503794</v>
      </c>
      <c r="W87" s="38">
        <f t="shared" si="20"/>
        <v>41.386267006171423</v>
      </c>
      <c r="Y87" s="45">
        <v>45151.875</v>
      </c>
      <c r="Z87" s="4">
        <v>1.2056879452917E-2</v>
      </c>
      <c r="AA87" s="3">
        <v>2.44355038</v>
      </c>
      <c r="AB87" s="4">
        <v>5124</v>
      </c>
      <c r="AC87" s="46">
        <f t="shared" si="21"/>
        <v>85.4</v>
      </c>
      <c r="AD87" s="47">
        <f>AC87*Z87</f>
        <v>1.0296575052791119</v>
      </c>
      <c r="AE87" s="50">
        <f t="shared" si="22"/>
        <v>37.676387217171367</v>
      </c>
      <c r="AG87" s="51">
        <v>45166.875</v>
      </c>
      <c r="AH87" s="79">
        <v>1.2428669701426099E-2</v>
      </c>
      <c r="AI87" s="80">
        <v>0.59425534599999996</v>
      </c>
      <c r="AJ87" s="52">
        <v>4990</v>
      </c>
      <c r="AK87" s="53">
        <f t="shared" si="23"/>
        <v>83.166666666666671</v>
      </c>
      <c r="AL87" s="79">
        <f>AK87*AH87</f>
        <v>1.0336510301686039</v>
      </c>
      <c r="AM87" s="54">
        <f t="shared" si="24"/>
        <v>37.747875326223209</v>
      </c>
      <c r="AO87" s="67">
        <v>45183.875</v>
      </c>
      <c r="AP87" s="68">
        <v>5.1090318515566502E-2</v>
      </c>
      <c r="AQ87" s="69">
        <v>1.5821856839999999</v>
      </c>
      <c r="AR87" s="69">
        <v>8014</v>
      </c>
      <c r="AS87" s="69">
        <f t="shared" si="25"/>
        <v>133.56666666666666</v>
      </c>
      <c r="AT87" s="69">
        <f>AS87*AP87</f>
        <v>6.823963543062499</v>
      </c>
      <c r="AU87" s="70">
        <f t="shared" si="26"/>
        <v>95.122085563907291</v>
      </c>
    </row>
    <row r="88" spans="1:47" x14ac:dyDescent="0.25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15"/>
        <v>62.8</v>
      </c>
      <c r="F88" s="12">
        <f>E88*B88</f>
        <v>0.41474684976191101</v>
      </c>
      <c r="G88" s="13">
        <f t="shared" si="16"/>
        <v>24.136926880406467</v>
      </c>
      <c r="I88" s="25">
        <v>44781.886111111111</v>
      </c>
      <c r="J88" s="26">
        <v>5.25164091455108E-3</v>
      </c>
      <c r="K88" s="27">
        <v>6.4040720625000001</v>
      </c>
      <c r="L88" s="28">
        <v>2029</v>
      </c>
      <c r="M88" s="29">
        <f t="shared" si="17"/>
        <v>33.81666666666667</v>
      </c>
      <c r="N88" s="26">
        <f>M88*J88</f>
        <v>0.17759299026040237</v>
      </c>
      <c r="O88" s="29">
        <f t="shared" si="18"/>
        <v>0</v>
      </c>
      <c r="Q88" s="35">
        <v>45136.875</v>
      </c>
      <c r="R88" s="78">
        <v>1.2267646464393199E-2</v>
      </c>
      <c r="S88" s="77">
        <v>2.3419653060000001</v>
      </c>
      <c r="T88" s="36">
        <v>6362</v>
      </c>
      <c r="U88" s="37">
        <f t="shared" si="19"/>
        <v>106.03333333333333</v>
      </c>
      <c r="V88" s="37">
        <f t="shared" si="14"/>
        <v>1.3007794467744922</v>
      </c>
      <c r="W88" s="38">
        <f t="shared" si="20"/>
        <v>42.245370956387312</v>
      </c>
      <c r="Y88" s="45">
        <v>45151.885416666664</v>
      </c>
      <c r="Z88" s="4">
        <v>8.9553423682352598E-3</v>
      </c>
      <c r="AA88" s="3">
        <v>1.9734137430000001</v>
      </c>
      <c r="AB88" s="4">
        <v>4050</v>
      </c>
      <c r="AC88" s="46">
        <f t="shared" si="21"/>
        <v>67.5</v>
      </c>
      <c r="AD88" s="47">
        <f>AC88*Z88</f>
        <v>0.60448560985588007</v>
      </c>
      <c r="AE88" s="50">
        <f t="shared" si="22"/>
        <v>29.02674252086134</v>
      </c>
      <c r="AG88" s="51">
        <v>45166.885416666664</v>
      </c>
      <c r="AH88" s="79">
        <v>1.2008506487977799E-2</v>
      </c>
      <c r="AI88" s="80">
        <v>0.53251963199999997</v>
      </c>
      <c r="AJ88" s="52">
        <v>4382</v>
      </c>
      <c r="AK88" s="53">
        <f t="shared" si="23"/>
        <v>73.033333333333331</v>
      </c>
      <c r="AL88" s="79">
        <f>AK88*AH88</f>
        <v>0.87702125717197854</v>
      </c>
      <c r="AM88" s="54">
        <f t="shared" si="24"/>
        <v>34.82937236324355</v>
      </c>
      <c r="AO88" s="67">
        <v>45183.885416666664</v>
      </c>
      <c r="AP88" s="68">
        <v>6.1300712910136702E-2</v>
      </c>
      <c r="AQ88" s="69">
        <v>1.5821856839999999</v>
      </c>
      <c r="AR88" s="69">
        <v>7939</v>
      </c>
      <c r="AS88" s="69">
        <f t="shared" si="25"/>
        <v>132.31666666666666</v>
      </c>
      <c r="AT88" s="69">
        <f>AS88*AP88</f>
        <v>8.1111059965595871</v>
      </c>
      <c r="AU88" s="70">
        <f t="shared" si="26"/>
        <v>103.52139276543167</v>
      </c>
    </row>
    <row r="89" spans="1:47" x14ac:dyDescent="0.25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15"/>
        <v>59.166666666666664</v>
      </c>
      <c r="F89" s="12">
        <f>E89*B89</f>
        <v>0.43395482648628775</v>
      </c>
      <c r="G89" s="13">
        <f t="shared" si="16"/>
        <v>24.678012257173279</v>
      </c>
      <c r="I89" s="25">
        <v>44781.896527777775</v>
      </c>
      <c r="J89" s="26">
        <v>4.1872832754029504E-3</v>
      </c>
      <c r="K89" s="27">
        <v>5.2612970189999997</v>
      </c>
      <c r="L89" s="28">
        <v>1626</v>
      </c>
      <c r="M89" s="29">
        <f t="shared" si="17"/>
        <v>27.1</v>
      </c>
      <c r="N89" s="26">
        <f>M89*J89</f>
        <v>0.11347537676341997</v>
      </c>
      <c r="O89" s="29">
        <f t="shared" si="18"/>
        <v>0</v>
      </c>
      <c r="Q89" s="35">
        <v>45136.885416666664</v>
      </c>
      <c r="R89" s="78">
        <v>1.00963339924956E-2</v>
      </c>
      <c r="S89" s="77">
        <v>1.654461261</v>
      </c>
      <c r="T89" s="36">
        <v>5460</v>
      </c>
      <c r="U89" s="37">
        <f t="shared" si="19"/>
        <v>91</v>
      </c>
      <c r="V89" s="37">
        <f t="shared" si="14"/>
        <v>0.91876639331709964</v>
      </c>
      <c r="W89" s="38">
        <f t="shared" si="20"/>
        <v>35.631584116137674</v>
      </c>
      <c r="Y89" s="45">
        <v>45151.895833333336</v>
      </c>
      <c r="Z89" s="4">
        <v>7.5223828166051197E-3</v>
      </c>
      <c r="AA89" s="3">
        <v>1.729502407</v>
      </c>
      <c r="AB89" s="4">
        <v>3169</v>
      </c>
      <c r="AC89" s="46">
        <f t="shared" si="21"/>
        <v>52.81666666666667</v>
      </c>
      <c r="AD89" s="47">
        <f>AC89*Z89</f>
        <v>0.39730718576369378</v>
      </c>
      <c r="AE89" s="50">
        <f t="shared" si="22"/>
        <v>23.634466339689034</v>
      </c>
      <c r="AG89" s="51">
        <v>45166.895833333336</v>
      </c>
      <c r="AH89" s="79">
        <v>1.1421437993235599E-2</v>
      </c>
      <c r="AI89" s="80">
        <v>0.53251963199999997</v>
      </c>
      <c r="AJ89" s="52">
        <v>4573</v>
      </c>
      <c r="AK89" s="53">
        <f t="shared" si="23"/>
        <v>76.216666666666669</v>
      </c>
      <c r="AL89" s="79">
        <f>AK89*AH89</f>
        <v>0.8705039323844399</v>
      </c>
      <c r="AM89" s="54">
        <f t="shared" si="24"/>
        <v>34.702384925613089</v>
      </c>
      <c r="AO89" s="67">
        <v>45183.895833333336</v>
      </c>
      <c r="AP89" s="68">
        <v>5.8654051577076802E-2</v>
      </c>
      <c r="AQ89" s="69">
        <v>1.5821856839999999</v>
      </c>
      <c r="AR89" s="69">
        <v>8165</v>
      </c>
      <c r="AS89" s="69">
        <f t="shared" si="25"/>
        <v>136.08333333333334</v>
      </c>
      <c r="AT89" s="69">
        <f>AS89*AP89</f>
        <v>7.981838852113869</v>
      </c>
      <c r="AU89" s="70">
        <f t="shared" si="26"/>
        <v>102.71016099476968</v>
      </c>
    </row>
    <row r="90" spans="1:47" x14ac:dyDescent="0.25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15"/>
        <v>64.75</v>
      </c>
      <c r="F90" s="12">
        <f>E90*B90</f>
        <v>0.49518033756245655</v>
      </c>
      <c r="G90" s="13">
        <f t="shared" si="16"/>
        <v>26.325657424734072</v>
      </c>
      <c r="I90" s="25">
        <v>44781.906944444447</v>
      </c>
      <c r="J90" s="26">
        <v>4.9442405769637302E-3</v>
      </c>
      <c r="K90" s="27">
        <v>5.4874552459999997</v>
      </c>
      <c r="L90" s="28">
        <v>1689</v>
      </c>
      <c r="M90" s="29">
        <f t="shared" si="17"/>
        <v>28.15</v>
      </c>
      <c r="N90" s="26">
        <f>M90*J90</f>
        <v>0.13918037224152899</v>
      </c>
      <c r="O90" s="29">
        <f t="shared" si="18"/>
        <v>0</v>
      </c>
      <c r="Q90" s="35">
        <v>45136.895833333336</v>
      </c>
      <c r="R90" s="78">
        <v>1.11814316464617E-2</v>
      </c>
      <c r="S90" s="77">
        <v>1.5125919880000001</v>
      </c>
      <c r="T90" s="36">
        <v>4177</v>
      </c>
      <c r="U90" s="37">
        <f t="shared" si="19"/>
        <v>69.61666666666666</v>
      </c>
      <c r="V90" s="37">
        <f t="shared" si="14"/>
        <v>0.77841399978784198</v>
      </c>
      <c r="W90" s="38">
        <f t="shared" si="20"/>
        <v>32.853333490527433</v>
      </c>
      <c r="Y90" s="45">
        <v>45151.90625</v>
      </c>
      <c r="Z90" s="4">
        <v>6.22367477904507E-3</v>
      </c>
      <c r="AA90" s="3">
        <v>1.5821856839999999</v>
      </c>
      <c r="AB90" s="4">
        <v>2712</v>
      </c>
      <c r="AC90" s="46">
        <f t="shared" si="21"/>
        <v>45.2</v>
      </c>
      <c r="AD90" s="47">
        <f>AC90*Z90</f>
        <v>0.28131010001283718</v>
      </c>
      <c r="AE90" s="50">
        <f t="shared" si="22"/>
        <v>0</v>
      </c>
      <c r="AG90" s="51">
        <v>45166.90625</v>
      </c>
      <c r="AH90" s="79">
        <v>1.1569164499038199E-2</v>
      </c>
      <c r="AI90" s="80">
        <v>0.44939223900000003</v>
      </c>
      <c r="AJ90" s="52">
        <v>3699</v>
      </c>
      <c r="AK90" s="53">
        <f t="shared" si="23"/>
        <v>61.65</v>
      </c>
      <c r="AL90" s="79">
        <f>AK90*AH90</f>
        <v>0.71323899136570501</v>
      </c>
      <c r="AM90" s="54">
        <f t="shared" si="24"/>
        <v>31.476237240272116</v>
      </c>
      <c r="AO90" s="67">
        <v>45183.90625</v>
      </c>
      <c r="AP90" s="68">
        <v>5.5199757863924399E-2</v>
      </c>
      <c r="AQ90" s="69">
        <v>1.3790541089999999</v>
      </c>
      <c r="AR90" s="69">
        <v>8117</v>
      </c>
      <c r="AS90" s="69">
        <f t="shared" si="25"/>
        <v>135.28333333333333</v>
      </c>
      <c r="AT90" s="69">
        <f>AS90*AP90</f>
        <v>7.4676072430245721</v>
      </c>
      <c r="AU90" s="70">
        <f t="shared" si="26"/>
        <v>99.414688875378118</v>
      </c>
    </row>
    <row r="91" spans="1:47" x14ac:dyDescent="0.25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15"/>
        <v>60.55</v>
      </c>
      <c r="F91" s="12">
        <f>E91*B91</f>
        <v>0.39588639524566882</v>
      </c>
      <c r="G91" s="13">
        <f t="shared" si="16"/>
        <v>23.593040021995446</v>
      </c>
      <c r="I91" s="25">
        <v>44781.917361111111</v>
      </c>
      <c r="J91" s="26">
        <v>5.0373832802486597E-3</v>
      </c>
      <c r="K91" s="27">
        <v>5.2076250220000002</v>
      </c>
      <c r="L91" s="28">
        <v>1698</v>
      </c>
      <c r="M91" s="29">
        <f t="shared" si="17"/>
        <v>28.3</v>
      </c>
      <c r="N91" s="26">
        <f>M91*J91</f>
        <v>0.14255794683103706</v>
      </c>
      <c r="O91" s="29">
        <f t="shared" si="18"/>
        <v>0</v>
      </c>
      <c r="Q91" s="35">
        <v>45136.90625</v>
      </c>
      <c r="R91" s="78">
        <v>8.2604101021937302E-3</v>
      </c>
      <c r="S91" s="77">
        <v>1.654461261</v>
      </c>
      <c r="T91" s="36">
        <v>4364</v>
      </c>
      <c r="U91" s="37">
        <f t="shared" si="19"/>
        <v>72.733333333333334</v>
      </c>
      <c r="V91" s="37">
        <f t="shared" si="14"/>
        <v>0.6008071614328907</v>
      </c>
      <c r="W91" s="38">
        <f t="shared" si="20"/>
        <v>28.940109598441055</v>
      </c>
      <c r="Y91" s="45">
        <v>45151.916666666664</v>
      </c>
      <c r="Z91" s="4">
        <v>8.0028838612977507E-3</v>
      </c>
      <c r="AA91" s="3">
        <v>2.0619739560000001</v>
      </c>
      <c r="AB91" s="4">
        <v>3034</v>
      </c>
      <c r="AC91" s="46">
        <f t="shared" si="21"/>
        <v>50.56666666666667</v>
      </c>
      <c r="AD91" s="47">
        <f>AC91*Z91</f>
        <v>0.40467916058628961</v>
      </c>
      <c r="AE91" s="50">
        <f t="shared" si="22"/>
        <v>23.848209119595776</v>
      </c>
      <c r="AG91" s="51">
        <v>45166.916666666664</v>
      </c>
      <c r="AH91" s="79">
        <v>1.4374278191539599E-2</v>
      </c>
      <c r="AI91" s="80">
        <v>0.475692385</v>
      </c>
      <c r="AJ91" s="52">
        <v>3931</v>
      </c>
      <c r="AK91" s="53">
        <f t="shared" si="23"/>
        <v>65.516666666666666</v>
      </c>
      <c r="AL91" s="79">
        <f>AK91*AH91</f>
        <v>0.94175479284903607</v>
      </c>
      <c r="AM91" s="54">
        <f t="shared" si="24"/>
        <v>36.065416543332461</v>
      </c>
      <c r="AO91" s="67">
        <v>45183.916666666664</v>
      </c>
      <c r="AP91" s="68">
        <v>5.7085326120917698E-2</v>
      </c>
      <c r="AQ91" s="69">
        <v>1.4444654269999999</v>
      </c>
      <c r="AR91" s="69">
        <v>8172</v>
      </c>
      <c r="AS91" s="69">
        <f t="shared" si="25"/>
        <v>136.19999999999999</v>
      </c>
      <c r="AT91" s="69">
        <f>AS91*AP91</f>
        <v>7.7750214176689898</v>
      </c>
      <c r="AU91" s="70">
        <f t="shared" si="26"/>
        <v>101.39818079228969</v>
      </c>
    </row>
    <row r="92" spans="1:47" x14ac:dyDescent="0.25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15"/>
        <v>54.45</v>
      </c>
      <c r="F92" s="12">
        <f>E92*B92</f>
        <v>0.35854399452912622</v>
      </c>
      <c r="G92" s="13">
        <f t="shared" si="16"/>
        <v>0</v>
      </c>
      <c r="I92" s="25">
        <v>44781.927777777775</v>
      </c>
      <c r="J92" s="26">
        <v>4.39557865296828E-3</v>
      </c>
      <c r="K92" s="27">
        <v>4.6292118670000004</v>
      </c>
      <c r="L92" s="28">
        <v>1659</v>
      </c>
      <c r="M92" s="29">
        <f t="shared" si="17"/>
        <v>27.65</v>
      </c>
      <c r="N92" s="26">
        <f>M92*J92</f>
        <v>0.12153774975457293</v>
      </c>
      <c r="O92" s="29">
        <f t="shared" si="18"/>
        <v>0</v>
      </c>
      <c r="Q92" s="35">
        <v>45136.916666666664</v>
      </c>
      <c r="R92" s="78">
        <v>9.9334056429542794E-3</v>
      </c>
      <c r="S92" s="77">
        <v>2.1522282119999998</v>
      </c>
      <c r="T92" s="36">
        <v>5332</v>
      </c>
      <c r="U92" s="37">
        <f t="shared" si="19"/>
        <v>88.86666666666666</v>
      </c>
      <c r="V92" s="37">
        <f t="shared" si="14"/>
        <v>0.88274864813720355</v>
      </c>
      <c r="W92" s="38">
        <f t="shared" si="20"/>
        <v>34.940571287453785</v>
      </c>
      <c r="Y92" s="45">
        <v>45151.927083333336</v>
      </c>
      <c r="Z92" s="4">
        <v>5.2891351415836002E-3</v>
      </c>
      <c r="AA92" s="3">
        <v>1.257509953</v>
      </c>
      <c r="AB92" s="4">
        <v>1781</v>
      </c>
      <c r="AC92" s="46">
        <f t="shared" si="21"/>
        <v>29.683333333333334</v>
      </c>
      <c r="AD92" s="47">
        <f>AC92*Z92</f>
        <v>0.1569991614526732</v>
      </c>
      <c r="AE92" s="50">
        <f t="shared" si="22"/>
        <v>0</v>
      </c>
      <c r="AG92" s="51">
        <v>45166.927083333336</v>
      </c>
      <c r="AH92" s="79">
        <v>1.14176920773204E-2</v>
      </c>
      <c r="AI92" s="80">
        <v>0.44894941300000002</v>
      </c>
      <c r="AJ92" s="52">
        <v>3621</v>
      </c>
      <c r="AK92" s="53">
        <f t="shared" si="23"/>
        <v>60.35</v>
      </c>
      <c r="AL92" s="79">
        <f>AK92*AH92</f>
        <v>0.68905771686628614</v>
      </c>
      <c r="AM92" s="54">
        <f t="shared" si="24"/>
        <v>30.949052692459428</v>
      </c>
      <c r="AO92" s="67">
        <v>45183.927083333336</v>
      </c>
      <c r="AP92" s="68">
        <v>6.6757353642304396E-2</v>
      </c>
      <c r="AQ92" s="69">
        <v>1.3790541089999999</v>
      </c>
      <c r="AR92" s="69">
        <v>8030</v>
      </c>
      <c r="AS92" s="69">
        <f t="shared" si="25"/>
        <v>133.83333333333334</v>
      </c>
      <c r="AT92" s="69">
        <f>AS92*AP92</f>
        <v>8.9343591624617389</v>
      </c>
      <c r="AU92" s="70">
        <f t="shared" si="26"/>
        <v>108.53988152284299</v>
      </c>
    </row>
    <row r="93" spans="1:47" x14ac:dyDescent="0.25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15"/>
        <v>61.416666666666664</v>
      </c>
      <c r="F93" s="12">
        <f>E93*B93</f>
        <v>0.49920974771152804</v>
      </c>
      <c r="G93" s="13">
        <f t="shared" si="16"/>
        <v>26.430343391447533</v>
      </c>
      <c r="I93" s="25">
        <v>44781.938194444447</v>
      </c>
      <c r="J93" s="26">
        <v>4.4088138339007498E-3</v>
      </c>
      <c r="K93" s="27">
        <v>3.8438540350000001</v>
      </c>
      <c r="L93" s="28">
        <v>1453</v>
      </c>
      <c r="M93" s="29">
        <f t="shared" si="17"/>
        <v>24.216666666666665</v>
      </c>
      <c r="N93" s="26">
        <f>M93*J93</f>
        <v>0.10676677501096316</v>
      </c>
      <c r="O93" s="29">
        <f t="shared" si="18"/>
        <v>0</v>
      </c>
      <c r="Q93" s="35">
        <v>45136.927083333336</v>
      </c>
      <c r="R93" s="78">
        <v>8.0022825967643006E-3</v>
      </c>
      <c r="S93" s="77">
        <v>1.511415151</v>
      </c>
      <c r="T93" s="36">
        <v>4005</v>
      </c>
      <c r="U93" s="37">
        <f t="shared" si="19"/>
        <v>66.75</v>
      </c>
      <c r="V93" s="37">
        <f t="shared" si="14"/>
        <v>0.53415236333401706</v>
      </c>
      <c r="W93" s="38">
        <f t="shared" si="20"/>
        <v>27.320662019534588</v>
      </c>
      <c r="Y93" s="45">
        <v>45151.9375</v>
      </c>
      <c r="Z93" s="4">
        <v>6.7675484953585901E-3</v>
      </c>
      <c r="AA93" s="3">
        <v>1.5821856839999999</v>
      </c>
      <c r="AB93" s="4">
        <v>2130</v>
      </c>
      <c r="AC93" s="46">
        <f t="shared" si="21"/>
        <v>35.5</v>
      </c>
      <c r="AD93" s="47">
        <f>AC93*Z93</f>
        <v>0.24024797158522995</v>
      </c>
      <c r="AE93" s="50">
        <f t="shared" si="22"/>
        <v>0</v>
      </c>
      <c r="AG93" s="51">
        <v>45166.9375</v>
      </c>
      <c r="AH93" s="79">
        <v>9.9046559080952293E-3</v>
      </c>
      <c r="AI93" s="80">
        <v>0.399936554</v>
      </c>
      <c r="AJ93" s="52">
        <v>2866</v>
      </c>
      <c r="AK93" s="53">
        <f t="shared" si="23"/>
        <v>47.766666666666666</v>
      </c>
      <c r="AL93" s="79">
        <f>AK93*AH93</f>
        <v>0.47311239721001547</v>
      </c>
      <c r="AM93" s="54">
        <f t="shared" si="24"/>
        <v>25.744450365142487</v>
      </c>
      <c r="AO93" s="67">
        <v>45183.9375</v>
      </c>
      <c r="AP93" s="68">
        <v>8.9769309717601706E-2</v>
      </c>
      <c r="AQ93" s="69">
        <v>1.4444654269999999</v>
      </c>
      <c r="AR93" s="69">
        <v>7915</v>
      </c>
      <c r="AS93" s="69">
        <f t="shared" si="25"/>
        <v>131.91666666666666</v>
      </c>
      <c r="AT93" s="69">
        <f>AS93*AP93</f>
        <v>11.842068106913624</v>
      </c>
      <c r="AU93" s="70">
        <f t="shared" si="26"/>
        <v>124.59799853071195</v>
      </c>
    </row>
    <row r="94" spans="1:47" x14ac:dyDescent="0.25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15"/>
        <v>59.383333333333333</v>
      </c>
      <c r="F94" s="12">
        <f>E94*B94</f>
        <v>0.37640719175591025</v>
      </c>
      <c r="G94" s="13">
        <f t="shared" si="16"/>
        <v>23.017241398062826</v>
      </c>
      <c r="I94" s="25">
        <v>44781.948611111111</v>
      </c>
      <c r="J94" s="26">
        <v>4.5317888265637499E-3</v>
      </c>
      <c r="K94" s="27">
        <v>3.4907628965000002</v>
      </c>
      <c r="L94" s="28">
        <v>1318</v>
      </c>
      <c r="M94" s="29">
        <f t="shared" si="17"/>
        <v>21.966666666666665</v>
      </c>
      <c r="N94" s="26">
        <f>M94*J94</f>
        <v>9.9548294556850367E-2</v>
      </c>
      <c r="O94" s="29">
        <f t="shared" si="18"/>
        <v>0</v>
      </c>
      <c r="Q94" s="35">
        <v>45136.9375</v>
      </c>
      <c r="R94" s="78">
        <v>9.5363846435916992E-3</v>
      </c>
      <c r="S94" s="77">
        <v>1.729502407</v>
      </c>
      <c r="T94" s="36">
        <v>4461</v>
      </c>
      <c r="U94" s="37">
        <f t="shared" si="19"/>
        <v>74.349999999999994</v>
      </c>
      <c r="V94" s="37">
        <f t="shared" si="14"/>
        <v>0.70903019825104274</v>
      </c>
      <c r="W94" s="38">
        <f t="shared" si="20"/>
        <v>31.385143033866363</v>
      </c>
      <c r="Y94" s="45">
        <v>45151.947916666664</v>
      </c>
      <c r="Z94" s="4">
        <v>5.8736080325113502E-3</v>
      </c>
      <c r="AA94" s="3">
        <v>1.257509953</v>
      </c>
      <c r="AB94" s="4">
        <v>1495</v>
      </c>
      <c r="AC94" s="46">
        <f t="shared" si="21"/>
        <v>24.916666666666668</v>
      </c>
      <c r="AD94" s="47">
        <f>AC94*Z94</f>
        <v>0.14635073347674116</v>
      </c>
      <c r="AE94" s="50">
        <f t="shared" si="22"/>
        <v>0</v>
      </c>
      <c r="AG94" s="51">
        <v>45166.947916666664</v>
      </c>
      <c r="AH94" s="79">
        <v>1.3411186758724001E-2</v>
      </c>
      <c r="AI94" s="80">
        <v>0.562700329</v>
      </c>
      <c r="AJ94" s="52">
        <v>4577</v>
      </c>
      <c r="AK94" s="53">
        <f t="shared" si="23"/>
        <v>76.283333333333331</v>
      </c>
      <c r="AL94" s="79">
        <f>AK94*AH94</f>
        <v>1.0230500299113292</v>
      </c>
      <c r="AM94" s="54">
        <f t="shared" si="24"/>
        <v>37.55779534446684</v>
      </c>
      <c r="AO94" s="67">
        <v>45183.947916666664</v>
      </c>
      <c r="AP94" s="68">
        <v>7.5313832368877606E-2</v>
      </c>
      <c r="AQ94" s="69">
        <v>2.060445487</v>
      </c>
      <c r="AR94" s="69">
        <v>7488</v>
      </c>
      <c r="AS94" s="69">
        <f t="shared" si="25"/>
        <v>124.8</v>
      </c>
      <c r="AT94" s="69">
        <f>AS94*AP94</f>
        <v>9.3991662796359243</v>
      </c>
      <c r="AU94" s="70">
        <f t="shared" si="26"/>
        <v>111.26932127393435</v>
      </c>
    </row>
    <row r="95" spans="1:47" x14ac:dyDescent="0.25">
      <c r="A95" s="8"/>
      <c r="B95" s="1"/>
      <c r="C95" s="1"/>
      <c r="I95" s="25">
        <v>44781.959027777775</v>
      </c>
      <c r="J95" s="26">
        <v>3.8378663378689898E-3</v>
      </c>
      <c r="K95" s="27">
        <v>3.5250784804999999</v>
      </c>
      <c r="L95" s="28">
        <v>1194</v>
      </c>
      <c r="M95" s="29">
        <f t="shared" si="17"/>
        <v>19.899999999999999</v>
      </c>
      <c r="N95" s="26">
        <f>M95*J95</f>
        <v>7.637354012359289E-2</v>
      </c>
      <c r="O95" s="29">
        <f t="shared" si="18"/>
        <v>0</v>
      </c>
      <c r="Q95" s="35">
        <v>45136.947916666664</v>
      </c>
      <c r="R95" s="78">
        <v>7.37387912710124E-3</v>
      </c>
      <c r="S95" s="77">
        <v>1.511415151</v>
      </c>
      <c r="T95" s="36">
        <v>4103</v>
      </c>
      <c r="U95" s="37">
        <f t="shared" si="19"/>
        <v>68.38333333333334</v>
      </c>
      <c r="V95" s="37">
        <f t="shared" si="14"/>
        <v>0.50425043430827321</v>
      </c>
      <c r="W95" s="38">
        <f t="shared" si="20"/>
        <v>26.560697547969596</v>
      </c>
      <c r="Y95" s="45">
        <v>45151.958333333336</v>
      </c>
      <c r="Z95" s="4">
        <v>7.4799488374922701E-3</v>
      </c>
      <c r="AA95" s="3">
        <v>1.257509953</v>
      </c>
      <c r="AB95" s="4">
        <v>1358</v>
      </c>
      <c r="AC95" s="46">
        <f t="shared" si="21"/>
        <v>22.633333333333333</v>
      </c>
      <c r="AD95" s="47">
        <f>AC95*Z95</f>
        <v>0.16929617535524172</v>
      </c>
      <c r="AE95" s="50">
        <f t="shared" si="22"/>
        <v>0</v>
      </c>
      <c r="AG95" s="51">
        <v>45166.958333333336</v>
      </c>
      <c r="AH95" s="79">
        <v>1.2861010188509801E-2</v>
      </c>
      <c r="AI95" s="80">
        <v>0.562700329</v>
      </c>
      <c r="AJ95" s="52">
        <v>4303</v>
      </c>
      <c r="AK95" s="53">
        <f t="shared" si="23"/>
        <v>71.716666666666669</v>
      </c>
      <c r="AL95" s="79">
        <f>AK95*AH95</f>
        <v>0.92234878068596127</v>
      </c>
      <c r="AM95" s="54">
        <f t="shared" si="24"/>
        <v>35.69955160850747</v>
      </c>
      <c r="AO95" s="67">
        <v>45183.958333333336</v>
      </c>
      <c r="AP95" s="68">
        <v>7.3342412991595607E-2</v>
      </c>
      <c r="AQ95" s="69">
        <v>1.3790541089999999</v>
      </c>
      <c r="AR95" s="69">
        <v>7870</v>
      </c>
      <c r="AS95" s="69">
        <f t="shared" si="25"/>
        <v>131.16666666666666</v>
      </c>
      <c r="AT95" s="69">
        <f>AS95*AP95</f>
        <v>9.6200798373976237</v>
      </c>
      <c r="AU95" s="70">
        <f t="shared" si="26"/>
        <v>112.54240468732938</v>
      </c>
    </row>
    <row r="96" spans="1:47" x14ac:dyDescent="0.25">
      <c r="A96" s="8"/>
      <c r="B96" s="1"/>
      <c r="C96" s="1"/>
      <c r="I96" s="25">
        <v>44781.969444444447</v>
      </c>
      <c r="J96" s="26">
        <v>4.2240790635549898E-3</v>
      </c>
      <c r="K96" s="27">
        <v>3.3236783504999998</v>
      </c>
      <c r="L96" s="28">
        <v>1326</v>
      </c>
      <c r="M96" s="29">
        <f t="shared" si="17"/>
        <v>22.1</v>
      </c>
      <c r="N96" s="26">
        <f>M96*J96</f>
        <v>9.3352147304565286E-2</v>
      </c>
      <c r="O96" s="29">
        <f t="shared" si="18"/>
        <v>0</v>
      </c>
      <c r="Q96" s="35">
        <v>45136.958333333336</v>
      </c>
      <c r="R96" s="78">
        <v>8.0316100528620808E-3</v>
      </c>
      <c r="S96" s="77">
        <v>1.654461261</v>
      </c>
      <c r="T96" s="36">
        <v>4394</v>
      </c>
      <c r="U96" s="37">
        <f t="shared" si="19"/>
        <v>73.233333333333334</v>
      </c>
      <c r="V96" s="37">
        <f t="shared" si="14"/>
        <v>0.58818157620459977</v>
      </c>
      <c r="W96" s="38">
        <f t="shared" si="20"/>
        <v>28.640680563368452</v>
      </c>
      <c r="Y96" s="45">
        <v>45151.96875</v>
      </c>
      <c r="Z96" s="4">
        <v>4.5972659347956199E-3</v>
      </c>
      <c r="AA96" s="3">
        <v>1.091323134</v>
      </c>
      <c r="AB96" s="4">
        <v>1089</v>
      </c>
      <c r="AC96" s="46">
        <f t="shared" si="21"/>
        <v>18.149999999999999</v>
      </c>
      <c r="AD96" s="47">
        <f>AC96*Z96</f>
        <v>8.344037671654049E-2</v>
      </c>
      <c r="AE96" s="50">
        <f t="shared" si="22"/>
        <v>0</v>
      </c>
      <c r="AG96" s="51">
        <v>45166.96875</v>
      </c>
      <c r="AH96" s="79">
        <v>1.02421598377785E-2</v>
      </c>
      <c r="AI96" s="80">
        <v>0.475692385</v>
      </c>
      <c r="AJ96" s="52">
        <v>3708</v>
      </c>
      <c r="AK96" s="53">
        <f t="shared" si="23"/>
        <v>61.8</v>
      </c>
      <c r="AL96" s="79">
        <f>AK96*AH96</f>
        <v>0.63296547797471125</v>
      </c>
      <c r="AM96" s="54">
        <f t="shared" si="24"/>
        <v>29.688577585078416</v>
      </c>
      <c r="AO96" s="67">
        <v>45183.96875</v>
      </c>
      <c r="AP96" s="68">
        <v>6.63745645184151E-2</v>
      </c>
      <c r="AQ96" s="69">
        <v>1.5809633519999999</v>
      </c>
      <c r="AR96" s="69">
        <v>7717</v>
      </c>
      <c r="AS96" s="69">
        <f t="shared" si="25"/>
        <v>128.61666666666667</v>
      </c>
      <c r="AT96" s="69">
        <f>AS96*AP96</f>
        <v>8.5368752398101559</v>
      </c>
      <c r="AU96" s="70">
        <f t="shared" si="26"/>
        <v>106.14772263372836</v>
      </c>
    </row>
    <row r="97" spans="1:47" x14ac:dyDescent="0.25">
      <c r="A97" s="8"/>
      <c r="B97" s="1"/>
      <c r="C97" s="1"/>
      <c r="I97" s="25">
        <v>44781.979861111111</v>
      </c>
      <c r="J97" s="26">
        <v>4.0585551869587099E-3</v>
      </c>
      <c r="K97" s="27">
        <v>3.2549971329999998</v>
      </c>
      <c r="L97" s="28">
        <v>1281</v>
      </c>
      <c r="M97" s="29">
        <f t="shared" si="17"/>
        <v>21.35</v>
      </c>
      <c r="N97" s="26">
        <f>M97*J97</f>
        <v>8.6650153241568467E-2</v>
      </c>
      <c r="O97" s="29">
        <f t="shared" si="18"/>
        <v>0</v>
      </c>
      <c r="Q97" s="35">
        <v>45136.96875</v>
      </c>
      <c r="R97" s="78">
        <v>7.2991931379905702E-3</v>
      </c>
      <c r="S97" s="77">
        <v>1.4444654269999999</v>
      </c>
      <c r="T97" s="36">
        <v>3944</v>
      </c>
      <c r="U97" s="37">
        <f t="shared" si="19"/>
        <v>65.733333333333334</v>
      </c>
      <c r="V97" s="37">
        <f t="shared" si="14"/>
        <v>0.47980029560391346</v>
      </c>
      <c r="W97" s="38">
        <f t="shared" si="20"/>
        <v>25.922024993699843</v>
      </c>
      <c r="Y97" s="45">
        <v>45151.979166666664</v>
      </c>
      <c r="Z97" s="4">
        <v>5.7985926547394996E-3</v>
      </c>
      <c r="AA97" s="3">
        <v>1.200201638</v>
      </c>
      <c r="AB97" s="4">
        <v>1231</v>
      </c>
      <c r="AC97" s="46">
        <f t="shared" si="21"/>
        <v>20.516666666666666</v>
      </c>
      <c r="AD97" s="47">
        <f>AC97*Z97</f>
        <v>0.11896779263307206</v>
      </c>
      <c r="AE97" s="50">
        <f t="shared" si="22"/>
        <v>0</v>
      </c>
      <c r="AG97" s="51">
        <v>45166.979166666664</v>
      </c>
      <c r="AH97" s="79">
        <v>1.3324224432231699E-2</v>
      </c>
      <c r="AI97" s="80">
        <v>0.475692385</v>
      </c>
      <c r="AJ97" s="52">
        <v>3555</v>
      </c>
      <c r="AK97" s="53">
        <f t="shared" si="23"/>
        <v>59.25</v>
      </c>
      <c r="AL97" s="79">
        <f>AK97*AH97</f>
        <v>0.78946029760972813</v>
      </c>
      <c r="AM97" s="54">
        <f t="shared" si="24"/>
        <v>33.08081782499211</v>
      </c>
      <c r="AO97" s="67">
        <v>45183.979166666664</v>
      </c>
      <c r="AP97" s="68">
        <v>6.8756285186304805E-2</v>
      </c>
      <c r="AQ97" s="69">
        <v>1.4444654269999999</v>
      </c>
      <c r="AR97" s="69">
        <v>8444</v>
      </c>
      <c r="AS97" s="69">
        <f t="shared" si="25"/>
        <v>140.73333333333332</v>
      </c>
      <c r="AT97" s="69">
        <f>AS97*AP97</f>
        <v>9.6763012018859627</v>
      </c>
      <c r="AU97" s="70">
        <f t="shared" si="26"/>
        <v>112.86400971102771</v>
      </c>
    </row>
    <row r="98" spans="1:47" x14ac:dyDescent="0.25">
      <c r="A98" s="8"/>
      <c r="B98" s="1"/>
      <c r="C98" s="1"/>
      <c r="I98" s="25">
        <v>44781.990277777775</v>
      </c>
      <c r="J98" s="26">
        <v>4.1262590136064998E-3</v>
      </c>
      <c r="K98" s="27">
        <v>3.3297358964999999</v>
      </c>
      <c r="L98" s="28">
        <v>1324</v>
      </c>
      <c r="M98" s="29">
        <f t="shared" si="17"/>
        <v>22.066666666666666</v>
      </c>
      <c r="N98" s="26">
        <f>M98*J98</f>
        <v>9.1052782233583429E-2</v>
      </c>
      <c r="O98" s="29">
        <f t="shared" si="18"/>
        <v>0</v>
      </c>
      <c r="Q98" s="35">
        <v>45136.979166666664</v>
      </c>
      <c r="R98" s="78">
        <v>7.3404619826555198E-3</v>
      </c>
      <c r="S98" s="77">
        <v>1.654461261</v>
      </c>
      <c r="T98" s="36">
        <v>4270</v>
      </c>
      <c r="U98" s="37">
        <f t="shared" si="19"/>
        <v>71.166666666666671</v>
      </c>
      <c r="V98" s="37">
        <f t="shared" si="14"/>
        <v>0.52239621109898449</v>
      </c>
      <c r="W98" s="38">
        <f t="shared" si="20"/>
        <v>27.024533240405859</v>
      </c>
      <c r="Y98" s="45">
        <v>45151.989583333336</v>
      </c>
      <c r="Z98" s="4">
        <v>4.9418558586177396E-3</v>
      </c>
      <c r="AA98" s="3">
        <v>1.091323134</v>
      </c>
      <c r="AB98" s="4">
        <v>1249</v>
      </c>
      <c r="AC98" s="46">
        <f t="shared" si="21"/>
        <v>20.816666666666666</v>
      </c>
      <c r="AD98" s="47">
        <f>AC98*Z98</f>
        <v>0.10287296612355928</v>
      </c>
      <c r="AE98" s="50">
        <f t="shared" si="22"/>
        <v>0</v>
      </c>
      <c r="AG98" s="51">
        <v>45166.989583333336</v>
      </c>
      <c r="AH98" s="79">
        <v>1.3544568633006999E-2</v>
      </c>
      <c r="AI98" s="80">
        <v>0.53201108200000002</v>
      </c>
      <c r="AJ98" s="52">
        <v>4299</v>
      </c>
      <c r="AK98" s="53">
        <f t="shared" si="23"/>
        <v>71.650000000000006</v>
      </c>
      <c r="AL98" s="79">
        <f>AK98*AH98</f>
        <v>0.97046834255495151</v>
      </c>
      <c r="AM98" s="54">
        <f t="shared" si="24"/>
        <v>36.599771247132161</v>
      </c>
      <c r="AO98" s="67">
        <v>45183.989583333336</v>
      </c>
      <c r="AP98" s="68">
        <v>5.2860391631022803E-2</v>
      </c>
      <c r="AQ98" s="69">
        <v>1.091323134</v>
      </c>
      <c r="AR98" s="69">
        <v>8972</v>
      </c>
      <c r="AS98" s="69">
        <f t="shared" si="25"/>
        <v>149.53333333333333</v>
      </c>
      <c r="AT98" s="69">
        <f>AS98*AP98</f>
        <v>7.9043905618922761</v>
      </c>
      <c r="AU98" s="70">
        <f t="shared" si="26"/>
        <v>102.22091020609001</v>
      </c>
    </row>
    <row r="99" spans="1:47" x14ac:dyDescent="0.25">
      <c r="I99" s="25">
        <v>44782.000694444447</v>
      </c>
      <c r="J99" s="26">
        <v>4.8494832153276202E-3</v>
      </c>
      <c r="K99" s="27">
        <v>3.3683360045000001</v>
      </c>
      <c r="L99" s="28">
        <v>1362</v>
      </c>
      <c r="M99" s="29">
        <f t="shared" si="17"/>
        <v>22.7</v>
      </c>
      <c r="N99" s="26">
        <f>M99*J99</f>
        <v>0.11008326898793698</v>
      </c>
      <c r="O99" s="29">
        <f t="shared" si="18"/>
        <v>0</v>
      </c>
      <c r="Q99" s="35">
        <v>45136.989583333336</v>
      </c>
      <c r="R99" s="78">
        <v>8.1048084086548008E-3</v>
      </c>
      <c r="S99" s="77">
        <v>1.729502407</v>
      </c>
      <c r="T99" s="36">
        <v>4299</v>
      </c>
      <c r="U99" s="37">
        <f t="shared" si="19"/>
        <v>71.650000000000006</v>
      </c>
      <c r="V99" s="37">
        <f t="shared" si="14"/>
        <v>0.58070952248011654</v>
      </c>
      <c r="W99" s="38">
        <f t="shared" si="20"/>
        <v>28.461926274567773</v>
      </c>
      <c r="Y99" s="45">
        <v>45152</v>
      </c>
      <c r="Z99" s="4">
        <v>3.7873648888279501E-3</v>
      </c>
      <c r="AA99" s="3">
        <v>0.85462156099999997</v>
      </c>
      <c r="AB99" s="4">
        <v>958</v>
      </c>
      <c r="AC99" s="46">
        <f t="shared" si="21"/>
        <v>15.966666666666667</v>
      </c>
      <c r="AD99" s="47">
        <f>AC99*Z99</f>
        <v>6.0471592724952936E-2</v>
      </c>
      <c r="AE99" s="50">
        <f t="shared" si="22"/>
        <v>0</v>
      </c>
      <c r="AG99" s="51">
        <v>45167</v>
      </c>
      <c r="AH99" s="79">
        <v>9.7988975464284207E-3</v>
      </c>
      <c r="AI99" s="80">
        <v>0.475692385</v>
      </c>
      <c r="AJ99" s="52">
        <v>3616</v>
      </c>
      <c r="AK99" s="53">
        <f t="shared" si="23"/>
        <v>60.266666666666666</v>
      </c>
      <c r="AL99" s="79">
        <f>AK99*AH99</f>
        <v>0.59054689213141953</v>
      </c>
      <c r="AM99" s="54">
        <f t="shared" si="24"/>
        <v>28.697024376637046</v>
      </c>
      <c r="AO99" s="67">
        <v>45184</v>
      </c>
      <c r="AP99" s="68">
        <v>4.6886027111684499E-2</v>
      </c>
      <c r="AQ99" s="69">
        <v>1.091323134</v>
      </c>
      <c r="AR99" s="69">
        <v>9081</v>
      </c>
      <c r="AS99" s="69">
        <f t="shared" si="25"/>
        <v>151.35</v>
      </c>
      <c r="AT99" s="69">
        <f>AS99*AP99</f>
        <v>7.0962002033534484</v>
      </c>
      <c r="AU99" s="70">
        <f t="shared" si="26"/>
        <v>96.961864078761835</v>
      </c>
    </row>
    <row r="100" spans="1:47" x14ac:dyDescent="0.25">
      <c r="Q100" s="35">
        <v>45137</v>
      </c>
      <c r="R100" s="78">
        <v>7.3052188785446004E-3</v>
      </c>
      <c r="S100" s="77">
        <v>1.511415151</v>
      </c>
      <c r="T100" s="36">
        <v>3911</v>
      </c>
      <c r="U100" s="37">
        <f t="shared" si="19"/>
        <v>65.183333333333337</v>
      </c>
      <c r="V100" s="37">
        <f t="shared" si="14"/>
        <v>0.4761785172331322</v>
      </c>
      <c r="W100" s="38">
        <f t="shared" si="20"/>
        <v>25.826018806095679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 results</vt:lpstr>
      <vt:lpstr>time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2025-11-20T00:10:30Z</dcterms:modified>
</cp:coreProperties>
</file>