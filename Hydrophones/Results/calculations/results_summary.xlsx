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Results\calculations\"/>
    </mc:Choice>
  </mc:AlternateContent>
  <xr:revisionPtr revIDLastSave="0" documentId="13_ncr:1_{8833A335-2EA7-4B67-B4EC-A3FAD2C5E56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x results" sheetId="1" r:id="rId1"/>
    <sheet name="time seri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4" i="2" l="1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3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S102" i="2"/>
  <c r="BS101" i="2"/>
  <c r="BQ101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3" i="2"/>
  <c r="BN1" i="2"/>
  <c r="BL1" i="2"/>
  <c r="BB1" i="2"/>
  <c r="AX1" i="2"/>
  <c r="AP1" i="2"/>
  <c r="AD1" i="2" l="1"/>
  <c r="R1" i="2"/>
  <c r="F1" i="2"/>
  <c r="CO3" i="2" l="1"/>
  <c r="CP3" i="2" s="1"/>
  <c r="CQ3" i="2" s="1"/>
  <c r="CW3" i="2"/>
  <c r="CX3" i="2" s="1"/>
  <c r="CT1" i="2"/>
  <c r="CD1" i="2" l="1"/>
  <c r="BY3" i="2"/>
  <c r="BY4" i="2"/>
  <c r="BY5" i="2"/>
  <c r="BZ5" i="2" s="1"/>
  <c r="CA5" i="2" s="1"/>
  <c r="BY6" i="2"/>
  <c r="BZ6" i="2" s="1"/>
  <c r="CA6" i="2" s="1"/>
  <c r="BY7" i="2"/>
  <c r="BZ7" i="2" s="1"/>
  <c r="CA7" i="2" s="1"/>
  <c r="BY8" i="2"/>
  <c r="BZ8" i="2" s="1"/>
  <c r="CA8" i="2" s="1"/>
  <c r="BY9" i="2"/>
  <c r="BZ9" i="2" s="1"/>
  <c r="CA9" i="2" s="1"/>
  <c r="BY10" i="2"/>
  <c r="BY11" i="2"/>
  <c r="BZ11" i="2" s="1"/>
  <c r="CA11" i="2" s="1"/>
  <c r="BY12" i="2"/>
  <c r="BZ12" i="2" s="1"/>
  <c r="CA12" i="2" s="1"/>
  <c r="BY13" i="2"/>
  <c r="BZ13" i="2" s="1"/>
  <c r="CA13" i="2" s="1"/>
  <c r="BY14" i="2"/>
  <c r="BZ14" i="2" s="1"/>
  <c r="CA14" i="2" s="1"/>
  <c r="BY15" i="2"/>
  <c r="BZ15" i="2" s="1"/>
  <c r="CA15" i="2" s="1"/>
  <c r="BY16" i="2"/>
  <c r="BZ16" i="2" s="1"/>
  <c r="CA16" i="2" s="1"/>
  <c r="BY17" i="2"/>
  <c r="BZ17" i="2" s="1"/>
  <c r="CA17" i="2" s="1"/>
  <c r="BY18" i="2"/>
  <c r="BZ18" i="2" s="1"/>
  <c r="CA18" i="2" s="1"/>
  <c r="BY19" i="2"/>
  <c r="BZ19" i="2" s="1"/>
  <c r="CA19" i="2" s="1"/>
  <c r="BY20" i="2"/>
  <c r="BZ20" i="2" s="1"/>
  <c r="CA20" i="2" s="1"/>
  <c r="BY21" i="2"/>
  <c r="BZ21" i="2" s="1"/>
  <c r="CA21" i="2" s="1"/>
  <c r="BY22" i="2"/>
  <c r="BY23" i="2"/>
  <c r="BZ23" i="2" s="1"/>
  <c r="CA23" i="2" s="1"/>
  <c r="BY24" i="2"/>
  <c r="BZ24" i="2" s="1"/>
  <c r="CA24" i="2" s="1"/>
  <c r="BY25" i="2"/>
  <c r="BZ25" i="2" s="1"/>
  <c r="CA25" i="2" s="1"/>
  <c r="BY26" i="2"/>
  <c r="BZ26" i="2" s="1"/>
  <c r="CA26" i="2" s="1"/>
  <c r="BY27" i="2"/>
  <c r="BZ27" i="2" s="1"/>
  <c r="CA27" i="2" s="1"/>
  <c r="BY28" i="2"/>
  <c r="BZ28" i="2" s="1"/>
  <c r="CA28" i="2" s="1"/>
  <c r="BY29" i="2"/>
  <c r="BZ29" i="2" s="1"/>
  <c r="CA29" i="2" s="1"/>
  <c r="BY30" i="2"/>
  <c r="BZ30" i="2" s="1"/>
  <c r="CA30" i="2" s="1"/>
  <c r="BY31" i="2"/>
  <c r="BZ31" i="2" s="1"/>
  <c r="CA31" i="2" s="1"/>
  <c r="BY32" i="2"/>
  <c r="BZ32" i="2" s="1"/>
  <c r="CA32" i="2" s="1"/>
  <c r="BY33" i="2"/>
  <c r="BZ33" i="2" s="1"/>
  <c r="CA33" i="2" s="1"/>
  <c r="BY34" i="2"/>
  <c r="BZ34" i="2" s="1"/>
  <c r="CA34" i="2" s="1"/>
  <c r="BY35" i="2"/>
  <c r="BZ35" i="2" s="1"/>
  <c r="CA35" i="2" s="1"/>
  <c r="BY36" i="2"/>
  <c r="BZ36" i="2" s="1"/>
  <c r="CA36" i="2" s="1"/>
  <c r="BY37" i="2"/>
  <c r="BZ37" i="2" s="1"/>
  <c r="CA37" i="2" s="1"/>
  <c r="BY38" i="2"/>
  <c r="BZ38" i="2" s="1"/>
  <c r="CA38" i="2" s="1"/>
  <c r="BY39" i="2"/>
  <c r="BZ39" i="2" s="1"/>
  <c r="CA39" i="2" s="1"/>
  <c r="BY40" i="2"/>
  <c r="BZ40" i="2" s="1"/>
  <c r="CA40" i="2" s="1"/>
  <c r="BY41" i="2"/>
  <c r="BY42" i="2"/>
  <c r="BZ42" i="2" s="1"/>
  <c r="CA42" i="2" s="1"/>
  <c r="BY43" i="2"/>
  <c r="BZ43" i="2" s="1"/>
  <c r="CA43" i="2" s="1"/>
  <c r="BY44" i="2"/>
  <c r="BZ44" i="2" s="1"/>
  <c r="CA44" i="2" s="1"/>
  <c r="BY45" i="2"/>
  <c r="BZ45" i="2" s="1"/>
  <c r="CA45" i="2" s="1"/>
  <c r="BY46" i="2"/>
  <c r="BZ46" i="2" s="1"/>
  <c r="CA46" i="2" s="1"/>
  <c r="BY47" i="2"/>
  <c r="BZ47" i="2" s="1"/>
  <c r="CA47" i="2" s="1"/>
  <c r="BY48" i="2"/>
  <c r="BZ48" i="2" s="1"/>
  <c r="CA48" i="2" s="1"/>
  <c r="BY49" i="2"/>
  <c r="BZ49" i="2" s="1"/>
  <c r="CA49" i="2" s="1"/>
  <c r="BY50" i="2"/>
  <c r="BZ50" i="2" s="1"/>
  <c r="CA50" i="2" s="1"/>
  <c r="BY51" i="2"/>
  <c r="BZ51" i="2" s="1"/>
  <c r="CA51" i="2" s="1"/>
  <c r="BY52" i="2"/>
  <c r="BZ52" i="2" s="1"/>
  <c r="CA52" i="2" s="1"/>
  <c r="BY53" i="2"/>
  <c r="BZ53" i="2" s="1"/>
  <c r="CA53" i="2" s="1"/>
  <c r="BY54" i="2"/>
  <c r="BZ54" i="2" s="1"/>
  <c r="CA54" i="2" s="1"/>
  <c r="BY55" i="2"/>
  <c r="BZ55" i="2" s="1"/>
  <c r="CA55" i="2" s="1"/>
  <c r="BY56" i="2"/>
  <c r="BZ56" i="2" s="1"/>
  <c r="CA56" i="2" s="1"/>
  <c r="BY57" i="2"/>
  <c r="BZ57" i="2" s="1"/>
  <c r="CA57" i="2" s="1"/>
  <c r="BY58" i="2"/>
  <c r="BZ58" i="2" s="1"/>
  <c r="CA58" i="2" s="1"/>
  <c r="BY59" i="2"/>
  <c r="BZ59" i="2" s="1"/>
  <c r="CA59" i="2" s="1"/>
  <c r="BY60" i="2"/>
  <c r="BZ60" i="2" s="1"/>
  <c r="CA60" i="2" s="1"/>
  <c r="BY61" i="2"/>
  <c r="BZ61" i="2" s="1"/>
  <c r="CA61" i="2" s="1"/>
  <c r="BY62" i="2"/>
  <c r="BZ62" i="2" s="1"/>
  <c r="CA62" i="2" s="1"/>
  <c r="BY63" i="2"/>
  <c r="BZ63" i="2" s="1"/>
  <c r="CA63" i="2" s="1"/>
  <c r="BY64" i="2"/>
  <c r="BZ64" i="2" s="1"/>
  <c r="CA64" i="2" s="1"/>
  <c r="BY65" i="2"/>
  <c r="BZ65" i="2" s="1"/>
  <c r="CA65" i="2" s="1"/>
  <c r="BY66" i="2"/>
  <c r="BZ66" i="2" s="1"/>
  <c r="CA66" i="2" s="1"/>
  <c r="BY67" i="2"/>
  <c r="BZ67" i="2" s="1"/>
  <c r="CA67" i="2" s="1"/>
  <c r="BY68" i="2"/>
  <c r="BZ68" i="2" s="1"/>
  <c r="CA68" i="2" s="1"/>
  <c r="BY69" i="2"/>
  <c r="BZ69" i="2" s="1"/>
  <c r="CA69" i="2" s="1"/>
  <c r="BY70" i="2"/>
  <c r="BY71" i="2"/>
  <c r="BZ71" i="2" s="1"/>
  <c r="CA71" i="2" s="1"/>
  <c r="BY72" i="2"/>
  <c r="BZ72" i="2" s="1"/>
  <c r="CA72" i="2" s="1"/>
  <c r="BY73" i="2"/>
  <c r="BZ73" i="2" s="1"/>
  <c r="CA73" i="2" s="1"/>
  <c r="BY74" i="2"/>
  <c r="BZ74" i="2" s="1"/>
  <c r="CA74" i="2" s="1"/>
  <c r="BY75" i="2"/>
  <c r="BZ75" i="2" s="1"/>
  <c r="CA75" i="2" s="1"/>
  <c r="BY76" i="2"/>
  <c r="BZ76" i="2" s="1"/>
  <c r="CA76" i="2" s="1"/>
  <c r="BY77" i="2"/>
  <c r="BZ77" i="2" s="1"/>
  <c r="CA77" i="2" s="1"/>
  <c r="BY78" i="2"/>
  <c r="BZ78" i="2" s="1"/>
  <c r="CA78" i="2" s="1"/>
  <c r="BY79" i="2"/>
  <c r="BZ79" i="2" s="1"/>
  <c r="CA79" i="2" s="1"/>
  <c r="BY80" i="2"/>
  <c r="BZ80" i="2" s="1"/>
  <c r="CA80" i="2" s="1"/>
  <c r="BY81" i="2"/>
  <c r="BZ81" i="2" s="1"/>
  <c r="CA81" i="2" s="1"/>
  <c r="BY82" i="2"/>
  <c r="BZ82" i="2" s="1"/>
  <c r="CA82" i="2" s="1"/>
  <c r="BY83" i="2"/>
  <c r="BZ83" i="2" s="1"/>
  <c r="CA83" i="2" s="1"/>
  <c r="BY84" i="2"/>
  <c r="BZ84" i="2" s="1"/>
  <c r="CA84" i="2" s="1"/>
  <c r="BY85" i="2"/>
  <c r="BZ85" i="2" s="1"/>
  <c r="CA85" i="2" s="1"/>
  <c r="BY86" i="2"/>
  <c r="BZ86" i="2" s="1"/>
  <c r="CA86" i="2" s="1"/>
  <c r="BY87" i="2"/>
  <c r="BZ87" i="2" s="1"/>
  <c r="CA87" i="2" s="1"/>
  <c r="CW4" i="2"/>
  <c r="CX4" i="2" s="1"/>
  <c r="CY4" i="2" s="1"/>
  <c r="CW5" i="2"/>
  <c r="CX5" i="2" s="1"/>
  <c r="CY5" i="2" s="1"/>
  <c r="CW6" i="2"/>
  <c r="CX6" i="2" s="1"/>
  <c r="CY6" i="2" s="1"/>
  <c r="CW7" i="2"/>
  <c r="CX7" i="2" s="1"/>
  <c r="CY7" i="2" s="1"/>
  <c r="CW8" i="2"/>
  <c r="CX8" i="2" s="1"/>
  <c r="CY8" i="2" s="1"/>
  <c r="CW9" i="2"/>
  <c r="CX9" i="2" s="1"/>
  <c r="CY9" i="2" s="1"/>
  <c r="CW10" i="2"/>
  <c r="CX10" i="2" s="1"/>
  <c r="CY10" i="2" s="1"/>
  <c r="CW11" i="2"/>
  <c r="CX11" i="2" s="1"/>
  <c r="CY11" i="2" s="1"/>
  <c r="CW12" i="2"/>
  <c r="CX12" i="2" s="1"/>
  <c r="CY12" i="2" s="1"/>
  <c r="CW13" i="2"/>
  <c r="CX13" i="2" s="1"/>
  <c r="CY13" i="2" s="1"/>
  <c r="CW14" i="2"/>
  <c r="CX14" i="2" s="1"/>
  <c r="CY14" i="2" s="1"/>
  <c r="CW15" i="2"/>
  <c r="CX15" i="2" s="1"/>
  <c r="CY15" i="2" s="1"/>
  <c r="CW16" i="2"/>
  <c r="CX16" i="2" s="1"/>
  <c r="CY16" i="2" s="1"/>
  <c r="CW17" i="2"/>
  <c r="CX17" i="2" s="1"/>
  <c r="CY17" i="2" s="1"/>
  <c r="CW18" i="2"/>
  <c r="CX18" i="2" s="1"/>
  <c r="CY18" i="2" s="1"/>
  <c r="CW19" i="2"/>
  <c r="CX19" i="2" s="1"/>
  <c r="CY19" i="2" s="1"/>
  <c r="CW20" i="2"/>
  <c r="CX20" i="2" s="1"/>
  <c r="CY20" i="2" s="1"/>
  <c r="CW21" i="2"/>
  <c r="CX21" i="2" s="1"/>
  <c r="CY21" i="2" s="1"/>
  <c r="CW22" i="2"/>
  <c r="CX22" i="2" s="1"/>
  <c r="CY22" i="2" s="1"/>
  <c r="CW23" i="2"/>
  <c r="CX23" i="2" s="1"/>
  <c r="CY23" i="2" s="1"/>
  <c r="CW24" i="2"/>
  <c r="CX24" i="2" s="1"/>
  <c r="CY24" i="2" s="1"/>
  <c r="CW25" i="2"/>
  <c r="CX25" i="2" s="1"/>
  <c r="CY25" i="2" s="1"/>
  <c r="CW26" i="2"/>
  <c r="CX26" i="2" s="1"/>
  <c r="CY26" i="2" s="1"/>
  <c r="CW27" i="2"/>
  <c r="CX27" i="2" s="1"/>
  <c r="CY27" i="2" s="1"/>
  <c r="CW28" i="2"/>
  <c r="CX28" i="2" s="1"/>
  <c r="CY28" i="2" s="1"/>
  <c r="CW29" i="2"/>
  <c r="CX29" i="2" s="1"/>
  <c r="CY29" i="2" s="1"/>
  <c r="CW30" i="2"/>
  <c r="CX30" i="2" s="1"/>
  <c r="CY30" i="2" s="1"/>
  <c r="CW31" i="2"/>
  <c r="CX31" i="2" s="1"/>
  <c r="CY31" i="2" s="1"/>
  <c r="CW32" i="2"/>
  <c r="CX32" i="2" s="1"/>
  <c r="CY32" i="2" s="1"/>
  <c r="CW33" i="2"/>
  <c r="CX33" i="2" s="1"/>
  <c r="CY33" i="2" s="1"/>
  <c r="CW34" i="2"/>
  <c r="CX34" i="2" s="1"/>
  <c r="CY34" i="2" s="1"/>
  <c r="CW35" i="2"/>
  <c r="CX35" i="2" s="1"/>
  <c r="CY35" i="2" s="1"/>
  <c r="CW36" i="2"/>
  <c r="CX36" i="2" s="1"/>
  <c r="CY36" i="2" s="1"/>
  <c r="CW37" i="2"/>
  <c r="CX37" i="2" s="1"/>
  <c r="CY37" i="2" s="1"/>
  <c r="CW38" i="2"/>
  <c r="CX38" i="2" s="1"/>
  <c r="CY38" i="2" s="1"/>
  <c r="CW39" i="2"/>
  <c r="CX39" i="2" s="1"/>
  <c r="CY39" i="2" s="1"/>
  <c r="CW40" i="2"/>
  <c r="CX40" i="2" s="1"/>
  <c r="CY40" i="2" s="1"/>
  <c r="CW41" i="2"/>
  <c r="CX41" i="2" s="1"/>
  <c r="CY41" i="2" s="1"/>
  <c r="CW42" i="2"/>
  <c r="CX42" i="2" s="1"/>
  <c r="CY42" i="2" s="1"/>
  <c r="CW43" i="2"/>
  <c r="CX43" i="2" s="1"/>
  <c r="CY43" i="2" s="1"/>
  <c r="CW44" i="2"/>
  <c r="CX44" i="2" s="1"/>
  <c r="CY44" i="2" s="1"/>
  <c r="CW45" i="2"/>
  <c r="CX45" i="2" s="1"/>
  <c r="CY45" i="2" s="1"/>
  <c r="CW46" i="2"/>
  <c r="CX46" i="2" s="1"/>
  <c r="CY46" i="2" s="1"/>
  <c r="CW47" i="2"/>
  <c r="CX47" i="2" s="1"/>
  <c r="CY47" i="2" s="1"/>
  <c r="CW48" i="2"/>
  <c r="CX48" i="2" s="1"/>
  <c r="CY48" i="2" s="1"/>
  <c r="CW49" i="2"/>
  <c r="CX49" i="2" s="1"/>
  <c r="CY49" i="2" s="1"/>
  <c r="CW50" i="2"/>
  <c r="CX50" i="2" s="1"/>
  <c r="CY50" i="2" s="1"/>
  <c r="CW51" i="2"/>
  <c r="CX51" i="2" s="1"/>
  <c r="CY51" i="2" s="1"/>
  <c r="CW52" i="2"/>
  <c r="CX52" i="2" s="1"/>
  <c r="CY52" i="2" s="1"/>
  <c r="CW53" i="2"/>
  <c r="CX53" i="2" s="1"/>
  <c r="CY53" i="2" s="1"/>
  <c r="CW54" i="2"/>
  <c r="CX54" i="2" s="1"/>
  <c r="CY54" i="2" s="1"/>
  <c r="CW55" i="2"/>
  <c r="CX55" i="2" s="1"/>
  <c r="CY55" i="2" s="1"/>
  <c r="CW56" i="2"/>
  <c r="CX56" i="2" s="1"/>
  <c r="CY56" i="2" s="1"/>
  <c r="CW57" i="2"/>
  <c r="CX57" i="2" s="1"/>
  <c r="CY57" i="2" s="1"/>
  <c r="CW58" i="2"/>
  <c r="CX58" i="2" s="1"/>
  <c r="CY58" i="2" s="1"/>
  <c r="CW59" i="2"/>
  <c r="CX59" i="2" s="1"/>
  <c r="CY59" i="2" s="1"/>
  <c r="CW60" i="2"/>
  <c r="CX60" i="2" s="1"/>
  <c r="CY60" i="2" s="1"/>
  <c r="CW61" i="2"/>
  <c r="CX61" i="2" s="1"/>
  <c r="CY61" i="2" s="1"/>
  <c r="CW62" i="2"/>
  <c r="CX62" i="2" s="1"/>
  <c r="CY62" i="2" s="1"/>
  <c r="CW63" i="2"/>
  <c r="CX63" i="2" s="1"/>
  <c r="CY63" i="2" s="1"/>
  <c r="CW64" i="2"/>
  <c r="CX64" i="2" s="1"/>
  <c r="CY64" i="2" s="1"/>
  <c r="CW65" i="2"/>
  <c r="CX65" i="2" s="1"/>
  <c r="CY65" i="2" s="1"/>
  <c r="CW66" i="2"/>
  <c r="CX66" i="2" s="1"/>
  <c r="CY66" i="2" s="1"/>
  <c r="CW67" i="2"/>
  <c r="CX67" i="2" s="1"/>
  <c r="CY67" i="2" s="1"/>
  <c r="CW68" i="2"/>
  <c r="CX68" i="2" s="1"/>
  <c r="CY68" i="2" s="1"/>
  <c r="CW69" i="2"/>
  <c r="CX69" i="2" s="1"/>
  <c r="CY69" i="2" s="1"/>
  <c r="CW70" i="2"/>
  <c r="CX70" i="2" s="1"/>
  <c r="CY70" i="2" s="1"/>
  <c r="CW71" i="2"/>
  <c r="CX71" i="2" s="1"/>
  <c r="CY71" i="2" s="1"/>
  <c r="CW72" i="2"/>
  <c r="CX72" i="2" s="1"/>
  <c r="CY72" i="2" s="1"/>
  <c r="CW73" i="2"/>
  <c r="CX73" i="2" s="1"/>
  <c r="CY73" i="2" s="1"/>
  <c r="CW74" i="2"/>
  <c r="CX74" i="2" s="1"/>
  <c r="CY74" i="2" s="1"/>
  <c r="CW75" i="2"/>
  <c r="CX75" i="2" s="1"/>
  <c r="CY75" i="2" s="1"/>
  <c r="CW76" i="2"/>
  <c r="CX76" i="2" s="1"/>
  <c r="CY76" i="2" s="1"/>
  <c r="CW77" i="2"/>
  <c r="CX77" i="2" s="1"/>
  <c r="CY77" i="2" s="1"/>
  <c r="CW78" i="2"/>
  <c r="CX78" i="2" s="1"/>
  <c r="CY78" i="2" s="1"/>
  <c r="CW79" i="2"/>
  <c r="CX79" i="2" s="1"/>
  <c r="CY79" i="2" s="1"/>
  <c r="CW80" i="2"/>
  <c r="CX80" i="2" s="1"/>
  <c r="CY80" i="2" s="1"/>
  <c r="CW81" i="2"/>
  <c r="CX81" i="2" s="1"/>
  <c r="CY81" i="2" s="1"/>
  <c r="CW82" i="2"/>
  <c r="CX82" i="2" s="1"/>
  <c r="CY82" i="2" s="1"/>
  <c r="CW83" i="2"/>
  <c r="CX83" i="2" s="1"/>
  <c r="CY83" i="2" s="1"/>
  <c r="CW84" i="2"/>
  <c r="CX84" i="2" s="1"/>
  <c r="CY84" i="2" s="1"/>
  <c r="CW85" i="2"/>
  <c r="CX85" i="2" s="1"/>
  <c r="CY85" i="2" s="1"/>
  <c r="CW86" i="2"/>
  <c r="CX86" i="2" s="1"/>
  <c r="CY86" i="2" s="1"/>
  <c r="CW87" i="2"/>
  <c r="CX87" i="2" s="1"/>
  <c r="CY87" i="2" s="1"/>
  <c r="CW88" i="2"/>
  <c r="CX88" i="2" s="1"/>
  <c r="CY88" i="2" s="1"/>
  <c r="CW89" i="2"/>
  <c r="CX89" i="2" s="1"/>
  <c r="CY89" i="2" s="1"/>
  <c r="CW90" i="2"/>
  <c r="CX90" i="2" s="1"/>
  <c r="CY90" i="2" s="1"/>
  <c r="CW91" i="2"/>
  <c r="CX91" i="2" s="1"/>
  <c r="CY91" i="2" s="1"/>
  <c r="CW92" i="2"/>
  <c r="CX92" i="2" s="1"/>
  <c r="CY92" i="2" s="1"/>
  <c r="CW93" i="2"/>
  <c r="CX93" i="2" s="1"/>
  <c r="CY93" i="2" s="1"/>
  <c r="CW94" i="2"/>
  <c r="CX94" i="2" s="1"/>
  <c r="CY94" i="2" s="1"/>
  <c r="CW95" i="2"/>
  <c r="CX95" i="2" s="1"/>
  <c r="CY95" i="2" s="1"/>
  <c r="CW96" i="2"/>
  <c r="CX96" i="2" s="1"/>
  <c r="CY96" i="2" s="1"/>
  <c r="CW97" i="2"/>
  <c r="CX97" i="2" s="1"/>
  <c r="CY97" i="2" s="1"/>
  <c r="CW98" i="2"/>
  <c r="CX98" i="2" s="1"/>
  <c r="CY98" i="2" s="1"/>
  <c r="CW99" i="2"/>
  <c r="CX99" i="2" s="1"/>
  <c r="CY99" i="2" s="1"/>
  <c r="CW100" i="2"/>
  <c r="CX100" i="2" s="1"/>
  <c r="CY100" i="2" s="1"/>
  <c r="CW101" i="2"/>
  <c r="CX101" i="2" s="1"/>
  <c r="CY101" i="2" s="1"/>
  <c r="CW102" i="2"/>
  <c r="CX102" i="2" s="1"/>
  <c r="CY102" i="2" s="1"/>
  <c r="CW103" i="2"/>
  <c r="CX103" i="2" s="1"/>
  <c r="CY103" i="2" s="1"/>
  <c r="CW104" i="2"/>
  <c r="CX104" i="2" s="1"/>
  <c r="CY104" i="2" s="1"/>
  <c r="CW105" i="2"/>
  <c r="CX105" i="2" s="1"/>
  <c r="CY105" i="2" s="1"/>
  <c r="CW106" i="2"/>
  <c r="CX106" i="2" s="1"/>
  <c r="CY106" i="2" s="1"/>
  <c r="CW107" i="2"/>
  <c r="CX107" i="2" s="1"/>
  <c r="CY107" i="2" s="1"/>
  <c r="CW108" i="2"/>
  <c r="CX108" i="2" s="1"/>
  <c r="CY108" i="2" s="1"/>
  <c r="CW109" i="2"/>
  <c r="CX109" i="2" s="1"/>
  <c r="CY109" i="2" s="1"/>
  <c r="CW110" i="2"/>
  <c r="CX110" i="2" s="1"/>
  <c r="CY110" i="2" s="1"/>
  <c r="CW111" i="2"/>
  <c r="CX111" i="2" s="1"/>
  <c r="CY111" i="2" s="1"/>
  <c r="CW112" i="2"/>
  <c r="CX112" i="2" s="1"/>
  <c r="CY112" i="2" s="1"/>
  <c r="CW113" i="2"/>
  <c r="CX113" i="2" s="1"/>
  <c r="CY113" i="2" s="1"/>
  <c r="CW114" i="2"/>
  <c r="CX114" i="2" s="1"/>
  <c r="CY114" i="2" s="1"/>
  <c r="CW115" i="2"/>
  <c r="CX115" i="2" s="1"/>
  <c r="CY115" i="2" s="1"/>
  <c r="CW116" i="2"/>
  <c r="CX116" i="2" s="1"/>
  <c r="CY116" i="2" s="1"/>
  <c r="CW117" i="2"/>
  <c r="CX117" i="2" s="1"/>
  <c r="CY117" i="2" s="1"/>
  <c r="CW118" i="2"/>
  <c r="CX118" i="2" s="1"/>
  <c r="CY118" i="2" s="1"/>
  <c r="CW119" i="2"/>
  <c r="CX119" i="2" s="1"/>
  <c r="CY119" i="2" s="1"/>
  <c r="CW120" i="2"/>
  <c r="CX120" i="2" s="1"/>
  <c r="CY120" i="2" s="1"/>
  <c r="CY3" i="2"/>
  <c r="CL1" i="2"/>
  <c r="CO4" i="2"/>
  <c r="CP4" i="2" s="1"/>
  <c r="CQ4" i="2" s="1"/>
  <c r="CO5" i="2"/>
  <c r="CP5" i="2" s="1"/>
  <c r="CQ5" i="2" s="1"/>
  <c r="CO6" i="2"/>
  <c r="CP6" i="2" s="1"/>
  <c r="CQ6" i="2" s="1"/>
  <c r="CO7" i="2"/>
  <c r="CP7" i="2" s="1"/>
  <c r="CQ7" i="2" s="1"/>
  <c r="CO8" i="2"/>
  <c r="CP8" i="2" s="1"/>
  <c r="CQ8" i="2" s="1"/>
  <c r="CO9" i="2"/>
  <c r="CP9" i="2" s="1"/>
  <c r="CQ9" i="2" s="1"/>
  <c r="CO10" i="2"/>
  <c r="CP10" i="2" s="1"/>
  <c r="CQ10" i="2" s="1"/>
  <c r="CO11" i="2"/>
  <c r="CP11" i="2" s="1"/>
  <c r="CQ11" i="2" s="1"/>
  <c r="CO12" i="2"/>
  <c r="CP12" i="2" s="1"/>
  <c r="CQ12" i="2" s="1"/>
  <c r="CO13" i="2"/>
  <c r="CP13" i="2" s="1"/>
  <c r="CQ13" i="2" s="1"/>
  <c r="CO14" i="2"/>
  <c r="CP14" i="2" s="1"/>
  <c r="CQ14" i="2" s="1"/>
  <c r="CO15" i="2"/>
  <c r="CP15" i="2" s="1"/>
  <c r="CQ15" i="2" s="1"/>
  <c r="CO16" i="2"/>
  <c r="CP16" i="2" s="1"/>
  <c r="CQ16" i="2" s="1"/>
  <c r="CO17" i="2"/>
  <c r="CP17" i="2" s="1"/>
  <c r="CQ17" i="2" s="1"/>
  <c r="CO18" i="2"/>
  <c r="CP18" i="2" s="1"/>
  <c r="CQ18" i="2" s="1"/>
  <c r="CO19" i="2"/>
  <c r="CP19" i="2" s="1"/>
  <c r="CQ19" i="2" s="1"/>
  <c r="CO20" i="2"/>
  <c r="CP20" i="2" s="1"/>
  <c r="CQ20" i="2" s="1"/>
  <c r="CO21" i="2"/>
  <c r="CP21" i="2" s="1"/>
  <c r="CQ21" i="2" s="1"/>
  <c r="CO22" i="2"/>
  <c r="CP22" i="2" s="1"/>
  <c r="CQ22" i="2" s="1"/>
  <c r="CO23" i="2"/>
  <c r="CP23" i="2" s="1"/>
  <c r="CQ23" i="2" s="1"/>
  <c r="CO24" i="2"/>
  <c r="CP24" i="2" s="1"/>
  <c r="CQ24" i="2" s="1"/>
  <c r="CO25" i="2"/>
  <c r="CP25" i="2" s="1"/>
  <c r="CQ25" i="2" s="1"/>
  <c r="CO26" i="2"/>
  <c r="CP26" i="2" s="1"/>
  <c r="CQ26" i="2" s="1"/>
  <c r="CO27" i="2"/>
  <c r="CP27" i="2" s="1"/>
  <c r="CQ27" i="2" s="1"/>
  <c r="CO28" i="2"/>
  <c r="CP28" i="2" s="1"/>
  <c r="CQ28" i="2" s="1"/>
  <c r="CO29" i="2"/>
  <c r="CP29" i="2" s="1"/>
  <c r="CQ29" i="2" s="1"/>
  <c r="CO30" i="2"/>
  <c r="CP30" i="2" s="1"/>
  <c r="CQ30" i="2" s="1"/>
  <c r="CO31" i="2"/>
  <c r="CP31" i="2" s="1"/>
  <c r="CQ31" i="2" s="1"/>
  <c r="CO32" i="2"/>
  <c r="CP32" i="2" s="1"/>
  <c r="CQ32" i="2" s="1"/>
  <c r="CO33" i="2"/>
  <c r="CP33" i="2" s="1"/>
  <c r="CQ33" i="2" s="1"/>
  <c r="CO34" i="2"/>
  <c r="CP34" i="2" s="1"/>
  <c r="CQ34" i="2" s="1"/>
  <c r="CO35" i="2"/>
  <c r="CP35" i="2" s="1"/>
  <c r="CQ35" i="2" s="1"/>
  <c r="CO36" i="2"/>
  <c r="CP36" i="2" s="1"/>
  <c r="CQ36" i="2" s="1"/>
  <c r="CO37" i="2"/>
  <c r="CP37" i="2" s="1"/>
  <c r="CQ37" i="2" s="1"/>
  <c r="CO38" i="2"/>
  <c r="CP38" i="2" s="1"/>
  <c r="CQ38" i="2" s="1"/>
  <c r="CO39" i="2"/>
  <c r="CP39" i="2" s="1"/>
  <c r="CQ39" i="2" s="1"/>
  <c r="CO40" i="2"/>
  <c r="CP40" i="2" s="1"/>
  <c r="CQ40" i="2" s="1"/>
  <c r="CO41" i="2"/>
  <c r="CP41" i="2" s="1"/>
  <c r="CQ41" i="2" s="1"/>
  <c r="CO42" i="2"/>
  <c r="CP42" i="2" s="1"/>
  <c r="CQ42" i="2" s="1"/>
  <c r="CO43" i="2"/>
  <c r="CP43" i="2" s="1"/>
  <c r="CQ43" i="2" s="1"/>
  <c r="CO44" i="2"/>
  <c r="CP44" i="2" s="1"/>
  <c r="CQ44" i="2" s="1"/>
  <c r="CO45" i="2"/>
  <c r="CP45" i="2" s="1"/>
  <c r="CQ45" i="2" s="1"/>
  <c r="CO46" i="2"/>
  <c r="CP46" i="2" s="1"/>
  <c r="CQ46" i="2" s="1"/>
  <c r="CO47" i="2"/>
  <c r="CP47" i="2" s="1"/>
  <c r="CQ47" i="2" s="1"/>
  <c r="CO48" i="2"/>
  <c r="CP48" i="2" s="1"/>
  <c r="CQ48" i="2" s="1"/>
  <c r="CO49" i="2"/>
  <c r="CP49" i="2" s="1"/>
  <c r="CQ49" i="2" s="1"/>
  <c r="CO50" i="2"/>
  <c r="CP50" i="2" s="1"/>
  <c r="CQ50" i="2" s="1"/>
  <c r="CO51" i="2"/>
  <c r="CP51" i="2" s="1"/>
  <c r="CQ51" i="2" s="1"/>
  <c r="CO52" i="2"/>
  <c r="CP52" i="2" s="1"/>
  <c r="CQ52" i="2" s="1"/>
  <c r="CO53" i="2"/>
  <c r="CP53" i="2" s="1"/>
  <c r="CQ53" i="2" s="1"/>
  <c r="CO54" i="2"/>
  <c r="CP54" i="2" s="1"/>
  <c r="CQ54" i="2" s="1"/>
  <c r="CO55" i="2"/>
  <c r="CP55" i="2" s="1"/>
  <c r="CQ55" i="2" s="1"/>
  <c r="CO56" i="2"/>
  <c r="CP56" i="2" s="1"/>
  <c r="CQ56" i="2" s="1"/>
  <c r="CO57" i="2"/>
  <c r="CP57" i="2" s="1"/>
  <c r="CQ57" i="2" s="1"/>
  <c r="CO58" i="2"/>
  <c r="CP58" i="2" s="1"/>
  <c r="CQ58" i="2" s="1"/>
  <c r="CO59" i="2"/>
  <c r="CP59" i="2" s="1"/>
  <c r="CQ59" i="2" s="1"/>
  <c r="CO60" i="2"/>
  <c r="CP60" i="2" s="1"/>
  <c r="CQ60" i="2" s="1"/>
  <c r="CO61" i="2"/>
  <c r="CP61" i="2" s="1"/>
  <c r="CQ61" i="2" s="1"/>
  <c r="CO62" i="2"/>
  <c r="CP62" i="2" s="1"/>
  <c r="CQ62" i="2" s="1"/>
  <c r="CO63" i="2"/>
  <c r="CP63" i="2" s="1"/>
  <c r="CQ63" i="2" s="1"/>
  <c r="CO64" i="2"/>
  <c r="CP64" i="2" s="1"/>
  <c r="CQ64" i="2" s="1"/>
  <c r="CO65" i="2"/>
  <c r="CP65" i="2" s="1"/>
  <c r="CQ65" i="2" s="1"/>
  <c r="CO66" i="2"/>
  <c r="CP66" i="2" s="1"/>
  <c r="CQ66" i="2" s="1"/>
  <c r="CO67" i="2"/>
  <c r="CP67" i="2" s="1"/>
  <c r="CQ67" i="2" s="1"/>
  <c r="CO68" i="2"/>
  <c r="CP68" i="2" s="1"/>
  <c r="CQ68" i="2" s="1"/>
  <c r="CO69" i="2"/>
  <c r="CP69" i="2" s="1"/>
  <c r="CQ69" i="2" s="1"/>
  <c r="CO70" i="2"/>
  <c r="CP70" i="2" s="1"/>
  <c r="CQ70" i="2" s="1"/>
  <c r="CO71" i="2"/>
  <c r="CP71" i="2" s="1"/>
  <c r="CQ71" i="2" s="1"/>
  <c r="CO72" i="2"/>
  <c r="CP72" i="2" s="1"/>
  <c r="CQ72" i="2" s="1"/>
  <c r="CO73" i="2"/>
  <c r="CP73" i="2" s="1"/>
  <c r="CQ73" i="2" s="1"/>
  <c r="CO74" i="2"/>
  <c r="CP74" i="2" s="1"/>
  <c r="CQ74" i="2" s="1"/>
  <c r="CO75" i="2"/>
  <c r="CP75" i="2" s="1"/>
  <c r="CQ75" i="2" s="1"/>
  <c r="CO76" i="2"/>
  <c r="CP76" i="2" s="1"/>
  <c r="CQ76" i="2" s="1"/>
  <c r="CO77" i="2"/>
  <c r="CP77" i="2" s="1"/>
  <c r="CQ77" i="2" s="1"/>
  <c r="CO78" i="2"/>
  <c r="CP78" i="2" s="1"/>
  <c r="CQ78" i="2" s="1"/>
  <c r="CO79" i="2"/>
  <c r="CP79" i="2" s="1"/>
  <c r="CQ79" i="2" s="1"/>
  <c r="CO80" i="2"/>
  <c r="CP80" i="2" s="1"/>
  <c r="CQ80" i="2" s="1"/>
  <c r="CO81" i="2"/>
  <c r="CP81" i="2" s="1"/>
  <c r="CQ81" i="2" s="1"/>
  <c r="CO82" i="2"/>
  <c r="CP82" i="2" s="1"/>
  <c r="CQ82" i="2" s="1"/>
  <c r="CO83" i="2"/>
  <c r="CP83" i="2" s="1"/>
  <c r="CQ83" i="2" s="1"/>
  <c r="CO84" i="2"/>
  <c r="CP84" i="2" s="1"/>
  <c r="CQ84" i="2" s="1"/>
  <c r="CO85" i="2"/>
  <c r="CP85" i="2" s="1"/>
  <c r="CQ85" i="2" s="1"/>
  <c r="CO86" i="2"/>
  <c r="CP86" i="2" s="1"/>
  <c r="CQ86" i="2" s="1"/>
  <c r="CO87" i="2"/>
  <c r="CP87" i="2" s="1"/>
  <c r="CQ87" i="2" s="1"/>
  <c r="CO88" i="2"/>
  <c r="CP88" i="2" s="1"/>
  <c r="CQ88" i="2" s="1"/>
  <c r="CO89" i="2"/>
  <c r="CP89" i="2" s="1"/>
  <c r="CQ89" i="2" s="1"/>
  <c r="CO90" i="2"/>
  <c r="CP90" i="2" s="1"/>
  <c r="CQ90" i="2" s="1"/>
  <c r="CO91" i="2"/>
  <c r="CP91" i="2" s="1"/>
  <c r="CQ91" i="2" s="1"/>
  <c r="CO92" i="2"/>
  <c r="CP92" i="2" s="1"/>
  <c r="CQ92" i="2" s="1"/>
  <c r="CO93" i="2"/>
  <c r="CP93" i="2" s="1"/>
  <c r="CQ93" i="2" s="1"/>
  <c r="CO94" i="2"/>
  <c r="CP94" i="2" s="1"/>
  <c r="CQ94" i="2" s="1"/>
  <c r="CO95" i="2"/>
  <c r="CP95" i="2" s="1"/>
  <c r="CQ95" i="2" s="1"/>
  <c r="CO96" i="2"/>
  <c r="CP96" i="2" s="1"/>
  <c r="CQ96" i="2" s="1"/>
  <c r="CO97" i="2"/>
  <c r="CP97" i="2" s="1"/>
  <c r="CQ97" i="2" s="1"/>
  <c r="CO98" i="2"/>
  <c r="CP98" i="2" s="1"/>
  <c r="CQ98" i="2" s="1"/>
  <c r="CO99" i="2"/>
  <c r="CP99" i="2" s="1"/>
  <c r="CQ99" i="2" s="1"/>
  <c r="CO100" i="2"/>
  <c r="CP100" i="2" s="1"/>
  <c r="CQ100" i="2" s="1"/>
  <c r="CO101" i="2"/>
  <c r="CP101" i="2" s="1"/>
  <c r="CQ101" i="2" s="1"/>
  <c r="CO102" i="2"/>
  <c r="CP102" i="2" s="1"/>
  <c r="CQ102" i="2" s="1"/>
  <c r="CO103" i="2"/>
  <c r="CP103" i="2" s="1"/>
  <c r="CQ103" i="2" s="1"/>
  <c r="CO104" i="2"/>
  <c r="CP104" i="2" s="1"/>
  <c r="CQ104" i="2" s="1"/>
  <c r="CO105" i="2"/>
  <c r="CP105" i="2" s="1"/>
  <c r="CQ105" i="2" s="1"/>
  <c r="CO106" i="2"/>
  <c r="CP106" i="2" s="1"/>
  <c r="CQ106" i="2" s="1"/>
  <c r="CO107" i="2"/>
  <c r="CP107" i="2" s="1"/>
  <c r="CQ107" i="2" s="1"/>
  <c r="CO108" i="2"/>
  <c r="CP108" i="2" s="1"/>
  <c r="CQ108" i="2" s="1"/>
  <c r="CO109" i="2"/>
  <c r="CP109" i="2" s="1"/>
  <c r="CQ109" i="2" s="1"/>
  <c r="CO110" i="2"/>
  <c r="CP110" i="2" s="1"/>
  <c r="CQ110" i="2" s="1"/>
  <c r="CO111" i="2"/>
  <c r="CP111" i="2" s="1"/>
  <c r="CQ111" i="2" s="1"/>
  <c r="CO112" i="2"/>
  <c r="CP112" i="2" s="1"/>
  <c r="CQ112" i="2" s="1"/>
  <c r="CO113" i="2"/>
  <c r="CP113" i="2" s="1"/>
  <c r="CQ113" i="2" s="1"/>
  <c r="CO114" i="2"/>
  <c r="CP114" i="2" s="1"/>
  <c r="CQ114" i="2" s="1"/>
  <c r="CO115" i="2"/>
  <c r="CP115" i="2" s="1"/>
  <c r="CQ115" i="2" s="1"/>
  <c r="CO116" i="2"/>
  <c r="CP116" i="2" s="1"/>
  <c r="CQ116" i="2" s="1"/>
  <c r="CO117" i="2"/>
  <c r="CP117" i="2" s="1"/>
  <c r="CQ117" i="2" s="1"/>
  <c r="CO118" i="2"/>
  <c r="CP118" i="2" s="1"/>
  <c r="CQ118" i="2" s="1"/>
  <c r="CO119" i="2"/>
  <c r="CP119" i="2" s="1"/>
  <c r="CQ119" i="2" s="1"/>
  <c r="CO120" i="2"/>
  <c r="CP120" i="2" s="1"/>
  <c r="CQ120" i="2" s="1"/>
  <c r="CO121" i="2"/>
  <c r="CP121" i="2" s="1"/>
  <c r="CQ121" i="2" s="1"/>
  <c r="CO122" i="2"/>
  <c r="CP122" i="2" s="1"/>
  <c r="CQ122" i="2" s="1"/>
  <c r="CO123" i="2"/>
  <c r="CP123" i="2" s="1"/>
  <c r="CQ123" i="2" s="1"/>
  <c r="CG4" i="2"/>
  <c r="CH4" i="2" s="1"/>
  <c r="CI4" i="2" s="1"/>
  <c r="CG5" i="2"/>
  <c r="CH5" i="2" s="1"/>
  <c r="CI5" i="2" s="1"/>
  <c r="CG6" i="2"/>
  <c r="CH6" i="2" s="1"/>
  <c r="CI6" i="2" s="1"/>
  <c r="CG7" i="2"/>
  <c r="CH7" i="2" s="1"/>
  <c r="CI7" i="2" s="1"/>
  <c r="CG8" i="2"/>
  <c r="CH8" i="2" s="1"/>
  <c r="CI8" i="2" s="1"/>
  <c r="CG9" i="2"/>
  <c r="CH9" i="2" s="1"/>
  <c r="CI9" i="2" s="1"/>
  <c r="CG10" i="2"/>
  <c r="CH10" i="2" s="1"/>
  <c r="CI10" i="2" s="1"/>
  <c r="CG11" i="2"/>
  <c r="CH11" i="2" s="1"/>
  <c r="CI11" i="2" s="1"/>
  <c r="CG12" i="2"/>
  <c r="CH12" i="2" s="1"/>
  <c r="CI12" i="2" s="1"/>
  <c r="CG13" i="2"/>
  <c r="CH13" i="2" s="1"/>
  <c r="CI13" i="2" s="1"/>
  <c r="CG14" i="2"/>
  <c r="CH14" i="2" s="1"/>
  <c r="CI14" i="2" s="1"/>
  <c r="CG15" i="2"/>
  <c r="CH15" i="2" s="1"/>
  <c r="CI15" i="2" s="1"/>
  <c r="CG16" i="2"/>
  <c r="CH16" i="2" s="1"/>
  <c r="CI16" i="2" s="1"/>
  <c r="CG17" i="2"/>
  <c r="CH17" i="2" s="1"/>
  <c r="CI17" i="2" s="1"/>
  <c r="CG18" i="2"/>
  <c r="CH18" i="2" s="1"/>
  <c r="CI18" i="2" s="1"/>
  <c r="CG19" i="2"/>
  <c r="CH19" i="2" s="1"/>
  <c r="CI19" i="2" s="1"/>
  <c r="CG20" i="2"/>
  <c r="CH20" i="2" s="1"/>
  <c r="CI20" i="2" s="1"/>
  <c r="CG21" i="2"/>
  <c r="CH21" i="2" s="1"/>
  <c r="CI21" i="2" s="1"/>
  <c r="CG22" i="2"/>
  <c r="CH22" i="2" s="1"/>
  <c r="CI22" i="2" s="1"/>
  <c r="CG23" i="2"/>
  <c r="CH23" i="2" s="1"/>
  <c r="CI23" i="2" s="1"/>
  <c r="CG24" i="2"/>
  <c r="CH24" i="2" s="1"/>
  <c r="CI24" i="2" s="1"/>
  <c r="CG25" i="2"/>
  <c r="CH25" i="2" s="1"/>
  <c r="CI25" i="2" s="1"/>
  <c r="CG26" i="2"/>
  <c r="CH26" i="2" s="1"/>
  <c r="CI26" i="2" s="1"/>
  <c r="CG27" i="2"/>
  <c r="CH27" i="2" s="1"/>
  <c r="CI27" i="2" s="1"/>
  <c r="CG28" i="2"/>
  <c r="CH28" i="2" s="1"/>
  <c r="CI28" i="2" s="1"/>
  <c r="CG29" i="2"/>
  <c r="CH29" i="2" s="1"/>
  <c r="CI29" i="2" s="1"/>
  <c r="CG30" i="2"/>
  <c r="CH30" i="2" s="1"/>
  <c r="CI30" i="2" s="1"/>
  <c r="CG31" i="2"/>
  <c r="CH31" i="2" s="1"/>
  <c r="CI31" i="2" s="1"/>
  <c r="CG32" i="2"/>
  <c r="CH32" i="2" s="1"/>
  <c r="CI32" i="2" s="1"/>
  <c r="CG33" i="2"/>
  <c r="CH33" i="2" s="1"/>
  <c r="CI33" i="2" s="1"/>
  <c r="CG34" i="2"/>
  <c r="CH34" i="2" s="1"/>
  <c r="CI34" i="2" s="1"/>
  <c r="CG35" i="2"/>
  <c r="CH35" i="2" s="1"/>
  <c r="CI35" i="2" s="1"/>
  <c r="CG36" i="2"/>
  <c r="CH36" i="2" s="1"/>
  <c r="CI36" i="2" s="1"/>
  <c r="CG37" i="2"/>
  <c r="CH37" i="2" s="1"/>
  <c r="CI37" i="2" s="1"/>
  <c r="CG38" i="2"/>
  <c r="CH38" i="2" s="1"/>
  <c r="CI38" i="2" s="1"/>
  <c r="CG39" i="2"/>
  <c r="CH39" i="2" s="1"/>
  <c r="CI39" i="2" s="1"/>
  <c r="CG40" i="2"/>
  <c r="CH40" i="2" s="1"/>
  <c r="CI40" i="2" s="1"/>
  <c r="CG41" i="2"/>
  <c r="CH41" i="2" s="1"/>
  <c r="CI41" i="2" s="1"/>
  <c r="CG42" i="2"/>
  <c r="CH42" i="2" s="1"/>
  <c r="CI42" i="2" s="1"/>
  <c r="CG43" i="2"/>
  <c r="CH43" i="2" s="1"/>
  <c r="CI43" i="2" s="1"/>
  <c r="CG44" i="2"/>
  <c r="CH44" i="2" s="1"/>
  <c r="CI44" i="2" s="1"/>
  <c r="CG45" i="2"/>
  <c r="CH45" i="2" s="1"/>
  <c r="CI45" i="2" s="1"/>
  <c r="CG46" i="2"/>
  <c r="CH46" i="2" s="1"/>
  <c r="CI46" i="2" s="1"/>
  <c r="CG47" i="2"/>
  <c r="CH47" i="2" s="1"/>
  <c r="CI47" i="2" s="1"/>
  <c r="CG48" i="2"/>
  <c r="CH48" i="2" s="1"/>
  <c r="CI48" i="2" s="1"/>
  <c r="CG49" i="2"/>
  <c r="CH49" i="2" s="1"/>
  <c r="CI49" i="2" s="1"/>
  <c r="CG50" i="2"/>
  <c r="CH50" i="2" s="1"/>
  <c r="CI50" i="2" s="1"/>
  <c r="CG51" i="2"/>
  <c r="CH51" i="2" s="1"/>
  <c r="CI51" i="2" s="1"/>
  <c r="CG52" i="2"/>
  <c r="CH52" i="2" s="1"/>
  <c r="CI52" i="2" s="1"/>
  <c r="CG53" i="2"/>
  <c r="CH53" i="2" s="1"/>
  <c r="CI53" i="2" s="1"/>
  <c r="CG54" i="2"/>
  <c r="CH54" i="2" s="1"/>
  <c r="CI54" i="2" s="1"/>
  <c r="CG55" i="2"/>
  <c r="CH55" i="2" s="1"/>
  <c r="CI55" i="2" s="1"/>
  <c r="CG56" i="2"/>
  <c r="CH56" i="2" s="1"/>
  <c r="CI56" i="2" s="1"/>
  <c r="CG57" i="2"/>
  <c r="CH57" i="2" s="1"/>
  <c r="CI57" i="2" s="1"/>
  <c r="CG58" i="2"/>
  <c r="CH58" i="2" s="1"/>
  <c r="CI58" i="2" s="1"/>
  <c r="CG59" i="2"/>
  <c r="CH59" i="2" s="1"/>
  <c r="CI59" i="2" s="1"/>
  <c r="CG60" i="2"/>
  <c r="CH60" i="2" s="1"/>
  <c r="CI60" i="2" s="1"/>
  <c r="CG61" i="2"/>
  <c r="CH61" i="2" s="1"/>
  <c r="CI61" i="2" s="1"/>
  <c r="CG62" i="2"/>
  <c r="CH62" i="2" s="1"/>
  <c r="CI62" i="2" s="1"/>
  <c r="CG63" i="2"/>
  <c r="CH63" i="2" s="1"/>
  <c r="CI63" i="2" s="1"/>
  <c r="CG64" i="2"/>
  <c r="CH64" i="2" s="1"/>
  <c r="CI64" i="2" s="1"/>
  <c r="CG65" i="2"/>
  <c r="CH65" i="2" s="1"/>
  <c r="CI65" i="2" s="1"/>
  <c r="CG66" i="2"/>
  <c r="CH66" i="2" s="1"/>
  <c r="CI66" i="2" s="1"/>
  <c r="CG67" i="2"/>
  <c r="CH67" i="2" s="1"/>
  <c r="CI67" i="2" s="1"/>
  <c r="CG68" i="2"/>
  <c r="CH68" i="2" s="1"/>
  <c r="CI68" i="2" s="1"/>
  <c r="CG69" i="2"/>
  <c r="CH69" i="2" s="1"/>
  <c r="CI69" i="2" s="1"/>
  <c r="CG70" i="2"/>
  <c r="CH70" i="2" s="1"/>
  <c r="CI70" i="2" s="1"/>
  <c r="CG71" i="2"/>
  <c r="CH71" i="2" s="1"/>
  <c r="CI71" i="2" s="1"/>
  <c r="CG72" i="2"/>
  <c r="CH72" i="2" s="1"/>
  <c r="CI72" i="2" s="1"/>
  <c r="CG73" i="2"/>
  <c r="CH73" i="2" s="1"/>
  <c r="CI73" i="2" s="1"/>
  <c r="CG74" i="2"/>
  <c r="CH74" i="2" s="1"/>
  <c r="CI74" i="2" s="1"/>
  <c r="CG75" i="2"/>
  <c r="CH75" i="2" s="1"/>
  <c r="CI75" i="2" s="1"/>
  <c r="CG76" i="2"/>
  <c r="CH76" i="2" s="1"/>
  <c r="CI76" i="2" s="1"/>
  <c r="CG77" i="2"/>
  <c r="CH77" i="2" s="1"/>
  <c r="CI77" i="2" s="1"/>
  <c r="CG78" i="2"/>
  <c r="CH78" i="2" s="1"/>
  <c r="CI78" i="2" s="1"/>
  <c r="CG79" i="2"/>
  <c r="CH79" i="2" s="1"/>
  <c r="CI79" i="2" s="1"/>
  <c r="CG80" i="2"/>
  <c r="CH80" i="2" s="1"/>
  <c r="CI80" i="2" s="1"/>
  <c r="CG81" i="2"/>
  <c r="CH81" i="2" s="1"/>
  <c r="CI81" i="2" s="1"/>
  <c r="CG82" i="2"/>
  <c r="CH82" i="2" s="1"/>
  <c r="CI82" i="2" s="1"/>
  <c r="CG83" i="2"/>
  <c r="CH83" i="2" s="1"/>
  <c r="CI83" i="2" s="1"/>
  <c r="CG84" i="2"/>
  <c r="CH84" i="2" s="1"/>
  <c r="CI84" i="2" s="1"/>
  <c r="CG85" i="2"/>
  <c r="CH85" i="2" s="1"/>
  <c r="CI85" i="2" s="1"/>
  <c r="CG86" i="2"/>
  <c r="CH86" i="2" s="1"/>
  <c r="CI86" i="2" s="1"/>
  <c r="CG87" i="2"/>
  <c r="CH87" i="2" s="1"/>
  <c r="CI87" i="2" s="1"/>
  <c r="CG88" i="2"/>
  <c r="CH88" i="2" s="1"/>
  <c r="CI88" i="2" s="1"/>
  <c r="CG89" i="2"/>
  <c r="CH89" i="2" s="1"/>
  <c r="CI89" i="2" s="1"/>
  <c r="CG90" i="2"/>
  <c r="CH90" i="2" s="1"/>
  <c r="CI90" i="2" s="1"/>
  <c r="CG91" i="2"/>
  <c r="CH91" i="2" s="1"/>
  <c r="CI91" i="2" s="1"/>
  <c r="CG92" i="2"/>
  <c r="CH92" i="2" s="1"/>
  <c r="CI92" i="2" s="1"/>
  <c r="CG93" i="2"/>
  <c r="CH93" i="2" s="1"/>
  <c r="CI93" i="2" s="1"/>
  <c r="CG94" i="2"/>
  <c r="CH94" i="2" s="1"/>
  <c r="CI94" i="2" s="1"/>
  <c r="CG95" i="2"/>
  <c r="CH95" i="2" s="1"/>
  <c r="CI95" i="2" s="1"/>
  <c r="CG96" i="2"/>
  <c r="CH96" i="2" s="1"/>
  <c r="CI96" i="2" s="1"/>
  <c r="CG97" i="2"/>
  <c r="CH97" i="2" s="1"/>
  <c r="CI97" i="2" s="1"/>
  <c r="CG98" i="2"/>
  <c r="CH98" i="2" s="1"/>
  <c r="CI98" i="2" s="1"/>
  <c r="CG99" i="2"/>
  <c r="CH99" i="2" s="1"/>
  <c r="CI99" i="2" s="1"/>
  <c r="CG100" i="2"/>
  <c r="CH100" i="2" s="1"/>
  <c r="CI100" i="2" s="1"/>
  <c r="CG101" i="2"/>
  <c r="CH101" i="2" s="1"/>
  <c r="CI101" i="2" s="1"/>
  <c r="CG102" i="2"/>
  <c r="CH102" i="2" s="1"/>
  <c r="CI102" i="2" s="1"/>
  <c r="CG103" i="2"/>
  <c r="CH103" i="2" s="1"/>
  <c r="CI103" i="2" s="1"/>
  <c r="CG104" i="2"/>
  <c r="CH104" i="2" s="1"/>
  <c r="CI104" i="2" s="1"/>
  <c r="CG105" i="2"/>
  <c r="CH105" i="2" s="1"/>
  <c r="CI105" i="2" s="1"/>
  <c r="CG106" i="2"/>
  <c r="CH106" i="2" s="1"/>
  <c r="CI106" i="2" s="1"/>
  <c r="CG107" i="2"/>
  <c r="CH107" i="2" s="1"/>
  <c r="CI107" i="2" s="1"/>
  <c r="CG108" i="2"/>
  <c r="CH108" i="2" s="1"/>
  <c r="CI108" i="2" s="1"/>
  <c r="CG109" i="2"/>
  <c r="CH109" i="2" s="1"/>
  <c r="CI109" i="2" s="1"/>
  <c r="CG110" i="2"/>
  <c r="CH110" i="2" s="1"/>
  <c r="CI110" i="2" s="1"/>
  <c r="CG111" i="2"/>
  <c r="CH111" i="2" s="1"/>
  <c r="CI111" i="2" s="1"/>
  <c r="CG112" i="2"/>
  <c r="CH112" i="2" s="1"/>
  <c r="CI112" i="2" s="1"/>
  <c r="CG113" i="2"/>
  <c r="CH113" i="2" s="1"/>
  <c r="CI113" i="2" s="1"/>
  <c r="CG114" i="2"/>
  <c r="CH114" i="2" s="1"/>
  <c r="CI114" i="2" s="1"/>
  <c r="CG115" i="2"/>
  <c r="CH115" i="2" s="1"/>
  <c r="CI115" i="2" s="1"/>
  <c r="CG116" i="2"/>
  <c r="CH116" i="2" s="1"/>
  <c r="CI116" i="2" s="1"/>
  <c r="CG117" i="2"/>
  <c r="CH117" i="2" s="1"/>
  <c r="CI117" i="2" s="1"/>
  <c r="CG118" i="2"/>
  <c r="CH118" i="2" s="1"/>
  <c r="CI118" i="2" s="1"/>
  <c r="CG119" i="2"/>
  <c r="CH119" i="2" s="1"/>
  <c r="CI119" i="2" s="1"/>
  <c r="CG120" i="2"/>
  <c r="CH120" i="2" s="1"/>
  <c r="CI120" i="2" s="1"/>
  <c r="CG121" i="2"/>
  <c r="CH121" i="2" s="1"/>
  <c r="CI121" i="2" s="1"/>
  <c r="CG122" i="2"/>
  <c r="CH122" i="2" s="1"/>
  <c r="CI122" i="2" s="1"/>
  <c r="CG123" i="2"/>
  <c r="CH123" i="2" s="1"/>
  <c r="CI123" i="2" s="1"/>
  <c r="CG124" i="2"/>
  <c r="CH124" i="2" s="1"/>
  <c r="CI124" i="2" s="1"/>
  <c r="CG125" i="2"/>
  <c r="CH125" i="2" s="1"/>
  <c r="CI125" i="2" s="1"/>
  <c r="CG126" i="2"/>
  <c r="CH126" i="2" s="1"/>
  <c r="CI126" i="2" s="1"/>
  <c r="CG127" i="2"/>
  <c r="CH127" i="2" s="1"/>
  <c r="CI127" i="2" s="1"/>
  <c r="CG128" i="2"/>
  <c r="CH128" i="2" s="1"/>
  <c r="CI128" i="2" s="1"/>
  <c r="CG129" i="2"/>
  <c r="CH129" i="2" s="1"/>
  <c r="CI129" i="2" s="1"/>
  <c r="CG130" i="2"/>
  <c r="CH130" i="2" s="1"/>
  <c r="CI130" i="2" s="1"/>
  <c r="CG131" i="2"/>
  <c r="CH131" i="2" s="1"/>
  <c r="CI131" i="2" s="1"/>
  <c r="CG132" i="2"/>
  <c r="CH132" i="2" s="1"/>
  <c r="CI132" i="2" s="1"/>
  <c r="CG133" i="2"/>
  <c r="CH133" i="2" s="1"/>
  <c r="CI133" i="2" s="1"/>
  <c r="CG134" i="2"/>
  <c r="CH134" i="2" s="1"/>
  <c r="CI134" i="2" s="1"/>
  <c r="CG135" i="2"/>
  <c r="CH135" i="2" s="1"/>
  <c r="CI135" i="2" s="1"/>
  <c r="CG136" i="2"/>
  <c r="CH136" i="2" s="1"/>
  <c r="CI136" i="2" s="1"/>
  <c r="CG137" i="2"/>
  <c r="CH137" i="2" s="1"/>
  <c r="CI137" i="2" s="1"/>
  <c r="CG138" i="2"/>
  <c r="CH138" i="2" s="1"/>
  <c r="CI138" i="2" s="1"/>
  <c r="CG139" i="2"/>
  <c r="CH139" i="2" s="1"/>
  <c r="CI139" i="2" s="1"/>
  <c r="CG140" i="2"/>
  <c r="CH140" i="2" s="1"/>
  <c r="CI140" i="2" s="1"/>
  <c r="CG141" i="2"/>
  <c r="CH141" i="2" s="1"/>
  <c r="CI141" i="2" s="1"/>
  <c r="CG142" i="2"/>
  <c r="CH142" i="2" s="1"/>
  <c r="CI142" i="2" s="1"/>
  <c r="CG143" i="2"/>
  <c r="CH143" i="2" s="1"/>
  <c r="CI143" i="2" s="1"/>
  <c r="CG144" i="2"/>
  <c r="CH144" i="2" s="1"/>
  <c r="CI144" i="2" s="1"/>
  <c r="CG145" i="2"/>
  <c r="CH145" i="2" s="1"/>
  <c r="CI145" i="2" s="1"/>
  <c r="CG146" i="2"/>
  <c r="CH146" i="2" s="1"/>
  <c r="CI146" i="2" s="1"/>
  <c r="CG147" i="2"/>
  <c r="CH147" i="2" s="1"/>
  <c r="CI147" i="2" s="1"/>
  <c r="CG148" i="2"/>
  <c r="CH148" i="2" s="1"/>
  <c r="CI148" i="2" s="1"/>
  <c r="CG149" i="2"/>
  <c r="CH149" i="2" s="1"/>
  <c r="CI149" i="2" s="1"/>
  <c r="CG150" i="2"/>
  <c r="CH150" i="2" s="1"/>
  <c r="CI150" i="2" s="1"/>
  <c r="CG151" i="2"/>
  <c r="CH151" i="2" s="1"/>
  <c r="CI151" i="2" s="1"/>
  <c r="CG152" i="2"/>
  <c r="CH152" i="2" s="1"/>
  <c r="CI152" i="2" s="1"/>
  <c r="CG153" i="2"/>
  <c r="CH153" i="2" s="1"/>
  <c r="CI153" i="2" s="1"/>
  <c r="CG154" i="2"/>
  <c r="CH154" i="2" s="1"/>
  <c r="CI154" i="2" s="1"/>
  <c r="CG155" i="2"/>
  <c r="CH155" i="2" s="1"/>
  <c r="CI155" i="2" s="1"/>
  <c r="CG3" i="2"/>
  <c r="CH3" i="2" s="1"/>
  <c r="CI3" i="2" s="1"/>
  <c r="BV1" i="2"/>
  <c r="BZ3" i="2"/>
  <c r="CA3" i="2" s="1"/>
  <c r="BZ4" i="2"/>
  <c r="CA4" i="2" s="1"/>
  <c r="BZ10" i="2"/>
  <c r="CA10" i="2" s="1"/>
  <c r="BZ22" i="2"/>
  <c r="CA22" i="2" s="1"/>
  <c r="BZ41" i="2"/>
  <c r="CA41" i="2" s="1"/>
  <c r="BZ70" i="2"/>
  <c r="CA70" i="2" s="1"/>
  <c r="CY1" i="2" l="1"/>
  <c r="CQ1" i="2"/>
  <c r="CI1" i="2"/>
  <c r="CA1" i="2"/>
  <c r="BJ1" i="2"/>
  <c r="BM4" i="2"/>
  <c r="BN4" i="2" s="1"/>
  <c r="BO4" i="2" s="1"/>
  <c r="BM5" i="2"/>
  <c r="BM6" i="2"/>
  <c r="BN6" i="2" s="1"/>
  <c r="BO6" i="2" s="1"/>
  <c r="BM7" i="2"/>
  <c r="BN7" i="2" s="1"/>
  <c r="BO7" i="2" s="1"/>
  <c r="BM8" i="2"/>
  <c r="BM9" i="2"/>
  <c r="BN9" i="2" s="1"/>
  <c r="BO9" i="2" s="1"/>
  <c r="BM10" i="2"/>
  <c r="BN10" i="2" s="1"/>
  <c r="BO10" i="2" s="1"/>
  <c r="BM11" i="2"/>
  <c r="BM12" i="2"/>
  <c r="BN12" i="2" s="1"/>
  <c r="BO12" i="2" s="1"/>
  <c r="BM13" i="2"/>
  <c r="BN13" i="2" s="1"/>
  <c r="BO13" i="2" s="1"/>
  <c r="BM14" i="2"/>
  <c r="BM15" i="2"/>
  <c r="BN15" i="2" s="1"/>
  <c r="BO15" i="2" s="1"/>
  <c r="BM16" i="2"/>
  <c r="BN16" i="2" s="1"/>
  <c r="BO16" i="2" s="1"/>
  <c r="BM17" i="2"/>
  <c r="BN17" i="2" s="1"/>
  <c r="BO17" i="2" s="1"/>
  <c r="BM18" i="2"/>
  <c r="BN18" i="2" s="1"/>
  <c r="BO18" i="2" s="1"/>
  <c r="BM19" i="2"/>
  <c r="BN19" i="2" s="1"/>
  <c r="BO19" i="2" s="1"/>
  <c r="BM20" i="2"/>
  <c r="BM21" i="2"/>
  <c r="BN21" i="2" s="1"/>
  <c r="BO21" i="2" s="1"/>
  <c r="BM22" i="2"/>
  <c r="BN22" i="2" s="1"/>
  <c r="BO22" i="2" s="1"/>
  <c r="BM23" i="2"/>
  <c r="BM24" i="2"/>
  <c r="BN24" i="2" s="1"/>
  <c r="BO24" i="2" s="1"/>
  <c r="BM25" i="2"/>
  <c r="BN25" i="2" s="1"/>
  <c r="BO25" i="2" s="1"/>
  <c r="BM26" i="2"/>
  <c r="BM27" i="2"/>
  <c r="BN27" i="2" s="1"/>
  <c r="BO27" i="2" s="1"/>
  <c r="BM28" i="2"/>
  <c r="BN28" i="2" s="1"/>
  <c r="BO28" i="2" s="1"/>
  <c r="BM29" i="2"/>
  <c r="BM30" i="2"/>
  <c r="BN30" i="2" s="1"/>
  <c r="BO30" i="2" s="1"/>
  <c r="BM31" i="2"/>
  <c r="BN31" i="2" s="1"/>
  <c r="BO31" i="2" s="1"/>
  <c r="BM32" i="2"/>
  <c r="BM33" i="2"/>
  <c r="BN33" i="2" s="1"/>
  <c r="BO33" i="2" s="1"/>
  <c r="BM34" i="2"/>
  <c r="BN34" i="2" s="1"/>
  <c r="BO34" i="2" s="1"/>
  <c r="BM35" i="2"/>
  <c r="BN35" i="2" s="1"/>
  <c r="BO35" i="2" s="1"/>
  <c r="BM36" i="2"/>
  <c r="BN36" i="2" s="1"/>
  <c r="BO36" i="2" s="1"/>
  <c r="BM37" i="2"/>
  <c r="BN37" i="2" s="1"/>
  <c r="BO37" i="2" s="1"/>
  <c r="BM38" i="2"/>
  <c r="BM39" i="2"/>
  <c r="BN39" i="2" s="1"/>
  <c r="BO39" i="2" s="1"/>
  <c r="BM40" i="2"/>
  <c r="BN40" i="2" s="1"/>
  <c r="BO40" i="2" s="1"/>
  <c r="BM41" i="2"/>
  <c r="BM42" i="2"/>
  <c r="BN42" i="2" s="1"/>
  <c r="BO42" i="2" s="1"/>
  <c r="BM43" i="2"/>
  <c r="BN43" i="2" s="1"/>
  <c r="BO43" i="2" s="1"/>
  <c r="BM44" i="2"/>
  <c r="BM45" i="2"/>
  <c r="BN45" i="2" s="1"/>
  <c r="BO45" i="2" s="1"/>
  <c r="BM46" i="2"/>
  <c r="BN46" i="2" s="1"/>
  <c r="BO46" i="2" s="1"/>
  <c r="BM47" i="2"/>
  <c r="BM48" i="2"/>
  <c r="BN48" i="2" s="1"/>
  <c r="BO48" i="2" s="1"/>
  <c r="BM49" i="2"/>
  <c r="BN49" i="2" s="1"/>
  <c r="BO49" i="2" s="1"/>
  <c r="BM50" i="2"/>
  <c r="BM51" i="2"/>
  <c r="BN51" i="2" s="1"/>
  <c r="BO51" i="2" s="1"/>
  <c r="BM52" i="2"/>
  <c r="BN52" i="2" s="1"/>
  <c r="BO52" i="2" s="1"/>
  <c r="BM53" i="2"/>
  <c r="BN53" i="2" s="1"/>
  <c r="BO53" i="2" s="1"/>
  <c r="BM54" i="2"/>
  <c r="BN54" i="2" s="1"/>
  <c r="BO54" i="2" s="1"/>
  <c r="BM55" i="2"/>
  <c r="BN55" i="2" s="1"/>
  <c r="BO55" i="2" s="1"/>
  <c r="BM56" i="2"/>
  <c r="BM57" i="2"/>
  <c r="BN57" i="2" s="1"/>
  <c r="BO57" i="2" s="1"/>
  <c r="BM58" i="2"/>
  <c r="BN58" i="2" s="1"/>
  <c r="BO58" i="2" s="1"/>
  <c r="BM59" i="2"/>
  <c r="BM60" i="2"/>
  <c r="BN60" i="2" s="1"/>
  <c r="BO60" i="2" s="1"/>
  <c r="BM61" i="2"/>
  <c r="BN61" i="2" s="1"/>
  <c r="BO61" i="2" s="1"/>
  <c r="BM62" i="2"/>
  <c r="BM63" i="2"/>
  <c r="BN63" i="2" s="1"/>
  <c r="BO63" i="2" s="1"/>
  <c r="BM64" i="2"/>
  <c r="BN64" i="2" s="1"/>
  <c r="BO64" i="2" s="1"/>
  <c r="BM65" i="2"/>
  <c r="BM66" i="2"/>
  <c r="BN66" i="2" s="1"/>
  <c r="BO66" i="2" s="1"/>
  <c r="BM67" i="2"/>
  <c r="BN67" i="2" s="1"/>
  <c r="BO67" i="2" s="1"/>
  <c r="BM68" i="2"/>
  <c r="BM69" i="2"/>
  <c r="BN69" i="2" s="1"/>
  <c r="BO69" i="2" s="1"/>
  <c r="BM70" i="2"/>
  <c r="BN70" i="2" s="1"/>
  <c r="BO70" i="2" s="1"/>
  <c r="BM71" i="2"/>
  <c r="BN71" i="2" s="1"/>
  <c r="BO71" i="2" s="1"/>
  <c r="BM72" i="2"/>
  <c r="BN72" i="2" s="1"/>
  <c r="BO72" i="2" s="1"/>
  <c r="BM73" i="2"/>
  <c r="BN73" i="2" s="1"/>
  <c r="BO73" i="2" s="1"/>
  <c r="BM74" i="2"/>
  <c r="BM75" i="2"/>
  <c r="BN75" i="2" s="1"/>
  <c r="BO75" i="2" s="1"/>
  <c r="BM76" i="2"/>
  <c r="BN76" i="2" s="1"/>
  <c r="BO76" i="2" s="1"/>
  <c r="BM77" i="2"/>
  <c r="BM78" i="2"/>
  <c r="BN78" i="2" s="1"/>
  <c r="BO78" i="2" s="1"/>
  <c r="BM79" i="2"/>
  <c r="BN79" i="2" s="1"/>
  <c r="BO79" i="2" s="1"/>
  <c r="BM80" i="2"/>
  <c r="BM81" i="2"/>
  <c r="BN81" i="2" s="1"/>
  <c r="BO81" i="2" s="1"/>
  <c r="BM82" i="2"/>
  <c r="BN82" i="2" s="1"/>
  <c r="BO82" i="2" s="1"/>
  <c r="BM83" i="2"/>
  <c r="BM84" i="2"/>
  <c r="BN84" i="2" s="1"/>
  <c r="BO84" i="2" s="1"/>
  <c r="BM85" i="2"/>
  <c r="BN85" i="2" s="1"/>
  <c r="BO85" i="2" s="1"/>
  <c r="BM86" i="2"/>
  <c r="BM87" i="2"/>
  <c r="BN87" i="2" s="1"/>
  <c r="BO87" i="2" s="1"/>
  <c r="BM88" i="2"/>
  <c r="BN88" i="2" s="1"/>
  <c r="BO88" i="2" s="1"/>
  <c r="BM89" i="2"/>
  <c r="BM90" i="2"/>
  <c r="BN90" i="2" s="1"/>
  <c r="BO90" i="2" s="1"/>
  <c r="BM91" i="2"/>
  <c r="BN91" i="2" s="1"/>
  <c r="BO91" i="2" s="1"/>
  <c r="BM92" i="2"/>
  <c r="BM93" i="2"/>
  <c r="BN93" i="2" s="1"/>
  <c r="BO93" i="2" s="1"/>
  <c r="BM94" i="2"/>
  <c r="BN94" i="2" s="1"/>
  <c r="BO94" i="2" s="1"/>
  <c r="BM95" i="2"/>
  <c r="BM96" i="2"/>
  <c r="BN96" i="2" s="1"/>
  <c r="BO96" i="2" s="1"/>
  <c r="BM97" i="2"/>
  <c r="BN97" i="2" s="1"/>
  <c r="BO97" i="2" s="1"/>
  <c r="BM98" i="2"/>
  <c r="BM99" i="2"/>
  <c r="BN99" i="2" s="1"/>
  <c r="BO99" i="2" s="1"/>
  <c r="BM3" i="2"/>
  <c r="BN3" i="2" s="1"/>
  <c r="BO3" i="2" s="1"/>
  <c r="BA4" i="2"/>
  <c r="BB4" i="2" s="1"/>
  <c r="BA5" i="2"/>
  <c r="BB5" i="2" s="1"/>
  <c r="BA6" i="2"/>
  <c r="BA7" i="2"/>
  <c r="BB7" i="2" s="1"/>
  <c r="BA8" i="2"/>
  <c r="BB8" i="2" s="1"/>
  <c r="BA9" i="2"/>
  <c r="BB9" i="2" s="1"/>
  <c r="BA10" i="2"/>
  <c r="BB10" i="2" s="1"/>
  <c r="BA11" i="2"/>
  <c r="BB11" i="2" s="1"/>
  <c r="BA12" i="2"/>
  <c r="BA13" i="2"/>
  <c r="BB13" i="2" s="1"/>
  <c r="BA14" i="2"/>
  <c r="BB14" i="2" s="1"/>
  <c r="BA15" i="2"/>
  <c r="BB15" i="2" s="1"/>
  <c r="BA16" i="2"/>
  <c r="BA17" i="2"/>
  <c r="BB17" i="2" s="1"/>
  <c r="BA18" i="2"/>
  <c r="BA19" i="2"/>
  <c r="BB19" i="2" s="1"/>
  <c r="BA20" i="2"/>
  <c r="BA21" i="2"/>
  <c r="BB21" i="2" s="1"/>
  <c r="BA22" i="2"/>
  <c r="BB22" i="2" s="1"/>
  <c r="BA23" i="2"/>
  <c r="BB23" i="2" s="1"/>
  <c r="BA24" i="2"/>
  <c r="BA25" i="2"/>
  <c r="BB25" i="2" s="1"/>
  <c r="BA26" i="2"/>
  <c r="BB26" i="2" s="1"/>
  <c r="BA27" i="2"/>
  <c r="BB27" i="2" s="1"/>
  <c r="BA28" i="2"/>
  <c r="BB28" i="2" s="1"/>
  <c r="BA29" i="2"/>
  <c r="BA30" i="2"/>
  <c r="BA31" i="2"/>
  <c r="BB31" i="2" s="1"/>
  <c r="BA32" i="2"/>
  <c r="BA33" i="2"/>
  <c r="BB33" i="2" s="1"/>
  <c r="BA34" i="2"/>
  <c r="BB34" i="2" s="1"/>
  <c r="BA35" i="2"/>
  <c r="BA36" i="2"/>
  <c r="BA37" i="2"/>
  <c r="BB37" i="2" s="1"/>
  <c r="BA38" i="2"/>
  <c r="BB38" i="2" s="1"/>
  <c r="BA39" i="2"/>
  <c r="BB39" i="2" s="1"/>
  <c r="BA40" i="2"/>
  <c r="BB40" i="2" s="1"/>
  <c r="BA41" i="2"/>
  <c r="BA42" i="2"/>
  <c r="BA43" i="2"/>
  <c r="BB43" i="2" s="1"/>
  <c r="BA44" i="2"/>
  <c r="BB44" i="2" s="1"/>
  <c r="BA45" i="2"/>
  <c r="BB45" i="2" s="1"/>
  <c r="BA46" i="2"/>
  <c r="BB46" i="2" s="1"/>
  <c r="BA47" i="2"/>
  <c r="BA48" i="2"/>
  <c r="BA49" i="2"/>
  <c r="BB49" i="2" s="1"/>
  <c r="BA50" i="2"/>
  <c r="BA51" i="2"/>
  <c r="BB51" i="2" s="1"/>
  <c r="BA52" i="2"/>
  <c r="BB52" i="2" s="1"/>
  <c r="BA53" i="2"/>
  <c r="BA54" i="2"/>
  <c r="BA55" i="2"/>
  <c r="BB55" i="2" s="1"/>
  <c r="BA56" i="2"/>
  <c r="BB56" i="2" s="1"/>
  <c r="BA57" i="2"/>
  <c r="BB57" i="2" s="1"/>
  <c r="BA58" i="2"/>
  <c r="BB58" i="2" s="1"/>
  <c r="BA59" i="2"/>
  <c r="BA60" i="2"/>
  <c r="BA61" i="2"/>
  <c r="BB61" i="2" s="1"/>
  <c r="BA62" i="2"/>
  <c r="BB62" i="2" s="1"/>
  <c r="BA63" i="2"/>
  <c r="BB63" i="2" s="1"/>
  <c r="BA64" i="2"/>
  <c r="BB64" i="2" s="1"/>
  <c r="BA65" i="2"/>
  <c r="BA66" i="2"/>
  <c r="BA67" i="2"/>
  <c r="BB67" i="2" s="1"/>
  <c r="BA68" i="2"/>
  <c r="BA69" i="2"/>
  <c r="BB69" i="2" s="1"/>
  <c r="BA70" i="2"/>
  <c r="BB70" i="2" s="1"/>
  <c r="BA71" i="2"/>
  <c r="BA72" i="2"/>
  <c r="BA73" i="2"/>
  <c r="BB73" i="2" s="1"/>
  <c r="BA74" i="2"/>
  <c r="BB74" i="2" s="1"/>
  <c r="BA75" i="2"/>
  <c r="BB75" i="2" s="1"/>
  <c r="BA76" i="2"/>
  <c r="BB76" i="2" s="1"/>
  <c r="BA77" i="2"/>
  <c r="BA78" i="2"/>
  <c r="BA79" i="2"/>
  <c r="BB79" i="2" s="1"/>
  <c r="BA80" i="2"/>
  <c r="BB80" i="2" s="1"/>
  <c r="BA81" i="2"/>
  <c r="BB81" i="2" s="1"/>
  <c r="BA82" i="2"/>
  <c r="BB82" i="2" s="1"/>
  <c r="BA83" i="2"/>
  <c r="BA84" i="2"/>
  <c r="BA85" i="2"/>
  <c r="BB85" i="2" s="1"/>
  <c r="BA86" i="2"/>
  <c r="BA87" i="2"/>
  <c r="BB87" i="2" s="1"/>
  <c r="BA88" i="2"/>
  <c r="BB88" i="2" s="1"/>
  <c r="BA89" i="2"/>
  <c r="BA90" i="2"/>
  <c r="BB90" i="2" s="1"/>
  <c r="BA91" i="2"/>
  <c r="BB91" i="2" s="1"/>
  <c r="BA92" i="2"/>
  <c r="BB92" i="2" s="1"/>
  <c r="BA93" i="2"/>
  <c r="BB93" i="2" s="1"/>
  <c r="BA94" i="2"/>
  <c r="BB94" i="2" s="1"/>
  <c r="BA95" i="2"/>
  <c r="BA96" i="2"/>
  <c r="BB96" i="2" s="1"/>
  <c r="BA97" i="2"/>
  <c r="BB97" i="2" s="1"/>
  <c r="BA98" i="2"/>
  <c r="BB98" i="2" s="1"/>
  <c r="BA99" i="2"/>
  <c r="BB99" i="2" s="1"/>
  <c r="BA3" i="2"/>
  <c r="BB3" i="2" s="1"/>
  <c r="AO4" i="2"/>
  <c r="AP4" i="2" s="1"/>
  <c r="AO5" i="2"/>
  <c r="AO6" i="2"/>
  <c r="AP6" i="2" s="1"/>
  <c r="AO7" i="2"/>
  <c r="AP7" i="2" s="1"/>
  <c r="AO8" i="2"/>
  <c r="AP8" i="2" s="1"/>
  <c r="AO9" i="2"/>
  <c r="AO10" i="2"/>
  <c r="AP10" i="2" s="1"/>
  <c r="AO11" i="2"/>
  <c r="AO12" i="2"/>
  <c r="AP12" i="2" s="1"/>
  <c r="AO13" i="2"/>
  <c r="AP13" i="2" s="1"/>
  <c r="AO14" i="2"/>
  <c r="AO15" i="2"/>
  <c r="AO16" i="2"/>
  <c r="AP16" i="2" s="1"/>
  <c r="AO17" i="2"/>
  <c r="AO18" i="2"/>
  <c r="AP18" i="2" s="1"/>
  <c r="AO19" i="2"/>
  <c r="AP19" i="2" s="1"/>
  <c r="AO20" i="2"/>
  <c r="AP20" i="2" s="1"/>
  <c r="AO21" i="2"/>
  <c r="AO22" i="2"/>
  <c r="AP22" i="2" s="1"/>
  <c r="AO23" i="2"/>
  <c r="AO24" i="2"/>
  <c r="AP24" i="2" s="1"/>
  <c r="AO25" i="2"/>
  <c r="AP25" i="2" s="1"/>
  <c r="AO26" i="2"/>
  <c r="AP26" i="2" s="1"/>
  <c r="AO27" i="2"/>
  <c r="AO28" i="2"/>
  <c r="AP28" i="2" s="1"/>
  <c r="AO29" i="2"/>
  <c r="AO30" i="2"/>
  <c r="AP30" i="2" s="1"/>
  <c r="AO31" i="2"/>
  <c r="AP31" i="2" s="1"/>
  <c r="AO32" i="2"/>
  <c r="AO33" i="2"/>
  <c r="AO34" i="2"/>
  <c r="AP34" i="2" s="1"/>
  <c r="AO35" i="2"/>
  <c r="AO36" i="2"/>
  <c r="AP36" i="2" s="1"/>
  <c r="AO37" i="2"/>
  <c r="AO38" i="2"/>
  <c r="AO39" i="2"/>
  <c r="AO40" i="2"/>
  <c r="AP40" i="2" s="1"/>
  <c r="AO41" i="2"/>
  <c r="AO42" i="2"/>
  <c r="AP42" i="2" s="1"/>
  <c r="AO43" i="2"/>
  <c r="AP43" i="2" s="1"/>
  <c r="AO44" i="2"/>
  <c r="AP44" i="2" s="1"/>
  <c r="AO45" i="2"/>
  <c r="AO46" i="2"/>
  <c r="AP46" i="2" s="1"/>
  <c r="AO47" i="2"/>
  <c r="AO48" i="2"/>
  <c r="AP48" i="2" s="1"/>
  <c r="AO49" i="2"/>
  <c r="AP49" i="2" s="1"/>
  <c r="AO50" i="2"/>
  <c r="AP50" i="2" s="1"/>
  <c r="AO51" i="2"/>
  <c r="AO52" i="2"/>
  <c r="AP52" i="2" s="1"/>
  <c r="AO53" i="2"/>
  <c r="AO54" i="2"/>
  <c r="AP54" i="2" s="1"/>
  <c r="AO55" i="2"/>
  <c r="AO56" i="2"/>
  <c r="AO57" i="2"/>
  <c r="AO58" i="2"/>
  <c r="AP58" i="2" s="1"/>
  <c r="AO59" i="2"/>
  <c r="AO60" i="2"/>
  <c r="AP60" i="2" s="1"/>
  <c r="AO61" i="2"/>
  <c r="AO62" i="2"/>
  <c r="AO63" i="2"/>
  <c r="AO64" i="2"/>
  <c r="AP64" i="2" s="1"/>
  <c r="AO65" i="2"/>
  <c r="AO66" i="2"/>
  <c r="AP66" i="2" s="1"/>
  <c r="AO67" i="2"/>
  <c r="AP67" i="2" s="1"/>
  <c r="AO68" i="2"/>
  <c r="AP68" i="2" s="1"/>
  <c r="AO69" i="2"/>
  <c r="AO70" i="2"/>
  <c r="AP70" i="2" s="1"/>
  <c r="AO71" i="2"/>
  <c r="AO72" i="2"/>
  <c r="AP72" i="2" s="1"/>
  <c r="AO73" i="2"/>
  <c r="AO74" i="2"/>
  <c r="AO75" i="2"/>
  <c r="AO76" i="2"/>
  <c r="AO77" i="2"/>
  <c r="AO78" i="2"/>
  <c r="AP78" i="2" s="1"/>
  <c r="AO79" i="2"/>
  <c r="AP79" i="2" s="1"/>
  <c r="AO80" i="2"/>
  <c r="AO81" i="2"/>
  <c r="AO82" i="2"/>
  <c r="AP82" i="2" s="1"/>
  <c r="AO83" i="2"/>
  <c r="AO84" i="2"/>
  <c r="AP84" i="2" s="1"/>
  <c r="AO85" i="2"/>
  <c r="AP85" i="2" s="1"/>
  <c r="AO86" i="2"/>
  <c r="AO87" i="2"/>
  <c r="AO88" i="2"/>
  <c r="AP88" i="2" s="1"/>
  <c r="AO89" i="2"/>
  <c r="AO90" i="2"/>
  <c r="AP90" i="2" s="1"/>
  <c r="AO91" i="2"/>
  <c r="AO92" i="2"/>
  <c r="AO93" i="2"/>
  <c r="AO94" i="2"/>
  <c r="AP94" i="2" s="1"/>
  <c r="AO95" i="2"/>
  <c r="AO96" i="2"/>
  <c r="AP96" i="2" s="1"/>
  <c r="AO97" i="2"/>
  <c r="AP97" i="2" s="1"/>
  <c r="AO98" i="2"/>
  <c r="AO99" i="2"/>
  <c r="AO3" i="2"/>
  <c r="AP3" i="2" s="1"/>
  <c r="AL1" i="2"/>
  <c r="Z1" i="2"/>
  <c r="AC4" i="2"/>
  <c r="AD4" i="2" s="1"/>
  <c r="AC5" i="2"/>
  <c r="AC6" i="2"/>
  <c r="AD6" i="2" s="1"/>
  <c r="AC7" i="2"/>
  <c r="AD7" i="2" s="1"/>
  <c r="AC8" i="2"/>
  <c r="AD8" i="2" s="1"/>
  <c r="AC9" i="2"/>
  <c r="AC10" i="2"/>
  <c r="AD10" i="2" s="1"/>
  <c r="AC11" i="2"/>
  <c r="AC12" i="2"/>
  <c r="AD12" i="2" s="1"/>
  <c r="AC13" i="2"/>
  <c r="AD13" i="2" s="1"/>
  <c r="AC14" i="2"/>
  <c r="AD14" i="2" s="1"/>
  <c r="AC15" i="2"/>
  <c r="AC16" i="2"/>
  <c r="AD16" i="2" s="1"/>
  <c r="AC17" i="2"/>
  <c r="AC18" i="2"/>
  <c r="AD18" i="2" s="1"/>
  <c r="AC19" i="2"/>
  <c r="AC20" i="2"/>
  <c r="AC21" i="2"/>
  <c r="AC22" i="2"/>
  <c r="AD22" i="2" s="1"/>
  <c r="AC23" i="2"/>
  <c r="AC24" i="2"/>
  <c r="AD24" i="2" s="1"/>
  <c r="AC25" i="2"/>
  <c r="AD25" i="2" s="1"/>
  <c r="AC26" i="2"/>
  <c r="AD26" i="2" s="1"/>
  <c r="AC27" i="2"/>
  <c r="AC28" i="2"/>
  <c r="AD28" i="2" s="1"/>
  <c r="AC29" i="2"/>
  <c r="AC30" i="2"/>
  <c r="AD30" i="2" s="1"/>
  <c r="AC31" i="2"/>
  <c r="AD31" i="2" s="1"/>
  <c r="AC32" i="2"/>
  <c r="AD32" i="2" s="1"/>
  <c r="AC33" i="2"/>
  <c r="AC34" i="2"/>
  <c r="AC35" i="2"/>
  <c r="AC36" i="2"/>
  <c r="AD36" i="2" s="1"/>
  <c r="AC37" i="2"/>
  <c r="AD37" i="2" s="1"/>
  <c r="AC38" i="2"/>
  <c r="AD38" i="2" s="1"/>
  <c r="AC39" i="2"/>
  <c r="AC40" i="2"/>
  <c r="AD40" i="2" s="1"/>
  <c r="AC41" i="2"/>
  <c r="AC42" i="2"/>
  <c r="AD42" i="2" s="1"/>
  <c r="AC43" i="2"/>
  <c r="AD43" i="2" s="1"/>
  <c r="AC44" i="2"/>
  <c r="AD44" i="2" s="1"/>
  <c r="AC45" i="2"/>
  <c r="AC46" i="2"/>
  <c r="AD46" i="2" s="1"/>
  <c r="AC47" i="2"/>
  <c r="AC48" i="2"/>
  <c r="AD48" i="2" s="1"/>
  <c r="AC49" i="2"/>
  <c r="AD49" i="2" s="1"/>
  <c r="AC50" i="2"/>
  <c r="AD50" i="2" s="1"/>
  <c r="AC51" i="2"/>
  <c r="AC52" i="2"/>
  <c r="AD52" i="2" s="1"/>
  <c r="AC53" i="2"/>
  <c r="AC54" i="2"/>
  <c r="AD54" i="2" s="1"/>
  <c r="AC55" i="2"/>
  <c r="AC56" i="2"/>
  <c r="AC57" i="2"/>
  <c r="AC58" i="2"/>
  <c r="AD58" i="2" s="1"/>
  <c r="AC59" i="2"/>
  <c r="AC60" i="2"/>
  <c r="AD60" i="2" s="1"/>
  <c r="AC61" i="2"/>
  <c r="AD61" i="2" s="1"/>
  <c r="AC62" i="2"/>
  <c r="AD62" i="2" s="1"/>
  <c r="AC63" i="2"/>
  <c r="AC64" i="2"/>
  <c r="AD64" i="2" s="1"/>
  <c r="AC65" i="2"/>
  <c r="AC66" i="2"/>
  <c r="AD66" i="2" s="1"/>
  <c r="AC67" i="2"/>
  <c r="AD67" i="2" s="1"/>
  <c r="AC68" i="2"/>
  <c r="AD68" i="2" s="1"/>
  <c r="AC69" i="2"/>
  <c r="AC70" i="2"/>
  <c r="AD70" i="2" s="1"/>
  <c r="AC71" i="2"/>
  <c r="AC72" i="2"/>
  <c r="AD72" i="2" s="1"/>
  <c r="AC73" i="2"/>
  <c r="AC74" i="2"/>
  <c r="AC75" i="2"/>
  <c r="AC76" i="2"/>
  <c r="AD76" i="2" s="1"/>
  <c r="AC77" i="2"/>
  <c r="AC78" i="2"/>
  <c r="AD78" i="2" s="1"/>
  <c r="AC79" i="2"/>
  <c r="AD79" i="2" s="1"/>
  <c r="AC80" i="2"/>
  <c r="AD80" i="2" s="1"/>
  <c r="AC81" i="2"/>
  <c r="AC82" i="2"/>
  <c r="AD82" i="2" s="1"/>
  <c r="AC83" i="2"/>
  <c r="AC84" i="2"/>
  <c r="AD84" i="2" s="1"/>
  <c r="AC85" i="2"/>
  <c r="AD85" i="2" s="1"/>
  <c r="AC86" i="2"/>
  <c r="AD86" i="2" s="1"/>
  <c r="AC87" i="2"/>
  <c r="AC88" i="2"/>
  <c r="AD88" i="2" s="1"/>
  <c r="AC89" i="2"/>
  <c r="AC90" i="2"/>
  <c r="AD90" i="2" s="1"/>
  <c r="AC91" i="2"/>
  <c r="AC92" i="2"/>
  <c r="AC93" i="2"/>
  <c r="AC94" i="2"/>
  <c r="AD94" i="2" s="1"/>
  <c r="AC95" i="2"/>
  <c r="AC96" i="2"/>
  <c r="AD96" i="2" s="1"/>
  <c r="AC97" i="2"/>
  <c r="AD97" i="2" s="1"/>
  <c r="AC98" i="2"/>
  <c r="AD98" i="2" s="1"/>
  <c r="AC99" i="2"/>
  <c r="AC100" i="2"/>
  <c r="AC3" i="2"/>
  <c r="AD3" i="2" s="1"/>
  <c r="Q4" i="2"/>
  <c r="R4" i="2" s="1"/>
  <c r="S4" i="2" s="1"/>
  <c r="Q5" i="2"/>
  <c r="R5" i="2" s="1"/>
  <c r="Q6" i="2"/>
  <c r="Q7" i="2"/>
  <c r="R7" i="2" s="1"/>
  <c r="Q8" i="2"/>
  <c r="R8" i="2" s="1"/>
  <c r="Q9" i="2"/>
  <c r="Q10" i="2"/>
  <c r="R10" i="2" s="1"/>
  <c r="Q11" i="2"/>
  <c r="R11" i="2" s="1"/>
  <c r="Q12" i="2"/>
  <c r="Q13" i="2"/>
  <c r="R13" i="2" s="1"/>
  <c r="Q14" i="2"/>
  <c r="R14" i="2" s="1"/>
  <c r="Q15" i="2"/>
  <c r="R15" i="2" s="1"/>
  <c r="Q16" i="2"/>
  <c r="R16" i="2" s="1"/>
  <c r="Q17" i="2"/>
  <c r="R17" i="2" s="1"/>
  <c r="Q18" i="2"/>
  <c r="Q19" i="2"/>
  <c r="R19" i="2" s="1"/>
  <c r="Q20" i="2"/>
  <c r="R20" i="2" s="1"/>
  <c r="Q21" i="2"/>
  <c r="R21" i="2" s="1"/>
  <c r="Q22" i="2"/>
  <c r="R22" i="2" s="1"/>
  <c r="Q23" i="2"/>
  <c r="R23" i="2" s="1"/>
  <c r="Q24" i="2"/>
  <c r="Q25" i="2"/>
  <c r="R25" i="2" s="1"/>
  <c r="Q26" i="2"/>
  <c r="R26" i="2" s="1"/>
  <c r="Q27" i="2"/>
  <c r="R27" i="2" s="1"/>
  <c r="Q28" i="2"/>
  <c r="R28" i="2" s="1"/>
  <c r="Q29" i="2"/>
  <c r="R29" i="2" s="1"/>
  <c r="Q30" i="2"/>
  <c r="Q31" i="2"/>
  <c r="R31" i="2" s="1"/>
  <c r="Q32" i="2"/>
  <c r="R32" i="2" s="1"/>
  <c r="Q33" i="2"/>
  <c r="R33" i="2" s="1"/>
  <c r="Q34" i="2"/>
  <c r="R34" i="2" s="1"/>
  <c r="Q35" i="2"/>
  <c r="R35" i="2" s="1"/>
  <c r="Q36" i="2"/>
  <c r="Q37" i="2"/>
  <c r="R37" i="2" s="1"/>
  <c r="Q38" i="2"/>
  <c r="R38" i="2" s="1"/>
  <c r="Q39" i="2"/>
  <c r="R39" i="2" s="1"/>
  <c r="Q40" i="2"/>
  <c r="R40" i="2" s="1"/>
  <c r="Q41" i="2"/>
  <c r="R41" i="2" s="1"/>
  <c r="Q42" i="2"/>
  <c r="Q43" i="2"/>
  <c r="R43" i="2" s="1"/>
  <c r="Q44" i="2"/>
  <c r="R44" i="2" s="1"/>
  <c r="Q45" i="2"/>
  <c r="R45" i="2" s="1"/>
  <c r="Q46" i="2"/>
  <c r="R46" i="2" s="1"/>
  <c r="Q47" i="2"/>
  <c r="R47" i="2" s="1"/>
  <c r="Q48" i="2"/>
  <c r="Q49" i="2"/>
  <c r="R49" i="2" s="1"/>
  <c r="Q50" i="2"/>
  <c r="R50" i="2" s="1"/>
  <c r="Q51" i="2"/>
  <c r="R51" i="2" s="1"/>
  <c r="Q52" i="2"/>
  <c r="R52" i="2" s="1"/>
  <c r="Q53" i="2"/>
  <c r="R53" i="2" s="1"/>
  <c r="Q54" i="2"/>
  <c r="Q55" i="2"/>
  <c r="R55" i="2" s="1"/>
  <c r="Q56" i="2"/>
  <c r="R56" i="2" s="1"/>
  <c r="Q57" i="2"/>
  <c r="R57" i="2" s="1"/>
  <c r="Q58" i="2"/>
  <c r="R58" i="2" s="1"/>
  <c r="Q59" i="2"/>
  <c r="R59" i="2" s="1"/>
  <c r="Q60" i="2"/>
  <c r="Q61" i="2"/>
  <c r="R61" i="2" s="1"/>
  <c r="Q62" i="2"/>
  <c r="R62" i="2" s="1"/>
  <c r="Q63" i="2"/>
  <c r="R63" i="2" s="1"/>
  <c r="Q64" i="2"/>
  <c r="R64" i="2" s="1"/>
  <c r="Q65" i="2"/>
  <c r="R65" i="2" s="1"/>
  <c r="Q66" i="2"/>
  <c r="Q67" i="2"/>
  <c r="R67" i="2" s="1"/>
  <c r="Q68" i="2"/>
  <c r="R68" i="2" s="1"/>
  <c r="Q69" i="2"/>
  <c r="R69" i="2" s="1"/>
  <c r="Q70" i="2"/>
  <c r="Q71" i="2"/>
  <c r="R71" i="2" s="1"/>
  <c r="Q72" i="2"/>
  <c r="Q73" i="2"/>
  <c r="R73" i="2" s="1"/>
  <c r="Q74" i="2"/>
  <c r="R74" i="2" s="1"/>
  <c r="Q75" i="2"/>
  <c r="R75" i="2" s="1"/>
  <c r="Q76" i="2"/>
  <c r="R76" i="2" s="1"/>
  <c r="Q77" i="2"/>
  <c r="R77" i="2" s="1"/>
  <c r="Q78" i="2"/>
  <c r="Q79" i="2"/>
  <c r="R79" i="2" s="1"/>
  <c r="Q80" i="2"/>
  <c r="R80" i="2" s="1"/>
  <c r="Q81" i="2"/>
  <c r="R81" i="2" s="1"/>
  <c r="Q82" i="2"/>
  <c r="R82" i="2" s="1"/>
  <c r="Q83" i="2"/>
  <c r="R83" i="2" s="1"/>
  <c r="Q84" i="2"/>
  <c r="Q85" i="2"/>
  <c r="R85" i="2" s="1"/>
  <c r="Q86" i="2"/>
  <c r="R86" i="2" s="1"/>
  <c r="Q87" i="2"/>
  <c r="R87" i="2" s="1"/>
  <c r="Q88" i="2"/>
  <c r="Q89" i="2"/>
  <c r="R89" i="2" s="1"/>
  <c r="Q90" i="2"/>
  <c r="Q91" i="2"/>
  <c r="R91" i="2" s="1"/>
  <c r="Q92" i="2"/>
  <c r="R92" i="2" s="1"/>
  <c r="Q93" i="2"/>
  <c r="R93" i="2" s="1"/>
  <c r="Q94" i="2"/>
  <c r="R94" i="2" s="1"/>
  <c r="Q95" i="2"/>
  <c r="R95" i="2" s="1"/>
  <c r="Q96" i="2"/>
  <c r="Q97" i="2"/>
  <c r="R97" i="2" s="1"/>
  <c r="Q98" i="2"/>
  <c r="R98" i="2" s="1"/>
  <c r="Q99" i="2"/>
  <c r="Q3" i="2"/>
  <c r="R3" i="2" s="1"/>
  <c r="N1" i="2"/>
  <c r="BC23" i="2" l="1"/>
  <c r="BC11" i="2"/>
  <c r="BC5" i="2"/>
  <c r="BC99" i="2"/>
  <c r="BC93" i="2"/>
  <c r="BC87" i="2"/>
  <c r="BC81" i="2"/>
  <c r="BC75" i="2"/>
  <c r="BC69" i="2"/>
  <c r="BC63" i="2"/>
  <c r="BC57" i="2"/>
  <c r="BC51" i="2"/>
  <c r="BC45" i="2"/>
  <c r="BC39" i="2"/>
  <c r="BC33" i="2"/>
  <c r="BC27" i="2"/>
  <c r="BC21" i="2"/>
  <c r="BC15" i="2"/>
  <c r="BC9" i="2"/>
  <c r="BC98" i="2"/>
  <c r="BC92" i="2"/>
  <c r="BC80" i="2"/>
  <c r="BC74" i="2"/>
  <c r="BC62" i="2"/>
  <c r="BC56" i="2"/>
  <c r="BC44" i="2"/>
  <c r="BC38" i="2"/>
  <c r="BC26" i="2"/>
  <c r="BC14" i="2"/>
  <c r="BC8" i="2"/>
  <c r="BC97" i="2"/>
  <c r="BC73" i="2"/>
  <c r="BC55" i="2"/>
  <c r="BC43" i="2"/>
  <c r="BC31" i="2"/>
  <c r="BC25" i="2"/>
  <c r="BC13" i="2"/>
  <c r="BC7" i="2"/>
  <c r="BC91" i="2"/>
  <c r="BC85" i="2"/>
  <c r="BC79" i="2"/>
  <c r="BC67" i="2"/>
  <c r="BC61" i="2"/>
  <c r="BC49" i="2"/>
  <c r="BC37" i="2"/>
  <c r="BC19" i="2"/>
  <c r="BC96" i="2"/>
  <c r="BC90" i="2"/>
  <c r="BC17" i="2"/>
  <c r="BC3" i="2"/>
  <c r="BC94" i="2"/>
  <c r="BC88" i="2"/>
  <c r="BC82" i="2"/>
  <c r="BC76" i="2"/>
  <c r="BC70" i="2"/>
  <c r="BC64" i="2"/>
  <c r="BC58" i="2"/>
  <c r="BC52" i="2"/>
  <c r="BC46" i="2"/>
  <c r="BC40" i="2"/>
  <c r="BC34" i="2"/>
  <c r="BC28" i="2"/>
  <c r="BC22" i="2"/>
  <c r="BC10" i="2"/>
  <c r="BC4" i="2"/>
  <c r="AQ97" i="2"/>
  <c r="AQ85" i="2"/>
  <c r="AQ79" i="2"/>
  <c r="AQ67" i="2"/>
  <c r="AQ49" i="2"/>
  <c r="AQ43" i="2"/>
  <c r="AQ31" i="2"/>
  <c r="AQ25" i="2"/>
  <c r="AQ19" i="2"/>
  <c r="AQ13" i="2"/>
  <c r="AQ7" i="2"/>
  <c r="AQ96" i="2"/>
  <c r="AQ90" i="2"/>
  <c r="AQ84" i="2"/>
  <c r="AQ78" i="2"/>
  <c r="AQ72" i="2"/>
  <c r="AQ66" i="2"/>
  <c r="AQ60" i="2"/>
  <c r="AQ54" i="2"/>
  <c r="AQ48" i="2"/>
  <c r="AQ42" i="2"/>
  <c r="AQ36" i="2"/>
  <c r="AQ30" i="2"/>
  <c r="AQ24" i="2"/>
  <c r="AQ18" i="2"/>
  <c r="AQ12" i="2"/>
  <c r="AQ6" i="2"/>
  <c r="AQ3" i="2"/>
  <c r="AQ94" i="2"/>
  <c r="AQ88" i="2"/>
  <c r="AQ82" i="2"/>
  <c r="AQ70" i="2"/>
  <c r="AQ64" i="2"/>
  <c r="AQ58" i="2"/>
  <c r="AQ52" i="2"/>
  <c r="AQ46" i="2"/>
  <c r="AQ40" i="2"/>
  <c r="AQ34" i="2"/>
  <c r="AQ28" i="2"/>
  <c r="AQ22" i="2"/>
  <c r="AQ16" i="2"/>
  <c r="AQ10" i="2"/>
  <c r="AQ4" i="2"/>
  <c r="AQ68" i="2"/>
  <c r="AQ50" i="2"/>
  <c r="AQ44" i="2"/>
  <c r="AQ26" i="2"/>
  <c r="AQ20" i="2"/>
  <c r="AQ8" i="2"/>
  <c r="AE88" i="2"/>
  <c r="AE52" i="2"/>
  <c r="AE10" i="2"/>
  <c r="AE76" i="2"/>
  <c r="AE46" i="2"/>
  <c r="AE22" i="2"/>
  <c r="AE98" i="2"/>
  <c r="AE86" i="2"/>
  <c r="AE80" i="2"/>
  <c r="AE68" i="2"/>
  <c r="AE62" i="2"/>
  <c r="AE50" i="2"/>
  <c r="AE44" i="2"/>
  <c r="AE38" i="2"/>
  <c r="AE32" i="2"/>
  <c r="AE26" i="2"/>
  <c r="AE14" i="2"/>
  <c r="AE8" i="2"/>
  <c r="AE94" i="2"/>
  <c r="AE64" i="2"/>
  <c r="AE40" i="2"/>
  <c r="AE16" i="2"/>
  <c r="AE97" i="2"/>
  <c r="AE85" i="2"/>
  <c r="AE79" i="2"/>
  <c r="AE67" i="2"/>
  <c r="AE61" i="2"/>
  <c r="AE49" i="2"/>
  <c r="AE43" i="2"/>
  <c r="AE37" i="2"/>
  <c r="AE31" i="2"/>
  <c r="AE25" i="2"/>
  <c r="AE13" i="2"/>
  <c r="AE7" i="2"/>
  <c r="AE70" i="2"/>
  <c r="AE28" i="2"/>
  <c r="AE96" i="2"/>
  <c r="AE90" i="2"/>
  <c r="AE84" i="2"/>
  <c r="AE78" i="2"/>
  <c r="AE72" i="2"/>
  <c r="AE66" i="2"/>
  <c r="AE60" i="2"/>
  <c r="AE54" i="2"/>
  <c r="AE48" i="2"/>
  <c r="AE42" i="2"/>
  <c r="AE36" i="2"/>
  <c r="AE30" i="2"/>
  <c r="AE24" i="2"/>
  <c r="AE18" i="2"/>
  <c r="AE12" i="2"/>
  <c r="AE6" i="2"/>
  <c r="AE82" i="2"/>
  <c r="AE58" i="2"/>
  <c r="AE4" i="2"/>
  <c r="AE3" i="2"/>
  <c r="S98" i="2"/>
  <c r="S80" i="2"/>
  <c r="S62" i="2"/>
  <c r="S44" i="2"/>
  <c r="S20" i="2"/>
  <c r="S91" i="2"/>
  <c r="S73" i="2"/>
  <c r="S55" i="2"/>
  <c r="S31" i="2"/>
  <c r="S25" i="2"/>
  <c r="S19" i="2"/>
  <c r="S7" i="2"/>
  <c r="S85" i="2"/>
  <c r="S67" i="2"/>
  <c r="S61" i="2"/>
  <c r="S49" i="2"/>
  <c r="S43" i="2"/>
  <c r="S37" i="2"/>
  <c r="S13" i="2"/>
  <c r="S83" i="2"/>
  <c r="S77" i="2"/>
  <c r="S71" i="2"/>
  <c r="S65" i="2"/>
  <c r="S59" i="2"/>
  <c r="S53" i="2"/>
  <c r="S47" i="2"/>
  <c r="S41" i="2"/>
  <c r="S35" i="2"/>
  <c r="S29" i="2"/>
  <c r="S23" i="2"/>
  <c r="S17" i="2"/>
  <c r="S11" i="2"/>
  <c r="S5" i="2"/>
  <c r="S86" i="2"/>
  <c r="S68" i="2"/>
  <c r="S56" i="2"/>
  <c r="S38" i="2"/>
  <c r="S26" i="2"/>
  <c r="S8" i="2"/>
  <c r="S3" i="2"/>
  <c r="S82" i="2"/>
  <c r="S58" i="2"/>
  <c r="S52" i="2"/>
  <c r="S40" i="2"/>
  <c r="S34" i="2"/>
  <c r="S28" i="2"/>
  <c r="S22" i="2"/>
  <c r="S16" i="2"/>
  <c r="S10" i="2"/>
  <c r="S92" i="2"/>
  <c r="S74" i="2"/>
  <c r="S50" i="2"/>
  <c r="S32" i="2"/>
  <c r="S14" i="2"/>
  <c r="S97" i="2"/>
  <c r="S79" i="2"/>
  <c r="S95" i="2"/>
  <c r="S89" i="2"/>
  <c r="S94" i="2"/>
  <c r="S76" i="2"/>
  <c r="S64" i="2"/>
  <c r="S46" i="2"/>
  <c r="S93" i="2"/>
  <c r="S87" i="2"/>
  <c r="S81" i="2"/>
  <c r="S75" i="2"/>
  <c r="S69" i="2"/>
  <c r="S63" i="2"/>
  <c r="S57" i="2"/>
  <c r="S51" i="2"/>
  <c r="S45" i="2"/>
  <c r="S39" i="2"/>
  <c r="S33" i="2"/>
  <c r="S27" i="2"/>
  <c r="S21" i="2"/>
  <c r="S15" i="2"/>
  <c r="BB41" i="2"/>
  <c r="AP62" i="2"/>
  <c r="AP38" i="2"/>
  <c r="BB16" i="2"/>
  <c r="BB95" i="2"/>
  <c r="AP61" i="2"/>
  <c r="AP32" i="2"/>
  <c r="AP14" i="2"/>
  <c r="BB89" i="2"/>
  <c r="BB71" i="2"/>
  <c r="BB53" i="2"/>
  <c r="BB35" i="2"/>
  <c r="BB59" i="2"/>
  <c r="AP56" i="2"/>
  <c r="BB86" i="2"/>
  <c r="BB68" i="2"/>
  <c r="BB50" i="2"/>
  <c r="BB32" i="2"/>
  <c r="BN89" i="2"/>
  <c r="BO89" i="2" s="1"/>
  <c r="BB77" i="2"/>
  <c r="BB83" i="2"/>
  <c r="BB65" i="2"/>
  <c r="BB47" i="2"/>
  <c r="BB29" i="2"/>
  <c r="AP91" i="2"/>
  <c r="AP73" i="2"/>
  <c r="AP55" i="2"/>
  <c r="AP37" i="2"/>
  <c r="AP95" i="2"/>
  <c r="AP83" i="2"/>
  <c r="AP77" i="2"/>
  <c r="AP71" i="2"/>
  <c r="AP65" i="2"/>
  <c r="AP59" i="2"/>
  <c r="AP53" i="2"/>
  <c r="AP47" i="2"/>
  <c r="AP41" i="2"/>
  <c r="AP35" i="2"/>
  <c r="AP29" i="2"/>
  <c r="AP23" i="2"/>
  <c r="AP17" i="2"/>
  <c r="AP11" i="2"/>
  <c r="AP5" i="2"/>
  <c r="AP86" i="2"/>
  <c r="BB84" i="2"/>
  <c r="BB78" i="2"/>
  <c r="BB72" i="2"/>
  <c r="BB66" i="2"/>
  <c r="BB60" i="2"/>
  <c r="BB54" i="2"/>
  <c r="BB48" i="2"/>
  <c r="BB42" i="2"/>
  <c r="BB36" i="2"/>
  <c r="BB30" i="2"/>
  <c r="BB24" i="2"/>
  <c r="BB18" i="2"/>
  <c r="BB12" i="2"/>
  <c r="BB6" i="2"/>
  <c r="AP92" i="2"/>
  <c r="AP74" i="2"/>
  <c r="AP89" i="2"/>
  <c r="AP76" i="2"/>
  <c r="BN98" i="2"/>
  <c r="BO98" i="2" s="1"/>
  <c r="BN92" i="2"/>
  <c r="BO92" i="2" s="1"/>
  <c r="BN86" i="2"/>
  <c r="BO86" i="2" s="1"/>
  <c r="BN80" i="2"/>
  <c r="BO80" i="2" s="1"/>
  <c r="BN74" i="2"/>
  <c r="BO74" i="2" s="1"/>
  <c r="BN68" i="2"/>
  <c r="BO68" i="2" s="1"/>
  <c r="BN62" i="2"/>
  <c r="BO62" i="2" s="1"/>
  <c r="BN56" i="2"/>
  <c r="BO56" i="2" s="1"/>
  <c r="BN50" i="2"/>
  <c r="BO50" i="2" s="1"/>
  <c r="BN44" i="2"/>
  <c r="BO44" i="2" s="1"/>
  <c r="BN38" i="2"/>
  <c r="BO38" i="2" s="1"/>
  <c r="BN32" i="2"/>
  <c r="BO32" i="2" s="1"/>
  <c r="BN26" i="2"/>
  <c r="BO26" i="2" s="1"/>
  <c r="BN20" i="2"/>
  <c r="BO20" i="2" s="1"/>
  <c r="BN14" i="2"/>
  <c r="BO14" i="2" s="1"/>
  <c r="BN8" i="2"/>
  <c r="BO8" i="2" s="1"/>
  <c r="AP99" i="2"/>
  <c r="AP93" i="2"/>
  <c r="AP87" i="2"/>
  <c r="AP81" i="2"/>
  <c r="AP75" i="2"/>
  <c r="AP69" i="2"/>
  <c r="AP63" i="2"/>
  <c r="AP57" i="2"/>
  <c r="AP51" i="2"/>
  <c r="AP45" i="2"/>
  <c r="AP39" i="2"/>
  <c r="AP33" i="2"/>
  <c r="AP27" i="2"/>
  <c r="AP21" i="2"/>
  <c r="AP15" i="2"/>
  <c r="AP9" i="2"/>
  <c r="AP98" i="2"/>
  <c r="AP80" i="2"/>
  <c r="BB20" i="2"/>
  <c r="BN95" i="2"/>
  <c r="BO95" i="2" s="1"/>
  <c r="BN77" i="2"/>
  <c r="BO77" i="2" s="1"/>
  <c r="BN59" i="2"/>
  <c r="BO59" i="2" s="1"/>
  <c r="BN41" i="2"/>
  <c r="BO41" i="2" s="1"/>
  <c r="BN23" i="2"/>
  <c r="BO23" i="2" s="1"/>
  <c r="BN5" i="2"/>
  <c r="BN83" i="2"/>
  <c r="BO83" i="2" s="1"/>
  <c r="BN65" i="2"/>
  <c r="BO65" i="2" s="1"/>
  <c r="BN47" i="2"/>
  <c r="BO47" i="2" s="1"/>
  <c r="BN29" i="2"/>
  <c r="BO29" i="2" s="1"/>
  <c r="BN11" i="2"/>
  <c r="BO11" i="2" s="1"/>
  <c r="R96" i="2"/>
  <c r="R78" i="2"/>
  <c r="R66" i="2"/>
  <c r="R48" i="2"/>
  <c r="R12" i="2"/>
  <c r="AD100" i="2"/>
  <c r="R90" i="2"/>
  <c r="R72" i="2"/>
  <c r="R60" i="2"/>
  <c r="R54" i="2"/>
  <c r="R42" i="2"/>
  <c r="R30" i="2"/>
  <c r="R24" i="2"/>
  <c r="R18" i="2"/>
  <c r="R6" i="2"/>
  <c r="R88" i="2"/>
  <c r="R70" i="2"/>
  <c r="R84" i="2"/>
  <c r="R99" i="2"/>
  <c r="R9" i="2"/>
  <c r="R36" i="2"/>
  <c r="AD91" i="2"/>
  <c r="AD73" i="2"/>
  <c r="AD55" i="2"/>
  <c r="AD19" i="2"/>
  <c r="AD34" i="2"/>
  <c r="AD95" i="2"/>
  <c r="AD89" i="2"/>
  <c r="AD83" i="2"/>
  <c r="AD77" i="2"/>
  <c r="AD71" i="2"/>
  <c r="AD65" i="2"/>
  <c r="AD59" i="2"/>
  <c r="AD53" i="2"/>
  <c r="AD47" i="2"/>
  <c r="AD41" i="2"/>
  <c r="AD35" i="2"/>
  <c r="AD29" i="2"/>
  <c r="AD23" i="2"/>
  <c r="AD17" i="2"/>
  <c r="AD11" i="2"/>
  <c r="AD5" i="2"/>
  <c r="AD99" i="2"/>
  <c r="AD93" i="2"/>
  <c r="AD87" i="2"/>
  <c r="AD81" i="2"/>
  <c r="AD75" i="2"/>
  <c r="AD69" i="2"/>
  <c r="AD63" i="2"/>
  <c r="AD57" i="2"/>
  <c r="AD51" i="2"/>
  <c r="AD45" i="2"/>
  <c r="AD39" i="2"/>
  <c r="AD33" i="2"/>
  <c r="AD27" i="2"/>
  <c r="AD21" i="2"/>
  <c r="AD15" i="2"/>
  <c r="AD9" i="2"/>
  <c r="AD92" i="2"/>
  <c r="AD74" i="2"/>
  <c r="AD56" i="2"/>
  <c r="AD20" i="2"/>
  <c r="BG101" i="2" l="1"/>
  <c r="BC12" i="2"/>
  <c r="BC83" i="2"/>
  <c r="BC24" i="2"/>
  <c r="BC60" i="2"/>
  <c r="BC36" i="2"/>
  <c r="BC72" i="2"/>
  <c r="BC47" i="2"/>
  <c r="BC50" i="2"/>
  <c r="BC53" i="2"/>
  <c r="BC95" i="2"/>
  <c r="BC65" i="2"/>
  <c r="BG102" i="2"/>
  <c r="BC78" i="2"/>
  <c r="BC71" i="2"/>
  <c r="BC48" i="2"/>
  <c r="BC89" i="2"/>
  <c r="BC18" i="2"/>
  <c r="BC54" i="2"/>
  <c r="BC77" i="2"/>
  <c r="BC42" i="2"/>
  <c r="BC68" i="2"/>
  <c r="BC84" i="2"/>
  <c r="BC20" i="2"/>
  <c r="BC59" i="2"/>
  <c r="BC16" i="2"/>
  <c r="BC86" i="2"/>
  <c r="BC41" i="2"/>
  <c r="BC30" i="2"/>
  <c r="BC66" i="2"/>
  <c r="BC29" i="2"/>
  <c r="BC32" i="2"/>
  <c r="BC35" i="2"/>
  <c r="AQ69" i="2"/>
  <c r="AQ39" i="2"/>
  <c r="AQ75" i="2"/>
  <c r="AQ92" i="2"/>
  <c r="AQ21" i="2"/>
  <c r="AQ57" i="2"/>
  <c r="AQ93" i="2"/>
  <c r="AQ76" i="2"/>
  <c r="AQ86" i="2"/>
  <c r="AQ35" i="2"/>
  <c r="AQ71" i="2"/>
  <c r="AQ73" i="2"/>
  <c r="AQ56" i="2"/>
  <c r="AQ14" i="2"/>
  <c r="AQ62" i="2"/>
  <c r="AQ27" i="2"/>
  <c r="AQ89" i="2"/>
  <c r="AQ41" i="2"/>
  <c r="AQ77" i="2"/>
  <c r="AQ91" i="2"/>
  <c r="AQ32" i="2"/>
  <c r="AQ33" i="2"/>
  <c r="AQ74" i="2"/>
  <c r="AQ11" i="2"/>
  <c r="AQ47" i="2"/>
  <c r="AQ83" i="2"/>
  <c r="AQ61" i="2"/>
  <c r="AU102" i="2"/>
  <c r="AQ98" i="2"/>
  <c r="AQ17" i="2"/>
  <c r="AQ53" i="2"/>
  <c r="AU101" i="2"/>
  <c r="AQ99" i="2"/>
  <c r="AQ95" i="2"/>
  <c r="AQ9" i="2"/>
  <c r="AQ45" i="2"/>
  <c r="AQ81" i="2"/>
  <c r="AQ23" i="2"/>
  <c r="AQ59" i="2"/>
  <c r="AQ37" i="2"/>
  <c r="AQ63" i="2"/>
  <c r="AQ80" i="2"/>
  <c r="AQ15" i="2"/>
  <c r="AQ51" i="2"/>
  <c r="AQ87" i="2"/>
  <c r="AQ29" i="2"/>
  <c r="AQ65" i="2"/>
  <c r="AQ55" i="2"/>
  <c r="AQ38" i="2"/>
  <c r="W102" i="2"/>
  <c r="AE87" i="2"/>
  <c r="AE95" i="2"/>
  <c r="AE57" i="2"/>
  <c r="AE65" i="2"/>
  <c r="AE27" i="2"/>
  <c r="AE63" i="2"/>
  <c r="AE71" i="2"/>
  <c r="AE33" i="2"/>
  <c r="AE5" i="2"/>
  <c r="AE77" i="2"/>
  <c r="AE100" i="2"/>
  <c r="AE92" i="2"/>
  <c r="AE39" i="2"/>
  <c r="AE75" i="2"/>
  <c r="AE11" i="2"/>
  <c r="AE47" i="2"/>
  <c r="AE83" i="2"/>
  <c r="AE73" i="2"/>
  <c r="AE51" i="2"/>
  <c r="AE93" i="2"/>
  <c r="AE34" i="2"/>
  <c r="AE56" i="2"/>
  <c r="AE99" i="2"/>
  <c r="AE19" i="2"/>
  <c r="AE74" i="2"/>
  <c r="AE69" i="2"/>
  <c r="AE41" i="2"/>
  <c r="AE55" i="2"/>
  <c r="AI102" i="2"/>
  <c r="AE9" i="2"/>
  <c r="AE45" i="2"/>
  <c r="AE81" i="2"/>
  <c r="AE17" i="2"/>
  <c r="AE53" i="2"/>
  <c r="AE89" i="2"/>
  <c r="AE91" i="2"/>
  <c r="AE59" i="2"/>
  <c r="AE15" i="2"/>
  <c r="AE21" i="2"/>
  <c r="AI103" i="2"/>
  <c r="AE23" i="2"/>
  <c r="AE20" i="2"/>
  <c r="AE29" i="2"/>
  <c r="AE35" i="2"/>
  <c r="W101" i="2"/>
  <c r="S18" i="2"/>
  <c r="S78" i="2"/>
  <c r="S90" i="2"/>
  <c r="S30" i="2"/>
  <c r="S70" i="2"/>
  <c r="S42" i="2"/>
  <c r="S12" i="2"/>
  <c r="S9" i="2"/>
  <c r="S72" i="2"/>
  <c r="S24" i="2"/>
  <c r="S88" i="2"/>
  <c r="S54" i="2"/>
  <c r="S48" i="2"/>
  <c r="S99" i="2"/>
  <c r="S96" i="2"/>
  <c r="S84" i="2"/>
  <c r="S36" i="2"/>
  <c r="S6" i="2"/>
  <c r="S60" i="2"/>
  <c r="S66" i="2"/>
  <c r="BO5" i="2"/>
  <c r="BO1" i="2" s="1"/>
  <c r="AQ5" i="2"/>
  <c r="BC6" i="2"/>
  <c r="BE101" i="2" l="1"/>
  <c r="BF27" i="2" s="1"/>
  <c r="BG27" i="2" s="1"/>
  <c r="BF23" i="2"/>
  <c r="BG23" i="2" s="1"/>
  <c r="BF91" i="2"/>
  <c r="BG91" i="2" s="1"/>
  <c r="BF56" i="2"/>
  <c r="BG56" i="2" s="1"/>
  <c r="BF67" i="2"/>
  <c r="BG67" i="2" s="1"/>
  <c r="BF10" i="2"/>
  <c r="BG10" i="2" s="1"/>
  <c r="BF97" i="2"/>
  <c r="BG97" i="2" s="1"/>
  <c r="BF24" i="2"/>
  <c r="BG24" i="2" s="1"/>
  <c r="BC1" i="2"/>
  <c r="AZ1" i="2"/>
  <c r="AS101" i="2"/>
  <c r="AT93" i="2" s="1"/>
  <c r="AU93" i="2" s="1"/>
  <c r="AQ1" i="2"/>
  <c r="AN1" i="2"/>
  <c r="AB1" i="2"/>
  <c r="AF98" i="2" s="1"/>
  <c r="AG98" i="2" s="1"/>
  <c r="U101" i="2"/>
  <c r="V3" i="2" s="1"/>
  <c r="W3" i="2" s="1"/>
  <c r="AE1" i="2"/>
  <c r="AG102" i="2"/>
  <c r="AH87" i="2" s="1"/>
  <c r="AI87" i="2" s="1"/>
  <c r="S1" i="2"/>
  <c r="P1" i="2"/>
  <c r="T39" i="2" s="1"/>
  <c r="U39" i="2" s="1"/>
  <c r="B1" i="2"/>
  <c r="E4" i="2"/>
  <c r="F4" i="2" s="1"/>
  <c r="G4" i="2" s="1"/>
  <c r="E5" i="2"/>
  <c r="F5" i="2" s="1"/>
  <c r="G5" i="2" s="1"/>
  <c r="E6" i="2"/>
  <c r="F6" i="2" s="1"/>
  <c r="G6" i="2" s="1"/>
  <c r="E7" i="2"/>
  <c r="F7" i="2" s="1"/>
  <c r="G7" i="2" s="1"/>
  <c r="E8" i="2"/>
  <c r="F8" i="2" s="1"/>
  <c r="G8" i="2" s="1"/>
  <c r="E9" i="2"/>
  <c r="F9" i="2" s="1"/>
  <c r="G9" i="2" s="1"/>
  <c r="E10" i="2"/>
  <c r="F10" i="2" s="1"/>
  <c r="G10" i="2" s="1"/>
  <c r="E11" i="2"/>
  <c r="F11" i="2" s="1"/>
  <c r="G11" i="2" s="1"/>
  <c r="E12" i="2"/>
  <c r="F12" i="2" s="1"/>
  <c r="G12" i="2" s="1"/>
  <c r="E13" i="2"/>
  <c r="F13" i="2" s="1"/>
  <c r="G13" i="2" s="1"/>
  <c r="E14" i="2"/>
  <c r="F14" i="2" s="1"/>
  <c r="G14" i="2" s="1"/>
  <c r="E15" i="2"/>
  <c r="F15" i="2" s="1"/>
  <c r="G15" i="2" s="1"/>
  <c r="E16" i="2"/>
  <c r="F16" i="2" s="1"/>
  <c r="G16" i="2" s="1"/>
  <c r="E17" i="2"/>
  <c r="F17" i="2" s="1"/>
  <c r="G17" i="2" s="1"/>
  <c r="E18" i="2"/>
  <c r="F18" i="2" s="1"/>
  <c r="G18" i="2" s="1"/>
  <c r="E19" i="2"/>
  <c r="F19" i="2" s="1"/>
  <c r="G19" i="2" s="1"/>
  <c r="E20" i="2"/>
  <c r="F20" i="2" s="1"/>
  <c r="G20" i="2" s="1"/>
  <c r="E21" i="2"/>
  <c r="E22" i="2"/>
  <c r="F22" i="2" s="1"/>
  <c r="G22" i="2" s="1"/>
  <c r="E23" i="2"/>
  <c r="F23" i="2" s="1"/>
  <c r="G23" i="2" s="1"/>
  <c r="E24" i="2"/>
  <c r="F24" i="2" s="1"/>
  <c r="G24" i="2" s="1"/>
  <c r="E25" i="2"/>
  <c r="F25" i="2" s="1"/>
  <c r="G25" i="2" s="1"/>
  <c r="E26" i="2"/>
  <c r="F26" i="2" s="1"/>
  <c r="G26" i="2" s="1"/>
  <c r="E27" i="2"/>
  <c r="E28" i="2"/>
  <c r="F28" i="2" s="1"/>
  <c r="G28" i="2" s="1"/>
  <c r="E29" i="2"/>
  <c r="F29" i="2" s="1"/>
  <c r="G29" i="2" s="1"/>
  <c r="E30" i="2"/>
  <c r="F30" i="2" s="1"/>
  <c r="G30" i="2" s="1"/>
  <c r="E31" i="2"/>
  <c r="F31" i="2" s="1"/>
  <c r="G31" i="2" s="1"/>
  <c r="E32" i="2"/>
  <c r="F32" i="2" s="1"/>
  <c r="G32" i="2" s="1"/>
  <c r="E33" i="2"/>
  <c r="E34" i="2"/>
  <c r="F34" i="2" s="1"/>
  <c r="G34" i="2" s="1"/>
  <c r="E35" i="2"/>
  <c r="F35" i="2" s="1"/>
  <c r="G35" i="2" s="1"/>
  <c r="E36" i="2"/>
  <c r="F36" i="2" s="1"/>
  <c r="G36" i="2" s="1"/>
  <c r="E37" i="2"/>
  <c r="F37" i="2" s="1"/>
  <c r="G37" i="2" s="1"/>
  <c r="E38" i="2"/>
  <c r="F38" i="2" s="1"/>
  <c r="G38" i="2" s="1"/>
  <c r="E39" i="2"/>
  <c r="E40" i="2"/>
  <c r="F40" i="2" s="1"/>
  <c r="G40" i="2" s="1"/>
  <c r="E41" i="2"/>
  <c r="F41" i="2" s="1"/>
  <c r="G41" i="2" s="1"/>
  <c r="E42" i="2"/>
  <c r="F42" i="2" s="1"/>
  <c r="G42" i="2" s="1"/>
  <c r="E43" i="2"/>
  <c r="F43" i="2" s="1"/>
  <c r="G43" i="2" s="1"/>
  <c r="E44" i="2"/>
  <c r="F44" i="2" s="1"/>
  <c r="G44" i="2" s="1"/>
  <c r="E45" i="2"/>
  <c r="E46" i="2"/>
  <c r="F46" i="2" s="1"/>
  <c r="G46" i="2" s="1"/>
  <c r="E47" i="2"/>
  <c r="F47" i="2" s="1"/>
  <c r="G47" i="2" s="1"/>
  <c r="E48" i="2"/>
  <c r="F48" i="2" s="1"/>
  <c r="G48" i="2" s="1"/>
  <c r="E49" i="2"/>
  <c r="F49" i="2" s="1"/>
  <c r="G49" i="2" s="1"/>
  <c r="E50" i="2"/>
  <c r="F50" i="2" s="1"/>
  <c r="G50" i="2" s="1"/>
  <c r="E51" i="2"/>
  <c r="E52" i="2"/>
  <c r="F52" i="2" s="1"/>
  <c r="G52" i="2" s="1"/>
  <c r="E53" i="2"/>
  <c r="F53" i="2" s="1"/>
  <c r="G53" i="2" s="1"/>
  <c r="E54" i="2"/>
  <c r="F54" i="2" s="1"/>
  <c r="G54" i="2" s="1"/>
  <c r="E55" i="2"/>
  <c r="F55" i="2" s="1"/>
  <c r="G55" i="2" s="1"/>
  <c r="E56" i="2"/>
  <c r="F56" i="2" s="1"/>
  <c r="G56" i="2" s="1"/>
  <c r="E57" i="2"/>
  <c r="E58" i="2"/>
  <c r="F58" i="2" s="1"/>
  <c r="G58" i="2" s="1"/>
  <c r="E59" i="2"/>
  <c r="F59" i="2" s="1"/>
  <c r="G59" i="2" s="1"/>
  <c r="E60" i="2"/>
  <c r="F60" i="2" s="1"/>
  <c r="G60" i="2" s="1"/>
  <c r="E61" i="2"/>
  <c r="F61" i="2" s="1"/>
  <c r="G61" i="2" s="1"/>
  <c r="E62" i="2"/>
  <c r="F62" i="2" s="1"/>
  <c r="G62" i="2" s="1"/>
  <c r="E63" i="2"/>
  <c r="E64" i="2"/>
  <c r="F64" i="2" s="1"/>
  <c r="G64" i="2" s="1"/>
  <c r="E65" i="2"/>
  <c r="F65" i="2" s="1"/>
  <c r="G65" i="2" s="1"/>
  <c r="E66" i="2"/>
  <c r="F66" i="2" s="1"/>
  <c r="G66" i="2" s="1"/>
  <c r="E67" i="2"/>
  <c r="F67" i="2" s="1"/>
  <c r="G67" i="2" s="1"/>
  <c r="E68" i="2"/>
  <c r="F68" i="2" s="1"/>
  <c r="G68" i="2" s="1"/>
  <c r="E69" i="2"/>
  <c r="E70" i="2"/>
  <c r="F70" i="2" s="1"/>
  <c r="G70" i="2" s="1"/>
  <c r="E71" i="2"/>
  <c r="F71" i="2" s="1"/>
  <c r="G71" i="2" s="1"/>
  <c r="E72" i="2"/>
  <c r="F72" i="2" s="1"/>
  <c r="G72" i="2" s="1"/>
  <c r="E73" i="2"/>
  <c r="F73" i="2" s="1"/>
  <c r="G73" i="2" s="1"/>
  <c r="E74" i="2"/>
  <c r="F74" i="2" s="1"/>
  <c r="G74" i="2" s="1"/>
  <c r="E75" i="2"/>
  <c r="E76" i="2"/>
  <c r="F76" i="2" s="1"/>
  <c r="E77" i="2"/>
  <c r="F77" i="2" s="1"/>
  <c r="G77" i="2" s="1"/>
  <c r="E78" i="2"/>
  <c r="F78" i="2" s="1"/>
  <c r="G78" i="2" s="1"/>
  <c r="E79" i="2"/>
  <c r="F79" i="2" s="1"/>
  <c r="G79" i="2" s="1"/>
  <c r="E80" i="2"/>
  <c r="F80" i="2" s="1"/>
  <c r="G80" i="2" s="1"/>
  <c r="E81" i="2"/>
  <c r="E82" i="2"/>
  <c r="F82" i="2" s="1"/>
  <c r="G82" i="2" s="1"/>
  <c r="E83" i="2"/>
  <c r="F83" i="2" s="1"/>
  <c r="G83" i="2" s="1"/>
  <c r="E84" i="2"/>
  <c r="F84" i="2" s="1"/>
  <c r="G84" i="2" s="1"/>
  <c r="E85" i="2"/>
  <c r="F85" i="2" s="1"/>
  <c r="G85" i="2" s="1"/>
  <c r="E86" i="2"/>
  <c r="F86" i="2" s="1"/>
  <c r="G86" i="2" s="1"/>
  <c r="E87" i="2"/>
  <c r="E88" i="2"/>
  <c r="F88" i="2" s="1"/>
  <c r="G88" i="2" s="1"/>
  <c r="E89" i="2"/>
  <c r="F89" i="2" s="1"/>
  <c r="G89" i="2" s="1"/>
  <c r="E90" i="2"/>
  <c r="F90" i="2" s="1"/>
  <c r="G90" i="2" s="1"/>
  <c r="E91" i="2"/>
  <c r="F91" i="2" s="1"/>
  <c r="G91" i="2" s="1"/>
  <c r="E92" i="2"/>
  <c r="F92" i="2" s="1"/>
  <c r="G92" i="2" s="1"/>
  <c r="E93" i="2"/>
  <c r="E94" i="2"/>
  <c r="F94" i="2" s="1"/>
  <c r="E3" i="2"/>
  <c r="F3" i="2" s="1"/>
  <c r="BF99" i="2" l="1"/>
  <c r="BG99" i="2" s="1"/>
  <c r="BF12" i="2"/>
  <c r="BG12" i="2" s="1"/>
  <c r="BF28" i="2"/>
  <c r="BG28" i="2" s="1"/>
  <c r="BF93" i="2"/>
  <c r="BG93" i="2" s="1"/>
  <c r="BF17" i="2"/>
  <c r="BG17" i="2" s="1"/>
  <c r="BF73" i="2"/>
  <c r="BG73" i="2" s="1"/>
  <c r="BF69" i="2"/>
  <c r="BG69" i="2" s="1"/>
  <c r="BF14" i="2"/>
  <c r="BG14" i="2" s="1"/>
  <c r="BF48" i="2"/>
  <c r="BG48" i="2" s="1"/>
  <c r="BF51" i="2"/>
  <c r="BG51" i="2" s="1"/>
  <c r="BF40" i="2"/>
  <c r="BG40" i="2" s="1"/>
  <c r="BF34" i="2"/>
  <c r="BG34" i="2" s="1"/>
  <c r="BF58" i="2"/>
  <c r="BG58" i="2" s="1"/>
  <c r="BF42" i="2"/>
  <c r="BG42" i="2" s="1"/>
  <c r="BF33" i="2"/>
  <c r="BG33" i="2" s="1"/>
  <c r="BF32" i="2"/>
  <c r="BG32" i="2" s="1"/>
  <c r="BF26" i="2"/>
  <c r="BG26" i="2" s="1"/>
  <c r="BF89" i="2"/>
  <c r="BG89" i="2" s="1"/>
  <c r="BF15" i="2"/>
  <c r="BG15" i="2" s="1"/>
  <c r="BF41" i="2"/>
  <c r="BG41" i="2" s="1"/>
  <c r="BF11" i="2"/>
  <c r="BG11" i="2" s="1"/>
  <c r="BF84" i="2"/>
  <c r="BG84" i="2" s="1"/>
  <c r="BF65" i="2"/>
  <c r="BG65" i="2" s="1"/>
  <c r="BF47" i="2"/>
  <c r="BG47" i="2" s="1"/>
  <c r="BF76" i="2"/>
  <c r="BG76" i="2" s="1"/>
  <c r="BF90" i="2"/>
  <c r="BG90" i="2" s="1"/>
  <c r="BF25" i="2"/>
  <c r="BG25" i="2" s="1"/>
  <c r="BF53" i="2"/>
  <c r="BG53" i="2" s="1"/>
  <c r="BF49" i="2"/>
  <c r="BG49" i="2" s="1"/>
  <c r="BF45" i="2"/>
  <c r="BG45" i="2" s="1"/>
  <c r="BF7" i="2"/>
  <c r="BG7" i="2" s="1"/>
  <c r="BF30" i="2"/>
  <c r="BG30" i="2" s="1"/>
  <c r="BF62" i="2"/>
  <c r="BG62" i="2" s="1"/>
  <c r="BF85" i="2"/>
  <c r="BG85" i="2" s="1"/>
  <c r="BF18" i="2"/>
  <c r="BG18" i="2" s="1"/>
  <c r="BF37" i="2"/>
  <c r="BG37" i="2" s="1"/>
  <c r="BF22" i="2"/>
  <c r="BG22" i="2" s="1"/>
  <c r="BF6" i="2"/>
  <c r="BG6" i="2" s="1"/>
  <c r="BF92" i="2"/>
  <c r="BG92" i="2" s="1"/>
  <c r="BF13" i="2"/>
  <c r="BG13" i="2" s="1"/>
  <c r="BF44" i="2"/>
  <c r="BG44" i="2" s="1"/>
  <c r="BF29" i="2"/>
  <c r="BG29" i="2" s="1"/>
  <c r="BF96" i="2"/>
  <c r="BG96" i="2" s="1"/>
  <c r="BF72" i="2"/>
  <c r="BG72" i="2" s="1"/>
  <c r="BF74" i="2"/>
  <c r="BG74" i="2" s="1"/>
  <c r="BF35" i="2"/>
  <c r="BG35" i="2" s="1"/>
  <c r="BF98" i="2"/>
  <c r="BG98" i="2" s="1"/>
  <c r="BF16" i="2"/>
  <c r="BG16" i="2" s="1"/>
  <c r="BF87" i="2"/>
  <c r="BG87" i="2" s="1"/>
  <c r="BF80" i="2"/>
  <c r="BG80" i="2" s="1"/>
  <c r="BF71" i="2"/>
  <c r="BG71" i="2" s="1"/>
  <c r="BF38" i="2"/>
  <c r="BG38" i="2" s="1"/>
  <c r="BF19" i="2"/>
  <c r="BG19" i="2" s="1"/>
  <c r="BF95" i="2"/>
  <c r="BG95" i="2" s="1"/>
  <c r="BF5" i="2"/>
  <c r="BG5" i="2" s="1"/>
  <c r="BF9" i="2"/>
  <c r="BG9" i="2" s="1"/>
  <c r="BF88" i="2"/>
  <c r="BG88" i="2" s="1"/>
  <c r="BF59" i="2"/>
  <c r="BG59" i="2" s="1"/>
  <c r="BF61" i="2"/>
  <c r="BG61" i="2" s="1"/>
  <c r="BF3" i="2"/>
  <c r="BG3" i="2" s="1"/>
  <c r="BF79" i="2"/>
  <c r="BG79" i="2" s="1"/>
  <c r="BF4" i="2"/>
  <c r="BG4" i="2" s="1"/>
  <c r="BF75" i="2"/>
  <c r="BG75" i="2" s="1"/>
  <c r="BF83" i="2"/>
  <c r="BG83" i="2" s="1"/>
  <c r="BF39" i="2"/>
  <c r="BG39" i="2" s="1"/>
  <c r="BF86" i="2"/>
  <c r="BG86" i="2" s="1"/>
  <c r="BF50" i="2"/>
  <c r="BG50" i="2" s="1"/>
  <c r="BF31" i="2"/>
  <c r="BG31" i="2" s="1"/>
  <c r="BF81" i="2"/>
  <c r="BG81" i="2" s="1"/>
  <c r="BF60" i="2"/>
  <c r="BG60" i="2" s="1"/>
  <c r="BF57" i="2"/>
  <c r="BG57" i="2" s="1"/>
  <c r="BF68" i="2"/>
  <c r="BG68" i="2" s="1"/>
  <c r="BF43" i="2"/>
  <c r="BG43" i="2" s="1"/>
  <c r="BF66" i="2"/>
  <c r="BG66" i="2" s="1"/>
  <c r="BF78" i="2"/>
  <c r="BG78" i="2" s="1"/>
  <c r="BF54" i="2"/>
  <c r="BG54" i="2" s="1"/>
  <c r="BF55" i="2"/>
  <c r="BG55" i="2" s="1"/>
  <c r="BF94" i="2"/>
  <c r="BG94" i="2" s="1"/>
  <c r="BF8" i="2"/>
  <c r="BG8" i="2" s="1"/>
  <c r="BF63" i="2"/>
  <c r="BG63" i="2" s="1"/>
  <c r="BF46" i="2"/>
  <c r="BG46" i="2" s="1"/>
  <c r="BF52" i="2"/>
  <c r="BG52" i="2" s="1"/>
  <c r="BF20" i="2"/>
  <c r="BG20" i="2" s="1"/>
  <c r="BF36" i="2"/>
  <c r="BG36" i="2" s="1"/>
  <c r="BF21" i="2"/>
  <c r="BG21" i="2" s="1"/>
  <c r="BF77" i="2"/>
  <c r="BG77" i="2" s="1"/>
  <c r="BF64" i="2"/>
  <c r="BG64" i="2" s="1"/>
  <c r="BF70" i="2"/>
  <c r="BG70" i="2" s="1"/>
  <c r="BF82" i="2"/>
  <c r="BG82" i="2" s="1"/>
  <c r="AT87" i="2"/>
  <c r="AU87" i="2" s="1"/>
  <c r="BD3" i="2"/>
  <c r="BE3" i="2" s="1"/>
  <c r="BD11" i="2"/>
  <c r="BE11" i="2" s="1"/>
  <c r="BD21" i="2"/>
  <c r="BE21" i="2" s="1"/>
  <c r="BD29" i="2"/>
  <c r="BE29" i="2" s="1"/>
  <c r="BD36" i="2"/>
  <c r="BE36" i="2" s="1"/>
  <c r="BD44" i="2"/>
  <c r="BE44" i="2" s="1"/>
  <c r="BD51" i="2"/>
  <c r="BE51" i="2" s="1"/>
  <c r="BD58" i="2"/>
  <c r="BE58" i="2" s="1"/>
  <c r="BD4" i="2"/>
  <c r="BE4" i="2" s="1"/>
  <c r="BD40" i="2"/>
  <c r="BE40" i="2" s="1"/>
  <c r="BD62" i="2"/>
  <c r="BE62" i="2" s="1"/>
  <c r="BD80" i="2"/>
  <c r="BE80" i="2" s="1"/>
  <c r="BD5" i="2"/>
  <c r="BE5" i="2" s="1"/>
  <c r="BD17" i="2"/>
  <c r="BE17" i="2" s="1"/>
  <c r="BD32" i="2"/>
  <c r="BE32" i="2" s="1"/>
  <c r="BD41" i="2"/>
  <c r="BE41" i="2" s="1"/>
  <c r="BD53" i="2"/>
  <c r="BE53" i="2" s="1"/>
  <c r="BD63" i="2"/>
  <c r="BE63" i="2" s="1"/>
  <c r="BD72" i="2"/>
  <c r="BE72" i="2" s="1"/>
  <c r="BD81" i="2"/>
  <c r="BE81" i="2" s="1"/>
  <c r="BD89" i="2"/>
  <c r="BE89" i="2" s="1"/>
  <c r="BD98" i="2"/>
  <c r="BE98" i="2" s="1"/>
  <c r="BD6" i="2"/>
  <c r="BE6" i="2" s="1"/>
  <c r="BD22" i="2"/>
  <c r="BE22" i="2" s="1"/>
  <c r="BD33" i="2"/>
  <c r="BE33" i="2" s="1"/>
  <c r="BD45" i="2"/>
  <c r="BE45" i="2" s="1"/>
  <c r="BD54" i="2"/>
  <c r="BE54" i="2" s="1"/>
  <c r="BD65" i="2"/>
  <c r="BE65" i="2" s="1"/>
  <c r="BD74" i="2"/>
  <c r="BE74" i="2" s="1"/>
  <c r="BD82" i="2"/>
  <c r="BE82" i="2" s="1"/>
  <c r="BD90" i="2"/>
  <c r="BE90" i="2" s="1"/>
  <c r="BD99" i="2"/>
  <c r="BE99" i="2" s="1"/>
  <c r="BD87" i="2"/>
  <c r="BE87" i="2" s="1"/>
  <c r="BD9" i="2"/>
  <c r="BE9" i="2" s="1"/>
  <c r="BD23" i="2"/>
  <c r="BE23" i="2" s="1"/>
  <c r="BD34" i="2"/>
  <c r="BE34" i="2" s="1"/>
  <c r="BD46" i="2"/>
  <c r="BE46" i="2" s="1"/>
  <c r="BD56" i="2"/>
  <c r="BE56" i="2" s="1"/>
  <c r="BD66" i="2"/>
  <c r="BE66" i="2" s="1"/>
  <c r="BD75" i="2"/>
  <c r="BE75" i="2" s="1"/>
  <c r="BD83" i="2"/>
  <c r="BE83" i="2" s="1"/>
  <c r="BD92" i="2"/>
  <c r="BE92" i="2" s="1"/>
  <c r="BD12" i="2"/>
  <c r="BE12" i="2" s="1"/>
  <c r="BD24" i="2"/>
  <c r="BE24" i="2" s="1"/>
  <c r="BD38" i="2"/>
  <c r="BE38" i="2" s="1"/>
  <c r="BD47" i="2"/>
  <c r="BE47" i="2" s="1"/>
  <c r="BD59" i="2"/>
  <c r="BE59" i="2" s="1"/>
  <c r="BD68" i="2"/>
  <c r="BE68" i="2" s="1"/>
  <c r="BD76" i="2"/>
  <c r="BE76" i="2" s="1"/>
  <c r="BD84" i="2"/>
  <c r="BE84" i="2" s="1"/>
  <c r="BD94" i="2"/>
  <c r="BE94" i="2" s="1"/>
  <c r="BD15" i="2"/>
  <c r="BE15" i="2" s="1"/>
  <c r="BD27" i="2"/>
  <c r="BE27" i="2" s="1"/>
  <c r="BD39" i="2"/>
  <c r="BE39" i="2" s="1"/>
  <c r="BD48" i="2"/>
  <c r="BE48" i="2" s="1"/>
  <c r="BD60" i="2"/>
  <c r="BE60" i="2" s="1"/>
  <c r="BD69" i="2"/>
  <c r="BE69" i="2" s="1"/>
  <c r="BD77" i="2"/>
  <c r="BE77" i="2" s="1"/>
  <c r="BD95" i="2"/>
  <c r="BE95" i="2" s="1"/>
  <c r="BD16" i="2"/>
  <c r="BE16" i="2" s="1"/>
  <c r="BD30" i="2"/>
  <c r="BE30" i="2" s="1"/>
  <c r="BD52" i="2"/>
  <c r="BE52" i="2" s="1"/>
  <c r="BD70" i="2"/>
  <c r="BE70" i="2" s="1"/>
  <c r="BD88" i="2"/>
  <c r="BE88" i="2" s="1"/>
  <c r="BD96" i="2"/>
  <c r="BE96" i="2" s="1"/>
  <c r="BD31" i="2"/>
  <c r="BE31" i="2" s="1"/>
  <c r="BD67" i="2"/>
  <c r="BE67" i="2" s="1"/>
  <c r="BD8" i="2"/>
  <c r="BE8" i="2" s="1"/>
  <c r="BD78" i="2"/>
  <c r="BE78" i="2" s="1"/>
  <c r="BD35" i="2"/>
  <c r="BE35" i="2" s="1"/>
  <c r="BD37" i="2"/>
  <c r="BE37" i="2" s="1"/>
  <c r="BD73" i="2"/>
  <c r="BE73" i="2" s="1"/>
  <c r="BD14" i="2"/>
  <c r="BE14" i="2" s="1"/>
  <c r="BD71" i="2"/>
  <c r="BE71" i="2" s="1"/>
  <c r="BD28" i="2"/>
  <c r="BE28" i="2" s="1"/>
  <c r="BD7" i="2"/>
  <c r="BE7" i="2" s="1"/>
  <c r="BD43" i="2"/>
  <c r="BE43" i="2" s="1"/>
  <c r="BD79" i="2"/>
  <c r="BE79" i="2" s="1"/>
  <c r="BD20" i="2"/>
  <c r="BE20" i="2" s="1"/>
  <c r="BD64" i="2"/>
  <c r="BE64" i="2" s="1"/>
  <c r="BD18" i="2"/>
  <c r="BE18" i="2" s="1"/>
  <c r="BD13" i="2"/>
  <c r="BE13" i="2" s="1"/>
  <c r="BD49" i="2"/>
  <c r="BE49" i="2" s="1"/>
  <c r="BD85" i="2"/>
  <c r="BE85" i="2" s="1"/>
  <c r="BD26" i="2"/>
  <c r="BE26" i="2" s="1"/>
  <c r="BD57" i="2"/>
  <c r="BE57" i="2" s="1"/>
  <c r="BD10" i="2"/>
  <c r="BE10" i="2" s="1"/>
  <c r="BD19" i="2"/>
  <c r="BE19" i="2" s="1"/>
  <c r="BD55" i="2"/>
  <c r="BE55" i="2" s="1"/>
  <c r="BD91" i="2"/>
  <c r="BE91" i="2" s="1"/>
  <c r="BD93" i="2"/>
  <c r="BE93" i="2" s="1"/>
  <c r="BD50" i="2"/>
  <c r="BE50" i="2" s="1"/>
  <c r="BD25" i="2"/>
  <c r="BE25" i="2" s="1"/>
  <c r="BD61" i="2"/>
  <c r="BE61" i="2" s="1"/>
  <c r="BD97" i="2"/>
  <c r="BE97" i="2" s="1"/>
  <c r="BD86" i="2"/>
  <c r="BE86" i="2" s="1"/>
  <c r="BD42" i="2"/>
  <c r="BE42" i="2" s="1"/>
  <c r="AT99" i="2"/>
  <c r="AT10" i="2"/>
  <c r="AU10" i="2" s="1"/>
  <c r="AT43" i="2"/>
  <c r="AU43" i="2" s="1"/>
  <c r="AT4" i="2"/>
  <c r="AU4" i="2" s="1"/>
  <c r="AT65" i="2"/>
  <c r="AU65" i="2" s="1"/>
  <c r="AT80" i="2"/>
  <c r="AU80" i="2" s="1"/>
  <c r="AH10" i="2"/>
  <c r="AI10" i="2" s="1"/>
  <c r="AT22" i="2"/>
  <c r="AU22" i="2" s="1"/>
  <c r="AT92" i="2"/>
  <c r="AU92" i="2" s="1"/>
  <c r="AT67" i="2"/>
  <c r="AU67" i="2" s="1"/>
  <c r="AT51" i="2"/>
  <c r="AU51" i="2" s="1"/>
  <c r="AT59" i="2"/>
  <c r="AU59" i="2" s="1"/>
  <c r="AT42" i="2"/>
  <c r="AU42" i="2" s="1"/>
  <c r="AT77" i="2"/>
  <c r="AU77" i="2" s="1"/>
  <c r="AT38" i="2"/>
  <c r="AU38" i="2" s="1"/>
  <c r="AT34" i="2"/>
  <c r="AU34" i="2" s="1"/>
  <c r="T19" i="2"/>
  <c r="U19" i="2" s="1"/>
  <c r="AF22" i="2"/>
  <c r="AG22" i="2" s="1"/>
  <c r="T32" i="2"/>
  <c r="U32" i="2" s="1"/>
  <c r="T10" i="2"/>
  <c r="U10" i="2" s="1"/>
  <c r="AF85" i="2"/>
  <c r="AG85" i="2" s="1"/>
  <c r="AF79" i="2"/>
  <c r="AG79" i="2" s="1"/>
  <c r="AF23" i="2"/>
  <c r="AG23" i="2" s="1"/>
  <c r="AT27" i="2"/>
  <c r="AU27" i="2" s="1"/>
  <c r="AT63" i="2"/>
  <c r="AU63" i="2" s="1"/>
  <c r="AT32" i="2"/>
  <c r="AU32" i="2" s="1"/>
  <c r="AT60" i="2"/>
  <c r="AU60" i="2" s="1"/>
  <c r="AT72" i="2"/>
  <c r="AU72" i="2" s="1"/>
  <c r="AT49" i="2"/>
  <c r="AU49" i="2" s="1"/>
  <c r="AT31" i="2"/>
  <c r="AU31" i="2" s="1"/>
  <c r="T37" i="2"/>
  <c r="U37" i="2" s="1"/>
  <c r="T66" i="2"/>
  <c r="U66" i="2" s="1"/>
  <c r="T15" i="2"/>
  <c r="U15" i="2" s="1"/>
  <c r="AF8" i="2"/>
  <c r="AG8" i="2" s="1"/>
  <c r="AF47" i="2"/>
  <c r="AG47" i="2" s="1"/>
  <c r="AT17" i="2"/>
  <c r="AU17" i="2" s="1"/>
  <c r="AT52" i="2"/>
  <c r="AU52" i="2" s="1"/>
  <c r="AT28" i="2"/>
  <c r="AU28" i="2" s="1"/>
  <c r="AT48" i="2"/>
  <c r="AU48" i="2" s="1"/>
  <c r="AT89" i="2"/>
  <c r="AU89" i="2" s="1"/>
  <c r="T85" i="2"/>
  <c r="U85" i="2" s="1"/>
  <c r="T65" i="2"/>
  <c r="U65" i="2" s="1"/>
  <c r="AF83" i="2"/>
  <c r="AG83" i="2" s="1"/>
  <c r="AF88" i="2"/>
  <c r="AG88" i="2" s="1"/>
  <c r="AF99" i="2"/>
  <c r="AG99" i="2" s="1"/>
  <c r="AT30" i="2"/>
  <c r="AU30" i="2" s="1"/>
  <c r="AT94" i="2"/>
  <c r="AU94" i="2" s="1"/>
  <c r="AT64" i="2"/>
  <c r="AU64" i="2" s="1"/>
  <c r="AT85" i="2"/>
  <c r="AU85" i="2" s="1"/>
  <c r="T48" i="2"/>
  <c r="U48" i="2" s="1"/>
  <c r="T63" i="2"/>
  <c r="U63" i="2" s="1"/>
  <c r="AF39" i="2"/>
  <c r="AG39" i="2" s="1"/>
  <c r="T23" i="2"/>
  <c r="U23" i="2" s="1"/>
  <c r="AF28" i="2"/>
  <c r="AG28" i="2" s="1"/>
  <c r="AF64" i="2"/>
  <c r="AG64" i="2" s="1"/>
  <c r="T34" i="2"/>
  <c r="U34" i="2" s="1"/>
  <c r="AF46" i="2"/>
  <c r="AG46" i="2" s="1"/>
  <c r="T68" i="2"/>
  <c r="U68" i="2" s="1"/>
  <c r="T78" i="2"/>
  <c r="U78" i="2" s="1"/>
  <c r="AF45" i="2"/>
  <c r="AG45" i="2" s="1"/>
  <c r="AF60" i="2"/>
  <c r="AG60" i="2" s="1"/>
  <c r="AF25" i="2"/>
  <c r="AG25" i="2" s="1"/>
  <c r="AT15" i="2"/>
  <c r="AU15" i="2" s="1"/>
  <c r="AT62" i="2"/>
  <c r="AU62" i="2" s="1"/>
  <c r="AT35" i="2"/>
  <c r="AU35" i="2" s="1"/>
  <c r="AT24" i="2"/>
  <c r="AU24" i="2" s="1"/>
  <c r="AT36" i="2"/>
  <c r="AU36" i="2" s="1"/>
  <c r="AT79" i="2"/>
  <c r="AU79" i="2" s="1"/>
  <c r="AT18" i="2"/>
  <c r="AU18" i="2" s="1"/>
  <c r="AT11" i="2"/>
  <c r="AU11" i="2" s="1"/>
  <c r="V84" i="2"/>
  <c r="W84" i="2" s="1"/>
  <c r="V52" i="2"/>
  <c r="W52" i="2" s="1"/>
  <c r="V70" i="2"/>
  <c r="W70" i="2" s="1"/>
  <c r="T72" i="2"/>
  <c r="U72" i="2" s="1"/>
  <c r="T20" i="2"/>
  <c r="U20" i="2" s="1"/>
  <c r="T59" i="2"/>
  <c r="U59" i="2" s="1"/>
  <c r="T99" i="2"/>
  <c r="U99" i="2" s="1"/>
  <c r="V48" i="2"/>
  <c r="W48" i="2" s="1"/>
  <c r="V77" i="2"/>
  <c r="W77" i="2" s="1"/>
  <c r="V11" i="2"/>
  <c r="W11" i="2" s="1"/>
  <c r="V41" i="2"/>
  <c r="W41" i="2" s="1"/>
  <c r="V59" i="2"/>
  <c r="W59" i="2" s="1"/>
  <c r="V25" i="2"/>
  <c r="W25" i="2" s="1"/>
  <c r="AH51" i="2"/>
  <c r="AI51" i="2" s="1"/>
  <c r="AT81" i="2"/>
  <c r="AU81" i="2" s="1"/>
  <c r="AT47" i="2"/>
  <c r="AU47" i="2" s="1"/>
  <c r="AT91" i="2"/>
  <c r="AU91" i="2" s="1"/>
  <c r="AU99" i="2"/>
  <c r="AT20" i="2"/>
  <c r="AU20" i="2" s="1"/>
  <c r="AT96" i="2"/>
  <c r="AU96" i="2" s="1"/>
  <c r="AT44" i="2"/>
  <c r="AU44" i="2" s="1"/>
  <c r="AT13" i="2"/>
  <c r="AU13" i="2" s="1"/>
  <c r="AT6" i="2"/>
  <c r="AU6" i="2" s="1"/>
  <c r="AT68" i="2"/>
  <c r="AU68" i="2" s="1"/>
  <c r="AT25" i="2"/>
  <c r="AU25" i="2" s="1"/>
  <c r="AT82" i="2"/>
  <c r="AU82" i="2" s="1"/>
  <c r="AT53" i="2"/>
  <c r="AU53" i="2" s="1"/>
  <c r="AT29" i="2"/>
  <c r="AU29" i="2" s="1"/>
  <c r="V7" i="2"/>
  <c r="W7" i="2" s="1"/>
  <c r="V61" i="2"/>
  <c r="W61" i="2" s="1"/>
  <c r="V96" i="2"/>
  <c r="W96" i="2" s="1"/>
  <c r="V29" i="2"/>
  <c r="W29" i="2" s="1"/>
  <c r="V37" i="2"/>
  <c r="W37" i="2" s="1"/>
  <c r="V73" i="2"/>
  <c r="W73" i="2" s="1"/>
  <c r="T91" i="2"/>
  <c r="U91" i="2" s="1"/>
  <c r="T22" i="2"/>
  <c r="U22" i="2" s="1"/>
  <c r="T42" i="2"/>
  <c r="U42" i="2" s="1"/>
  <c r="T17" i="2"/>
  <c r="U17" i="2" s="1"/>
  <c r="T57" i="2"/>
  <c r="U57" i="2" s="1"/>
  <c r="V36" i="2"/>
  <c r="W36" i="2" s="1"/>
  <c r="V31" i="2"/>
  <c r="W31" i="2" s="1"/>
  <c r="V47" i="2"/>
  <c r="W47" i="2" s="1"/>
  <c r="V21" i="2"/>
  <c r="W21" i="2" s="1"/>
  <c r="V16" i="2"/>
  <c r="W16" i="2" s="1"/>
  <c r="V63" i="2"/>
  <c r="W63" i="2" s="1"/>
  <c r="AH54" i="2"/>
  <c r="AI54" i="2" s="1"/>
  <c r="AT76" i="2"/>
  <c r="AU76" i="2" s="1"/>
  <c r="AT75" i="2"/>
  <c r="AU75" i="2" s="1"/>
  <c r="AT23" i="2"/>
  <c r="AU23" i="2" s="1"/>
  <c r="AT83" i="2"/>
  <c r="AU83" i="2" s="1"/>
  <c r="AT33" i="2"/>
  <c r="AU33" i="2" s="1"/>
  <c r="AT46" i="2"/>
  <c r="AU46" i="2" s="1"/>
  <c r="AT26" i="2"/>
  <c r="AU26" i="2" s="1"/>
  <c r="AT58" i="2"/>
  <c r="AU58" i="2" s="1"/>
  <c r="AT66" i="2"/>
  <c r="AU66" i="2" s="1"/>
  <c r="AT78" i="2"/>
  <c r="AU78" i="2" s="1"/>
  <c r="AT70" i="2"/>
  <c r="AU70" i="2" s="1"/>
  <c r="AT7" i="2"/>
  <c r="AU7" i="2" s="1"/>
  <c r="AT54" i="2"/>
  <c r="AU54" i="2" s="1"/>
  <c r="AT21" i="2"/>
  <c r="AU21" i="2" s="1"/>
  <c r="AT45" i="2"/>
  <c r="AU45" i="2" s="1"/>
  <c r="AT39" i="2"/>
  <c r="AU39" i="2" s="1"/>
  <c r="T7" i="2"/>
  <c r="U7" i="2" s="1"/>
  <c r="T74" i="2"/>
  <c r="U74" i="2" s="1"/>
  <c r="T6" i="2"/>
  <c r="U6" i="2" s="1"/>
  <c r="T16" i="2"/>
  <c r="U16" i="2" s="1"/>
  <c r="T21" i="2"/>
  <c r="U21" i="2" s="1"/>
  <c r="V54" i="2"/>
  <c r="W54" i="2" s="1"/>
  <c r="V72" i="2"/>
  <c r="W72" i="2" s="1"/>
  <c r="V10" i="2"/>
  <c r="W10" i="2" s="1"/>
  <c r="V67" i="2"/>
  <c r="W67" i="2" s="1"/>
  <c r="V39" i="2"/>
  <c r="W39" i="2" s="1"/>
  <c r="V34" i="2"/>
  <c r="W34" i="2" s="1"/>
  <c r="V81" i="2"/>
  <c r="W81" i="2" s="1"/>
  <c r="AH94" i="2"/>
  <c r="AI94" i="2" s="1"/>
  <c r="AT14" i="2"/>
  <c r="AU14" i="2" s="1"/>
  <c r="AT86" i="2"/>
  <c r="AU86" i="2" s="1"/>
  <c r="AT55" i="2"/>
  <c r="AU55" i="2" s="1"/>
  <c r="AT61" i="2"/>
  <c r="AU61" i="2" s="1"/>
  <c r="AT88" i="2"/>
  <c r="AU88" i="2" s="1"/>
  <c r="AT16" i="2"/>
  <c r="AU16" i="2" s="1"/>
  <c r="AT3" i="2"/>
  <c r="AU3" i="2" s="1"/>
  <c r="AT50" i="2"/>
  <c r="AU50" i="2" s="1"/>
  <c r="AT19" i="2"/>
  <c r="AU19" i="2" s="1"/>
  <c r="AT12" i="2"/>
  <c r="AU12" i="2" s="1"/>
  <c r="AT8" i="2"/>
  <c r="AU8" i="2" s="1"/>
  <c r="AT90" i="2"/>
  <c r="AU90" i="2" s="1"/>
  <c r="AT71" i="2"/>
  <c r="AU71" i="2" s="1"/>
  <c r="V99" i="2"/>
  <c r="W99" i="2" s="1"/>
  <c r="V28" i="2"/>
  <c r="W28" i="2" s="1"/>
  <c r="V19" i="2"/>
  <c r="W19" i="2" s="1"/>
  <c r="V95" i="2"/>
  <c r="W95" i="2" s="1"/>
  <c r="V35" i="2"/>
  <c r="W35" i="2" s="1"/>
  <c r="V92" i="2"/>
  <c r="W92" i="2" s="1"/>
  <c r="AT9" i="2"/>
  <c r="AU9" i="2" s="1"/>
  <c r="AT57" i="2"/>
  <c r="AU57" i="2" s="1"/>
  <c r="AT73" i="2"/>
  <c r="AU73" i="2" s="1"/>
  <c r="AT5" i="2"/>
  <c r="AU5" i="2" s="1"/>
  <c r="AT74" i="2"/>
  <c r="AU74" i="2" s="1"/>
  <c r="AT98" i="2"/>
  <c r="AU98" i="2" s="1"/>
  <c r="AT95" i="2"/>
  <c r="AU95" i="2" s="1"/>
  <c r="AT56" i="2"/>
  <c r="AU56" i="2" s="1"/>
  <c r="V30" i="2"/>
  <c r="W30" i="2" s="1"/>
  <c r="V55" i="2"/>
  <c r="W55" i="2" s="1"/>
  <c r="V14" i="2"/>
  <c r="W14" i="2" s="1"/>
  <c r="V53" i="2"/>
  <c r="W53" i="2" s="1"/>
  <c r="AT84" i="2"/>
  <c r="AU84" i="2" s="1"/>
  <c r="AT40" i="2"/>
  <c r="AU40" i="2" s="1"/>
  <c r="AT97" i="2"/>
  <c r="AU97" i="2" s="1"/>
  <c r="AT69" i="2"/>
  <c r="AU69" i="2" s="1"/>
  <c r="AT41" i="2"/>
  <c r="AU41" i="2" s="1"/>
  <c r="AT37" i="2"/>
  <c r="AU37" i="2" s="1"/>
  <c r="T31" i="2"/>
  <c r="U31" i="2" s="1"/>
  <c r="T49" i="2"/>
  <c r="U49" i="2" s="1"/>
  <c r="T46" i="2"/>
  <c r="U46" i="2" s="1"/>
  <c r="T80" i="2"/>
  <c r="U80" i="2" s="1"/>
  <c r="T38" i="2"/>
  <c r="U38" i="2" s="1"/>
  <c r="T60" i="2"/>
  <c r="U60" i="2" s="1"/>
  <c r="T12" i="2"/>
  <c r="U12" i="2" s="1"/>
  <c r="T71" i="2"/>
  <c r="U71" i="2" s="1"/>
  <c r="T29" i="2"/>
  <c r="U29" i="2" s="1"/>
  <c r="T64" i="2"/>
  <c r="U64" i="2" s="1"/>
  <c r="T40" i="2"/>
  <c r="U40" i="2" s="1"/>
  <c r="T69" i="2"/>
  <c r="U69" i="2" s="1"/>
  <c r="T27" i="2"/>
  <c r="U27" i="2" s="1"/>
  <c r="AF19" i="2"/>
  <c r="AG19" i="2" s="1"/>
  <c r="AF24" i="2"/>
  <c r="AG24" i="2" s="1"/>
  <c r="AF66" i="2"/>
  <c r="AG66" i="2" s="1"/>
  <c r="AF14" i="2"/>
  <c r="AG14" i="2" s="1"/>
  <c r="AF18" i="2"/>
  <c r="AG18" i="2" s="1"/>
  <c r="AF75" i="2"/>
  <c r="AG75" i="2" s="1"/>
  <c r="AF54" i="2"/>
  <c r="AG54" i="2" s="1"/>
  <c r="AF74" i="2"/>
  <c r="AG74" i="2" s="1"/>
  <c r="AF91" i="2"/>
  <c r="AG91" i="2" s="1"/>
  <c r="AF9" i="2"/>
  <c r="AG9" i="2" s="1"/>
  <c r="AF6" i="2"/>
  <c r="AG6" i="2" s="1"/>
  <c r="AF55" i="2"/>
  <c r="AG55" i="2" s="1"/>
  <c r="AF30" i="2"/>
  <c r="AG30" i="2" s="1"/>
  <c r="AF92" i="2"/>
  <c r="AG92" i="2" s="1"/>
  <c r="AF71" i="2"/>
  <c r="AG71" i="2" s="1"/>
  <c r="AF15" i="2"/>
  <c r="AG15" i="2" s="1"/>
  <c r="V8" i="2"/>
  <c r="W8" i="2" s="1"/>
  <c r="V97" i="2"/>
  <c r="W97" i="2" s="1"/>
  <c r="V76" i="2"/>
  <c r="W76" i="2" s="1"/>
  <c r="V5" i="2"/>
  <c r="W5" i="2" s="1"/>
  <c r="V89" i="2"/>
  <c r="W89" i="2" s="1"/>
  <c r="V17" i="2"/>
  <c r="W17" i="2" s="1"/>
  <c r="V85" i="2"/>
  <c r="W85" i="2" s="1"/>
  <c r="V45" i="2"/>
  <c r="W45" i="2" s="1"/>
  <c r="V32" i="2"/>
  <c r="W32" i="2" s="1"/>
  <c r="AF97" i="2"/>
  <c r="AG97" i="2" s="1"/>
  <c r="AF90" i="2"/>
  <c r="AG90" i="2" s="1"/>
  <c r="AF4" i="2"/>
  <c r="AG4" i="2" s="1"/>
  <c r="AF43" i="2"/>
  <c r="AG43" i="2" s="1"/>
  <c r="AF84" i="2"/>
  <c r="AG84" i="2" s="1"/>
  <c r="AF95" i="2"/>
  <c r="AG95" i="2" s="1"/>
  <c r="AF12" i="2"/>
  <c r="AG12" i="2" s="1"/>
  <c r="AF48" i="2"/>
  <c r="AG48" i="2" s="1"/>
  <c r="AF86" i="2"/>
  <c r="AG86" i="2" s="1"/>
  <c r="AF63" i="2"/>
  <c r="AG63" i="2" s="1"/>
  <c r="AF40" i="2"/>
  <c r="AG40" i="2" s="1"/>
  <c r="AF44" i="2"/>
  <c r="AG44" i="2" s="1"/>
  <c r="AF51" i="2"/>
  <c r="AG51" i="2" s="1"/>
  <c r="AF70" i="2"/>
  <c r="AG70" i="2" s="1"/>
  <c r="AF67" i="2"/>
  <c r="AG67" i="2" s="1"/>
  <c r="AF42" i="2"/>
  <c r="AG42" i="2" s="1"/>
  <c r="AR14" i="2"/>
  <c r="AS14" i="2" s="1"/>
  <c r="AR26" i="2"/>
  <c r="AS26" i="2" s="1"/>
  <c r="AR36" i="2"/>
  <c r="AS36" i="2" s="1"/>
  <c r="AR44" i="2"/>
  <c r="AS44" i="2" s="1"/>
  <c r="AR54" i="2"/>
  <c r="AS54" i="2" s="1"/>
  <c r="AR62" i="2"/>
  <c r="AS62" i="2" s="1"/>
  <c r="AR72" i="2"/>
  <c r="AS72" i="2" s="1"/>
  <c r="AR80" i="2"/>
  <c r="AS80" i="2" s="1"/>
  <c r="AR90" i="2"/>
  <c r="AS90" i="2" s="1"/>
  <c r="AR98" i="2"/>
  <c r="AS98" i="2" s="1"/>
  <c r="AR6" i="2"/>
  <c r="AS6" i="2" s="1"/>
  <c r="AR18" i="2"/>
  <c r="AS18" i="2" s="1"/>
  <c r="AR28" i="2"/>
  <c r="AS28" i="2" s="1"/>
  <c r="AR37" i="2"/>
  <c r="AS37" i="2" s="1"/>
  <c r="AR46" i="2"/>
  <c r="AS46" i="2" s="1"/>
  <c r="AR55" i="2"/>
  <c r="AS55" i="2" s="1"/>
  <c r="AR64" i="2"/>
  <c r="AS64" i="2" s="1"/>
  <c r="AR73" i="2"/>
  <c r="AS73" i="2" s="1"/>
  <c r="AR82" i="2"/>
  <c r="AS82" i="2" s="1"/>
  <c r="AR91" i="2"/>
  <c r="AS91" i="2" s="1"/>
  <c r="AR3" i="2"/>
  <c r="AS3" i="2" s="1"/>
  <c r="AR7" i="2"/>
  <c r="AS7" i="2" s="1"/>
  <c r="AR19" i="2"/>
  <c r="AS19" i="2" s="1"/>
  <c r="AR30" i="2"/>
  <c r="AS30" i="2" s="1"/>
  <c r="AR38" i="2"/>
  <c r="AS38" i="2" s="1"/>
  <c r="AR48" i="2"/>
  <c r="AS48" i="2" s="1"/>
  <c r="AR56" i="2"/>
  <c r="AS56" i="2" s="1"/>
  <c r="AR66" i="2"/>
  <c r="AS66" i="2" s="1"/>
  <c r="AR74" i="2"/>
  <c r="AS74" i="2" s="1"/>
  <c r="AR84" i="2"/>
  <c r="AS84" i="2" s="1"/>
  <c r="AR92" i="2"/>
  <c r="AS92" i="2" s="1"/>
  <c r="AR8" i="2"/>
  <c r="AS8" i="2" s="1"/>
  <c r="AR20" i="2"/>
  <c r="AS20" i="2" s="1"/>
  <c r="AR31" i="2"/>
  <c r="AS31" i="2" s="1"/>
  <c r="AR40" i="2"/>
  <c r="AS40" i="2" s="1"/>
  <c r="AR49" i="2"/>
  <c r="AS49" i="2" s="1"/>
  <c r="AR58" i="2"/>
  <c r="AS58" i="2" s="1"/>
  <c r="AR67" i="2"/>
  <c r="AS67" i="2" s="1"/>
  <c r="AR76" i="2"/>
  <c r="AS76" i="2" s="1"/>
  <c r="AR85" i="2"/>
  <c r="AS85" i="2" s="1"/>
  <c r="AR94" i="2"/>
  <c r="AS94" i="2" s="1"/>
  <c r="AR12" i="2"/>
  <c r="AS12" i="2" s="1"/>
  <c r="AR24" i="2"/>
  <c r="AS24" i="2" s="1"/>
  <c r="AR32" i="2"/>
  <c r="AS32" i="2" s="1"/>
  <c r="AR60" i="2"/>
  <c r="AS60" i="2" s="1"/>
  <c r="AR86" i="2"/>
  <c r="AS86" i="2" s="1"/>
  <c r="AR34" i="2"/>
  <c r="AS34" i="2" s="1"/>
  <c r="AR61" i="2"/>
  <c r="AS61" i="2" s="1"/>
  <c r="AR88" i="2"/>
  <c r="AS88" i="2" s="1"/>
  <c r="AR42" i="2"/>
  <c r="AS42" i="2" s="1"/>
  <c r="AR68" i="2"/>
  <c r="AS68" i="2" s="1"/>
  <c r="AR96" i="2"/>
  <c r="AS96" i="2" s="1"/>
  <c r="AR43" i="2"/>
  <c r="AS43" i="2" s="1"/>
  <c r="AR70" i="2"/>
  <c r="AS70" i="2" s="1"/>
  <c r="AR97" i="2"/>
  <c r="AS97" i="2" s="1"/>
  <c r="AR13" i="2"/>
  <c r="AS13" i="2" s="1"/>
  <c r="AR50" i="2"/>
  <c r="AS50" i="2" s="1"/>
  <c r="AR78" i="2"/>
  <c r="AS78" i="2" s="1"/>
  <c r="AR25" i="2"/>
  <c r="AS25" i="2" s="1"/>
  <c r="AR52" i="2"/>
  <c r="AS52" i="2" s="1"/>
  <c r="AR79" i="2"/>
  <c r="AS79" i="2" s="1"/>
  <c r="AR99" i="2"/>
  <c r="AS99" i="2" s="1"/>
  <c r="AR63" i="2"/>
  <c r="AS63" i="2" s="1"/>
  <c r="AR27" i="2"/>
  <c r="AS27" i="2" s="1"/>
  <c r="AR83" i="2"/>
  <c r="AS83" i="2" s="1"/>
  <c r="AR47" i="2"/>
  <c r="AS47" i="2" s="1"/>
  <c r="AR11" i="2"/>
  <c r="AS11" i="2" s="1"/>
  <c r="AR5" i="2"/>
  <c r="AS5" i="2" s="1"/>
  <c r="AR93" i="2"/>
  <c r="AS93" i="2" s="1"/>
  <c r="AR57" i="2"/>
  <c r="AS57" i="2" s="1"/>
  <c r="AR21" i="2"/>
  <c r="AS21" i="2" s="1"/>
  <c r="AR77" i="2"/>
  <c r="AS77" i="2" s="1"/>
  <c r="AR41" i="2"/>
  <c r="AS41" i="2" s="1"/>
  <c r="AR22" i="2"/>
  <c r="AS22" i="2" s="1"/>
  <c r="AR87" i="2"/>
  <c r="AS87" i="2" s="1"/>
  <c r="AR51" i="2"/>
  <c r="AS51" i="2" s="1"/>
  <c r="AR15" i="2"/>
  <c r="AS15" i="2" s="1"/>
  <c r="AR71" i="2"/>
  <c r="AS71" i="2" s="1"/>
  <c r="AR35" i="2"/>
  <c r="AS35" i="2" s="1"/>
  <c r="AR16" i="2"/>
  <c r="AS16" i="2" s="1"/>
  <c r="AR81" i="2"/>
  <c r="AS81" i="2" s="1"/>
  <c r="AR45" i="2"/>
  <c r="AS45" i="2" s="1"/>
  <c r="AR9" i="2"/>
  <c r="AS9" i="2" s="1"/>
  <c r="AR65" i="2"/>
  <c r="AS65" i="2" s="1"/>
  <c r="AR29" i="2"/>
  <c r="AS29" i="2" s="1"/>
  <c r="AR10" i="2"/>
  <c r="AS10" i="2" s="1"/>
  <c r="AR75" i="2"/>
  <c r="AS75" i="2" s="1"/>
  <c r="AR39" i="2"/>
  <c r="AS39" i="2" s="1"/>
  <c r="AR95" i="2"/>
  <c r="AS95" i="2" s="1"/>
  <c r="AR59" i="2"/>
  <c r="AS59" i="2" s="1"/>
  <c r="AR23" i="2"/>
  <c r="AS23" i="2" s="1"/>
  <c r="AR4" i="2"/>
  <c r="AS4" i="2" s="1"/>
  <c r="AR69" i="2"/>
  <c r="AS69" i="2" s="1"/>
  <c r="AR33" i="2"/>
  <c r="AS33" i="2" s="1"/>
  <c r="AR89" i="2"/>
  <c r="AS89" i="2" s="1"/>
  <c r="AR53" i="2"/>
  <c r="AS53" i="2" s="1"/>
  <c r="AR17" i="2"/>
  <c r="AS17" i="2" s="1"/>
  <c r="T25" i="2"/>
  <c r="U25" i="2" s="1"/>
  <c r="T73" i="2"/>
  <c r="U73" i="2" s="1"/>
  <c r="T94" i="2"/>
  <c r="U94" i="2" s="1"/>
  <c r="T4" i="2"/>
  <c r="U4" i="2" s="1"/>
  <c r="T56" i="2"/>
  <c r="U56" i="2" s="1"/>
  <c r="T14" i="2"/>
  <c r="U14" i="2" s="1"/>
  <c r="T36" i="2"/>
  <c r="U36" i="2" s="1"/>
  <c r="T95" i="2"/>
  <c r="U95" i="2" s="1"/>
  <c r="T53" i="2"/>
  <c r="U53" i="2" s="1"/>
  <c r="T5" i="2"/>
  <c r="U5" i="2" s="1"/>
  <c r="T88" i="2"/>
  <c r="U88" i="2" s="1"/>
  <c r="T93" i="2"/>
  <c r="U93" i="2" s="1"/>
  <c r="T51" i="2"/>
  <c r="U51" i="2" s="1"/>
  <c r="T9" i="2"/>
  <c r="U9" i="2" s="1"/>
  <c r="AF13" i="2"/>
  <c r="AG13" i="2" s="1"/>
  <c r="AF94" i="2"/>
  <c r="AG94" i="2" s="1"/>
  <c r="AF81" i="2"/>
  <c r="AG81" i="2" s="1"/>
  <c r="AF80" i="2"/>
  <c r="AG80" i="2" s="1"/>
  <c r="AF52" i="2"/>
  <c r="AG52" i="2" s="1"/>
  <c r="AF73" i="2"/>
  <c r="AG73" i="2" s="1"/>
  <c r="AF10" i="2"/>
  <c r="AG10" i="2" s="1"/>
  <c r="AF27" i="2"/>
  <c r="AG27" i="2" s="1"/>
  <c r="AF41" i="2"/>
  <c r="AG41" i="2" s="1"/>
  <c r="AF61" i="2"/>
  <c r="AG61" i="2" s="1"/>
  <c r="AF93" i="2"/>
  <c r="AG93" i="2" s="1"/>
  <c r="AF100" i="2"/>
  <c r="AG100" i="2" s="1"/>
  <c r="AF49" i="2"/>
  <c r="AG49" i="2" s="1"/>
  <c r="AF78" i="2"/>
  <c r="AG78" i="2" s="1"/>
  <c r="AF38" i="2"/>
  <c r="AG38" i="2" s="1"/>
  <c r="AF76" i="2"/>
  <c r="AG76" i="2" s="1"/>
  <c r="V60" i="2"/>
  <c r="W60" i="2" s="1"/>
  <c r="V66" i="2"/>
  <c r="W66" i="2" s="1"/>
  <c r="V24" i="2"/>
  <c r="W24" i="2" s="1"/>
  <c r="V51" i="2"/>
  <c r="W51" i="2" s="1"/>
  <c r="V65" i="2"/>
  <c r="W65" i="2" s="1"/>
  <c r="V20" i="2"/>
  <c r="W20" i="2" s="1"/>
  <c r="V62" i="2"/>
  <c r="W62" i="2" s="1"/>
  <c r="V57" i="2"/>
  <c r="W57" i="2" s="1"/>
  <c r="V74" i="2"/>
  <c r="W74" i="2" s="1"/>
  <c r="V91" i="2"/>
  <c r="W91" i="2" s="1"/>
  <c r="V58" i="2"/>
  <c r="W58" i="2" s="1"/>
  <c r="V71" i="2"/>
  <c r="W71" i="2" s="1"/>
  <c r="V44" i="2"/>
  <c r="W44" i="2" s="1"/>
  <c r="V46" i="2"/>
  <c r="W46" i="2" s="1"/>
  <c r="V88" i="2"/>
  <c r="W88" i="2" s="1"/>
  <c r="T61" i="2"/>
  <c r="U61" i="2" s="1"/>
  <c r="T43" i="2"/>
  <c r="U43" i="2" s="1"/>
  <c r="T82" i="2"/>
  <c r="U82" i="2" s="1"/>
  <c r="T92" i="2"/>
  <c r="U92" i="2" s="1"/>
  <c r="T50" i="2"/>
  <c r="U50" i="2" s="1"/>
  <c r="T8" i="2"/>
  <c r="U8" i="2" s="1"/>
  <c r="T30" i="2"/>
  <c r="U30" i="2" s="1"/>
  <c r="T89" i="2"/>
  <c r="U89" i="2" s="1"/>
  <c r="T41" i="2"/>
  <c r="U41" i="2" s="1"/>
  <c r="T96" i="2"/>
  <c r="U96" i="2" s="1"/>
  <c r="T70" i="2"/>
  <c r="U70" i="2" s="1"/>
  <c r="T87" i="2"/>
  <c r="U87" i="2" s="1"/>
  <c r="T45" i="2"/>
  <c r="U45" i="2" s="1"/>
  <c r="AF69" i="2"/>
  <c r="AG69" i="2" s="1"/>
  <c r="AF62" i="2"/>
  <c r="AG62" i="2" s="1"/>
  <c r="AF29" i="2"/>
  <c r="AG29" i="2" s="1"/>
  <c r="AF77" i="2"/>
  <c r="AG77" i="2" s="1"/>
  <c r="AF68" i="2"/>
  <c r="AG68" i="2" s="1"/>
  <c r="AF82" i="2"/>
  <c r="AG82" i="2" s="1"/>
  <c r="AF7" i="2"/>
  <c r="AG7" i="2" s="1"/>
  <c r="AF17" i="2"/>
  <c r="AG17" i="2" s="1"/>
  <c r="AF87" i="2"/>
  <c r="AG87" i="2" s="1"/>
  <c r="AF35" i="2"/>
  <c r="AG35" i="2" s="1"/>
  <c r="AF50" i="2"/>
  <c r="AG50" i="2" s="1"/>
  <c r="AF31" i="2"/>
  <c r="AG31" i="2" s="1"/>
  <c r="AF58" i="2"/>
  <c r="AG58" i="2" s="1"/>
  <c r="AF53" i="2"/>
  <c r="AG53" i="2" s="1"/>
  <c r="AF36" i="2"/>
  <c r="AG36" i="2" s="1"/>
  <c r="V90" i="2"/>
  <c r="W90" i="2" s="1"/>
  <c r="V18" i="2"/>
  <c r="W18" i="2" s="1"/>
  <c r="V4" i="2"/>
  <c r="W4" i="2" s="1"/>
  <c r="V82" i="2"/>
  <c r="W82" i="2" s="1"/>
  <c r="V64" i="2"/>
  <c r="W64" i="2" s="1"/>
  <c r="V26" i="2"/>
  <c r="W26" i="2" s="1"/>
  <c r="V83" i="2"/>
  <c r="W83" i="2" s="1"/>
  <c r="V80" i="2"/>
  <c r="W80" i="2" s="1"/>
  <c r="V33" i="2"/>
  <c r="W33" i="2" s="1"/>
  <c r="V75" i="2"/>
  <c r="W75" i="2" s="1"/>
  <c r="V40" i="2"/>
  <c r="W40" i="2" s="1"/>
  <c r="V15" i="2"/>
  <c r="W15" i="2" s="1"/>
  <c r="V38" i="2"/>
  <c r="W38" i="2" s="1"/>
  <c r="V13" i="2"/>
  <c r="W13" i="2" s="1"/>
  <c r="V98" i="2"/>
  <c r="W98" i="2" s="1"/>
  <c r="V94" i="2"/>
  <c r="W94" i="2" s="1"/>
  <c r="V6" i="2"/>
  <c r="W6" i="2" s="1"/>
  <c r="AF3" i="2"/>
  <c r="AG3" i="2" s="1"/>
  <c r="T97" i="2"/>
  <c r="U97" i="2" s="1"/>
  <c r="T79" i="2"/>
  <c r="U79" i="2" s="1"/>
  <c r="T58" i="2"/>
  <c r="U58" i="2" s="1"/>
  <c r="T86" i="2"/>
  <c r="U86" i="2" s="1"/>
  <c r="T44" i="2"/>
  <c r="U44" i="2" s="1"/>
  <c r="T84" i="2"/>
  <c r="U84" i="2" s="1"/>
  <c r="T24" i="2"/>
  <c r="U24" i="2" s="1"/>
  <c r="T77" i="2"/>
  <c r="U77" i="2" s="1"/>
  <c r="T35" i="2"/>
  <c r="U35" i="2" s="1"/>
  <c r="T3" i="2"/>
  <c r="U3" i="2" s="1"/>
  <c r="T52" i="2"/>
  <c r="U52" i="2" s="1"/>
  <c r="T81" i="2"/>
  <c r="U81" i="2" s="1"/>
  <c r="T33" i="2"/>
  <c r="U33" i="2" s="1"/>
  <c r="AF65" i="2"/>
  <c r="AG65" i="2" s="1"/>
  <c r="AF56" i="2"/>
  <c r="AG56" i="2" s="1"/>
  <c r="AF5" i="2"/>
  <c r="AG5" i="2" s="1"/>
  <c r="AF37" i="2"/>
  <c r="AG37" i="2" s="1"/>
  <c r="AF11" i="2"/>
  <c r="AG11" i="2" s="1"/>
  <c r="AF59" i="2"/>
  <c r="AG59" i="2" s="1"/>
  <c r="AF96" i="2"/>
  <c r="AG96" i="2" s="1"/>
  <c r="AF89" i="2"/>
  <c r="AG89" i="2" s="1"/>
  <c r="AF26" i="2"/>
  <c r="AG26" i="2" s="1"/>
  <c r="AF16" i="2"/>
  <c r="AG16" i="2" s="1"/>
  <c r="AF21" i="2"/>
  <c r="AG21" i="2" s="1"/>
  <c r="AF32" i="2"/>
  <c r="AG32" i="2" s="1"/>
  <c r="AF72" i="2"/>
  <c r="AG72" i="2" s="1"/>
  <c r="AF20" i="2"/>
  <c r="AG20" i="2" s="1"/>
  <c r="AF57" i="2"/>
  <c r="AG57" i="2" s="1"/>
  <c r="AF34" i="2"/>
  <c r="AG34" i="2" s="1"/>
  <c r="V42" i="2"/>
  <c r="W42" i="2" s="1"/>
  <c r="V12" i="2"/>
  <c r="W12" i="2" s="1"/>
  <c r="V9" i="2"/>
  <c r="W9" i="2" s="1"/>
  <c r="V23" i="2"/>
  <c r="W23" i="2" s="1"/>
  <c r="V50" i="2"/>
  <c r="W50" i="2" s="1"/>
  <c r="V68" i="2"/>
  <c r="W68" i="2" s="1"/>
  <c r="V43" i="2"/>
  <c r="W43" i="2" s="1"/>
  <c r="V22" i="2"/>
  <c r="W22" i="2" s="1"/>
  <c r="V87" i="2"/>
  <c r="W87" i="2" s="1"/>
  <c r="V93" i="2"/>
  <c r="W93" i="2" s="1"/>
  <c r="V56" i="2"/>
  <c r="W56" i="2" s="1"/>
  <c r="V69" i="2"/>
  <c r="W69" i="2" s="1"/>
  <c r="V86" i="2"/>
  <c r="W86" i="2" s="1"/>
  <c r="V49" i="2"/>
  <c r="W49" i="2" s="1"/>
  <c r="V27" i="2"/>
  <c r="W27" i="2" s="1"/>
  <c r="V79" i="2"/>
  <c r="W79" i="2" s="1"/>
  <c r="V78" i="2"/>
  <c r="W78" i="2" s="1"/>
  <c r="AH34" i="2"/>
  <c r="AI34" i="2" s="1"/>
  <c r="AH37" i="2"/>
  <c r="AI37" i="2" s="1"/>
  <c r="AH32" i="2"/>
  <c r="AI32" i="2" s="1"/>
  <c r="AH4" i="2"/>
  <c r="AI4" i="2" s="1"/>
  <c r="AF33" i="2"/>
  <c r="AG33" i="2" s="1"/>
  <c r="AH19" i="2"/>
  <c r="AI19" i="2" s="1"/>
  <c r="AH80" i="2"/>
  <c r="AI80" i="2" s="1"/>
  <c r="AH36" i="2"/>
  <c r="AI36" i="2" s="1"/>
  <c r="AH24" i="2"/>
  <c r="AI24" i="2" s="1"/>
  <c r="AH95" i="2"/>
  <c r="AI95" i="2" s="1"/>
  <c r="AH5" i="2"/>
  <c r="AI5" i="2" s="1"/>
  <c r="AH74" i="2"/>
  <c r="AI74" i="2" s="1"/>
  <c r="AH12" i="2"/>
  <c r="AI12" i="2" s="1"/>
  <c r="AH72" i="2"/>
  <c r="AI72" i="2" s="1"/>
  <c r="AH44" i="2"/>
  <c r="AI44" i="2" s="1"/>
  <c r="AH92" i="2"/>
  <c r="AI92" i="2" s="1"/>
  <c r="AH66" i="2"/>
  <c r="AI66" i="2" s="1"/>
  <c r="AH61" i="2"/>
  <c r="AI61" i="2" s="1"/>
  <c r="AH67" i="2"/>
  <c r="AI67" i="2" s="1"/>
  <c r="AH53" i="2"/>
  <c r="AI53" i="2" s="1"/>
  <c r="AH11" i="2"/>
  <c r="AI11" i="2" s="1"/>
  <c r="AH28" i="2"/>
  <c r="AI28" i="2" s="1"/>
  <c r="AH40" i="2"/>
  <c r="AI40" i="2" s="1"/>
  <c r="AH97" i="2"/>
  <c r="AI97" i="2" s="1"/>
  <c r="AH63" i="2"/>
  <c r="AI63" i="2" s="1"/>
  <c r="AH29" i="2"/>
  <c r="AI29" i="2" s="1"/>
  <c r="AH30" i="2"/>
  <c r="AI30" i="2" s="1"/>
  <c r="AH50" i="2"/>
  <c r="AI50" i="2" s="1"/>
  <c r="AH13" i="2"/>
  <c r="AI13" i="2" s="1"/>
  <c r="AH18" i="2"/>
  <c r="AI18" i="2" s="1"/>
  <c r="AH25" i="2"/>
  <c r="AI25" i="2" s="1"/>
  <c r="AH62" i="2"/>
  <c r="AI62" i="2" s="1"/>
  <c r="AH31" i="2"/>
  <c r="AI31" i="2" s="1"/>
  <c r="AH33" i="2"/>
  <c r="AI33" i="2" s="1"/>
  <c r="AH77" i="2"/>
  <c r="AI77" i="2" s="1"/>
  <c r="AH43" i="2"/>
  <c r="AI43" i="2" s="1"/>
  <c r="AH52" i="2"/>
  <c r="AI52" i="2" s="1"/>
  <c r="AH16" i="2"/>
  <c r="AI16" i="2" s="1"/>
  <c r="AH100" i="2"/>
  <c r="AI100" i="2" s="1"/>
  <c r="AH99" i="2"/>
  <c r="AI99" i="2" s="1"/>
  <c r="AH59" i="2"/>
  <c r="AI59" i="2" s="1"/>
  <c r="AH65" i="2"/>
  <c r="AI65" i="2" s="1"/>
  <c r="AH41" i="2"/>
  <c r="AI41" i="2" s="1"/>
  <c r="AH73" i="2"/>
  <c r="AI73" i="2" s="1"/>
  <c r="AH85" i="2"/>
  <c r="AI85" i="2" s="1"/>
  <c r="AH48" i="2"/>
  <c r="AI48" i="2" s="1"/>
  <c r="AH22" i="2"/>
  <c r="AI22" i="2" s="1"/>
  <c r="AH90" i="2"/>
  <c r="AI90" i="2" s="1"/>
  <c r="AH64" i="2"/>
  <c r="AI64" i="2" s="1"/>
  <c r="AH78" i="2"/>
  <c r="AI78" i="2" s="1"/>
  <c r="AH76" i="2"/>
  <c r="AI76" i="2" s="1"/>
  <c r="AH81" i="2"/>
  <c r="AI81" i="2" s="1"/>
  <c r="AH69" i="2"/>
  <c r="AI69" i="2" s="1"/>
  <c r="AH57" i="2"/>
  <c r="AI57" i="2" s="1"/>
  <c r="AH89" i="2"/>
  <c r="AI89" i="2" s="1"/>
  <c r="AH58" i="2"/>
  <c r="AI58" i="2" s="1"/>
  <c r="AH8" i="2"/>
  <c r="AI8" i="2" s="1"/>
  <c r="AH84" i="2"/>
  <c r="AI84" i="2" s="1"/>
  <c r="AH82" i="2"/>
  <c r="AI82" i="2" s="1"/>
  <c r="AH70" i="2"/>
  <c r="AI70" i="2" s="1"/>
  <c r="AH14" i="2"/>
  <c r="AI14" i="2" s="1"/>
  <c r="AH96" i="2"/>
  <c r="AI96" i="2" s="1"/>
  <c r="AH88" i="2"/>
  <c r="AI88" i="2" s="1"/>
  <c r="AH9" i="2"/>
  <c r="AI9" i="2" s="1"/>
  <c r="AH46" i="2"/>
  <c r="AI46" i="2" s="1"/>
  <c r="AH60" i="2"/>
  <c r="AI60" i="2" s="1"/>
  <c r="AH79" i="2"/>
  <c r="AI79" i="2" s="1"/>
  <c r="AH98" i="2"/>
  <c r="AI98" i="2" s="1"/>
  <c r="AH27" i="2"/>
  <c r="AI27" i="2" s="1"/>
  <c r="AH45" i="2"/>
  <c r="AI45" i="2" s="1"/>
  <c r="AH71" i="2"/>
  <c r="AI71" i="2" s="1"/>
  <c r="AH91" i="2"/>
  <c r="AI91" i="2" s="1"/>
  <c r="AH20" i="2"/>
  <c r="AI20" i="2" s="1"/>
  <c r="AH38" i="2"/>
  <c r="AI38" i="2" s="1"/>
  <c r="AH6" i="2"/>
  <c r="AI6" i="2" s="1"/>
  <c r="AH7" i="2"/>
  <c r="AI7" i="2" s="1"/>
  <c r="AH26" i="2"/>
  <c r="AI26" i="2" s="1"/>
  <c r="AH3" i="2"/>
  <c r="AI3" i="2" s="1"/>
  <c r="AH75" i="2"/>
  <c r="AI75" i="2" s="1"/>
  <c r="AH56" i="2"/>
  <c r="AI56" i="2" s="1"/>
  <c r="AH21" i="2"/>
  <c r="AI21" i="2" s="1"/>
  <c r="AH93" i="2"/>
  <c r="AI93" i="2" s="1"/>
  <c r="AH23" i="2"/>
  <c r="AI23" i="2" s="1"/>
  <c r="AH83" i="2"/>
  <c r="AI83" i="2" s="1"/>
  <c r="AH55" i="2"/>
  <c r="AI55" i="2" s="1"/>
  <c r="AH47" i="2"/>
  <c r="AI47" i="2" s="1"/>
  <c r="AH35" i="2"/>
  <c r="AI35" i="2" s="1"/>
  <c r="AH17" i="2"/>
  <c r="AI17" i="2" s="1"/>
  <c r="AH86" i="2"/>
  <c r="AI86" i="2" s="1"/>
  <c r="AH42" i="2"/>
  <c r="AI42" i="2" s="1"/>
  <c r="AH49" i="2"/>
  <c r="AI49" i="2" s="1"/>
  <c r="AH68" i="2"/>
  <c r="AI68" i="2" s="1"/>
  <c r="AH39" i="2"/>
  <c r="AI39" i="2" s="1"/>
  <c r="AH15" i="2"/>
  <c r="AI15" i="2" s="1"/>
  <c r="G76" i="2"/>
  <c r="T55" i="2"/>
  <c r="U55" i="2" s="1"/>
  <c r="T67" i="2"/>
  <c r="U67" i="2" s="1"/>
  <c r="T13" i="2"/>
  <c r="U13" i="2" s="1"/>
  <c r="T76" i="2"/>
  <c r="U76" i="2" s="1"/>
  <c r="T98" i="2"/>
  <c r="U98" i="2" s="1"/>
  <c r="T62" i="2"/>
  <c r="U62" i="2" s="1"/>
  <c r="T26" i="2"/>
  <c r="U26" i="2" s="1"/>
  <c r="T54" i="2"/>
  <c r="U54" i="2" s="1"/>
  <c r="T18" i="2"/>
  <c r="U18" i="2" s="1"/>
  <c r="T83" i="2"/>
  <c r="U83" i="2" s="1"/>
  <c r="T47" i="2"/>
  <c r="U47" i="2" s="1"/>
  <c r="T11" i="2"/>
  <c r="U11" i="2" s="1"/>
  <c r="T90" i="2"/>
  <c r="U90" i="2" s="1"/>
  <c r="T28" i="2"/>
  <c r="U28" i="2" s="1"/>
  <c r="T75" i="2"/>
  <c r="U75" i="2" s="1"/>
  <c r="G94" i="2"/>
  <c r="G3" i="2"/>
  <c r="F93" i="2"/>
  <c r="G93" i="2" s="1"/>
  <c r="F87" i="2"/>
  <c r="G87" i="2" s="1"/>
  <c r="F81" i="2"/>
  <c r="G81" i="2" s="1"/>
  <c r="F69" i="2"/>
  <c r="G69" i="2" s="1"/>
  <c r="F63" i="2"/>
  <c r="G63" i="2" s="1"/>
  <c r="F57" i="2"/>
  <c r="G57" i="2" s="1"/>
  <c r="F51" i="2"/>
  <c r="G51" i="2" s="1"/>
  <c r="F45" i="2"/>
  <c r="G45" i="2" s="1"/>
  <c r="F39" i="2"/>
  <c r="G39" i="2" s="1"/>
  <c r="F33" i="2"/>
  <c r="G33" i="2" s="1"/>
  <c r="F27" i="2"/>
  <c r="G27" i="2" s="1"/>
  <c r="F21" i="2"/>
  <c r="G21" i="2" s="1"/>
  <c r="F75" i="2"/>
  <c r="G75" i="2" s="1"/>
  <c r="K97" i="2" l="1"/>
  <c r="K96" i="2"/>
  <c r="I96" i="2"/>
  <c r="D1" i="2"/>
  <c r="G1" i="2"/>
  <c r="J76" i="2" l="1"/>
  <c r="K76" i="2" s="1"/>
  <c r="J94" i="2"/>
  <c r="K94" i="2" s="1"/>
  <c r="J7" i="2"/>
  <c r="J13" i="2"/>
  <c r="J19" i="2"/>
  <c r="K19" i="2" s="1"/>
  <c r="J25" i="2"/>
  <c r="K25" i="2" s="1"/>
  <c r="J31" i="2"/>
  <c r="K31" i="2" s="1"/>
  <c r="J37" i="2"/>
  <c r="K37" i="2" s="1"/>
  <c r="J43" i="2"/>
  <c r="K43" i="2" s="1"/>
  <c r="J49" i="2"/>
  <c r="K49" i="2" s="1"/>
  <c r="J55" i="2"/>
  <c r="K55" i="2" s="1"/>
  <c r="J61" i="2"/>
  <c r="K61" i="2" s="1"/>
  <c r="J67" i="2"/>
  <c r="K67" i="2" s="1"/>
  <c r="J73" i="2"/>
  <c r="K73" i="2" s="1"/>
  <c r="J79" i="2"/>
  <c r="K79" i="2" s="1"/>
  <c r="J85" i="2"/>
  <c r="K85" i="2" s="1"/>
  <c r="J91" i="2"/>
  <c r="K91" i="2" s="1"/>
  <c r="J8" i="2"/>
  <c r="K8" i="2" s="1"/>
  <c r="J14" i="2"/>
  <c r="J20" i="2"/>
  <c r="K20" i="2" s="1"/>
  <c r="J26" i="2"/>
  <c r="K26" i="2" s="1"/>
  <c r="J32" i="2"/>
  <c r="K32" i="2" s="1"/>
  <c r="J38" i="2"/>
  <c r="K38" i="2" s="1"/>
  <c r="J44" i="2"/>
  <c r="K44" i="2" s="1"/>
  <c r="J50" i="2"/>
  <c r="K50" i="2" s="1"/>
  <c r="J68" i="2"/>
  <c r="K68" i="2" s="1"/>
  <c r="J80" i="2"/>
  <c r="K80" i="2" s="1"/>
  <c r="J9" i="2"/>
  <c r="K9" i="2" s="1"/>
  <c r="J15" i="2"/>
  <c r="K15" i="2" s="1"/>
  <c r="J21" i="2"/>
  <c r="K21" i="2" s="1"/>
  <c r="J27" i="2"/>
  <c r="K27" i="2" s="1"/>
  <c r="J33" i="2"/>
  <c r="K33" i="2" s="1"/>
  <c r="J39" i="2"/>
  <c r="K39" i="2" s="1"/>
  <c r="J45" i="2"/>
  <c r="K45" i="2" s="1"/>
  <c r="J51" i="2"/>
  <c r="K51" i="2" s="1"/>
  <c r="J57" i="2"/>
  <c r="K57" i="2" s="1"/>
  <c r="J63" i="2"/>
  <c r="K63" i="2" s="1"/>
  <c r="J69" i="2"/>
  <c r="K69" i="2" s="1"/>
  <c r="J75" i="2"/>
  <c r="K75" i="2" s="1"/>
  <c r="J81" i="2"/>
  <c r="K81" i="2" s="1"/>
  <c r="J87" i="2"/>
  <c r="K87" i="2" s="1"/>
  <c r="J93" i="2"/>
  <c r="K93" i="2" s="1"/>
  <c r="J6" i="2"/>
  <c r="K6" i="2" s="1"/>
  <c r="J24" i="2"/>
  <c r="K24" i="2" s="1"/>
  <c r="J42" i="2"/>
  <c r="K42" i="2" s="1"/>
  <c r="J60" i="2"/>
  <c r="K60" i="2" s="1"/>
  <c r="J84" i="2"/>
  <c r="K84" i="2" s="1"/>
  <c r="J56" i="2"/>
  <c r="K56" i="2" s="1"/>
  <c r="J74" i="2"/>
  <c r="K74" i="2" s="1"/>
  <c r="J92" i="2"/>
  <c r="K92" i="2" s="1"/>
  <c r="J4" i="2"/>
  <c r="K4" i="2" s="1"/>
  <c r="J10" i="2"/>
  <c r="K10" i="2" s="1"/>
  <c r="J16" i="2"/>
  <c r="K16" i="2" s="1"/>
  <c r="J22" i="2"/>
  <c r="K22" i="2" s="1"/>
  <c r="J28" i="2"/>
  <c r="K28" i="2" s="1"/>
  <c r="J34" i="2"/>
  <c r="K34" i="2" s="1"/>
  <c r="J40" i="2"/>
  <c r="K40" i="2" s="1"/>
  <c r="J46" i="2"/>
  <c r="K46" i="2" s="1"/>
  <c r="J52" i="2"/>
  <c r="K52" i="2" s="1"/>
  <c r="J58" i="2"/>
  <c r="K58" i="2" s="1"/>
  <c r="J64" i="2"/>
  <c r="K64" i="2" s="1"/>
  <c r="J70" i="2"/>
  <c r="K70" i="2" s="1"/>
  <c r="J82" i="2"/>
  <c r="K82" i="2" s="1"/>
  <c r="J88" i="2"/>
  <c r="K88" i="2" s="1"/>
  <c r="J12" i="2"/>
  <c r="K12" i="2" s="1"/>
  <c r="J30" i="2"/>
  <c r="K30" i="2" s="1"/>
  <c r="J48" i="2"/>
  <c r="K48" i="2" s="1"/>
  <c r="J72" i="2"/>
  <c r="K72" i="2" s="1"/>
  <c r="J90" i="2"/>
  <c r="K90" i="2" s="1"/>
  <c r="J62" i="2"/>
  <c r="K62" i="2" s="1"/>
  <c r="J86" i="2"/>
  <c r="K86" i="2" s="1"/>
  <c r="J5" i="2"/>
  <c r="K5" i="2" s="1"/>
  <c r="J11" i="2"/>
  <c r="K11" i="2" s="1"/>
  <c r="J17" i="2"/>
  <c r="K17" i="2" s="1"/>
  <c r="J23" i="2"/>
  <c r="K23" i="2" s="1"/>
  <c r="J29" i="2"/>
  <c r="K29" i="2" s="1"/>
  <c r="J35" i="2"/>
  <c r="K35" i="2" s="1"/>
  <c r="J41" i="2"/>
  <c r="K41" i="2" s="1"/>
  <c r="J47" i="2"/>
  <c r="K47" i="2" s="1"/>
  <c r="J53" i="2"/>
  <c r="K53" i="2" s="1"/>
  <c r="J59" i="2"/>
  <c r="K59" i="2" s="1"/>
  <c r="J65" i="2"/>
  <c r="K65" i="2" s="1"/>
  <c r="J71" i="2"/>
  <c r="K71" i="2" s="1"/>
  <c r="J77" i="2"/>
  <c r="K77" i="2" s="1"/>
  <c r="J83" i="2"/>
  <c r="K83" i="2" s="1"/>
  <c r="J89" i="2"/>
  <c r="K89" i="2" s="1"/>
  <c r="J18" i="2"/>
  <c r="K18" i="2" s="1"/>
  <c r="J36" i="2"/>
  <c r="K36" i="2" s="1"/>
  <c r="J54" i="2"/>
  <c r="K54" i="2" s="1"/>
  <c r="J66" i="2"/>
  <c r="K66" i="2" s="1"/>
  <c r="J78" i="2"/>
  <c r="K78" i="2" s="1"/>
  <c r="J3" i="2"/>
  <c r="K3" i="2" s="1"/>
  <c r="K7" i="2"/>
  <c r="K13" i="2"/>
  <c r="K14" i="2"/>
  <c r="H70" i="2"/>
  <c r="I70" i="2" s="1"/>
  <c r="H88" i="2"/>
  <c r="I88" i="2" s="1"/>
  <c r="H25" i="2"/>
  <c r="I25" i="2" s="1"/>
  <c r="H55" i="2"/>
  <c r="I55" i="2" s="1"/>
  <c r="H73" i="2"/>
  <c r="I73" i="2" s="1"/>
  <c r="H91" i="2"/>
  <c r="I91" i="2" s="1"/>
  <c r="H76" i="2"/>
  <c r="I76" i="2" s="1"/>
  <c r="H94" i="2"/>
  <c r="I94" i="2" s="1"/>
  <c r="H19" i="2"/>
  <c r="I19" i="2" s="1"/>
  <c r="H43" i="2"/>
  <c r="I43" i="2" s="1"/>
  <c r="H67" i="2"/>
  <c r="I67" i="2" s="1"/>
  <c r="H82" i="2"/>
  <c r="I82" i="2" s="1"/>
  <c r="H7" i="2"/>
  <c r="I7" i="2" s="1"/>
  <c r="H31" i="2"/>
  <c r="I31" i="2" s="1"/>
  <c r="H49" i="2"/>
  <c r="I49" i="2" s="1"/>
  <c r="H79" i="2"/>
  <c r="I79" i="2" s="1"/>
  <c r="H13" i="2"/>
  <c r="I13" i="2" s="1"/>
  <c r="H37" i="2"/>
  <c r="I37" i="2" s="1"/>
  <c r="H61" i="2"/>
  <c r="I61" i="2" s="1"/>
  <c r="H85" i="2"/>
  <c r="I85" i="2" s="1"/>
  <c r="H64" i="2"/>
  <c r="I64" i="2" s="1"/>
  <c r="H72" i="2"/>
  <c r="I72" i="2" s="1"/>
  <c r="H36" i="2"/>
  <c r="I36" i="2" s="1"/>
  <c r="H3" i="2"/>
  <c r="I3" i="2" s="1"/>
  <c r="H59" i="2"/>
  <c r="I59" i="2" s="1"/>
  <c r="H23" i="2"/>
  <c r="I23" i="2" s="1"/>
  <c r="H52" i="2"/>
  <c r="I52" i="2" s="1"/>
  <c r="H81" i="2"/>
  <c r="I81" i="2" s="1"/>
  <c r="H45" i="2"/>
  <c r="I45" i="2" s="1"/>
  <c r="H9" i="2"/>
  <c r="I9" i="2" s="1"/>
  <c r="H92" i="2"/>
  <c r="I92" i="2" s="1"/>
  <c r="H56" i="2"/>
  <c r="I56" i="2" s="1"/>
  <c r="H20" i="2"/>
  <c r="I20" i="2" s="1"/>
  <c r="H66" i="2"/>
  <c r="I66" i="2" s="1"/>
  <c r="H30" i="2"/>
  <c r="I30" i="2" s="1"/>
  <c r="H89" i="2"/>
  <c r="I89" i="2" s="1"/>
  <c r="H53" i="2"/>
  <c r="I53" i="2" s="1"/>
  <c r="H17" i="2"/>
  <c r="I17" i="2" s="1"/>
  <c r="H40" i="2"/>
  <c r="I40" i="2" s="1"/>
  <c r="H75" i="2"/>
  <c r="I75" i="2" s="1"/>
  <c r="H39" i="2"/>
  <c r="I39" i="2" s="1"/>
  <c r="H58" i="2"/>
  <c r="I58" i="2" s="1"/>
  <c r="H86" i="2"/>
  <c r="I86" i="2" s="1"/>
  <c r="H50" i="2"/>
  <c r="I50" i="2" s="1"/>
  <c r="H14" i="2"/>
  <c r="I14" i="2" s="1"/>
  <c r="H8" i="2"/>
  <c r="I8" i="2" s="1"/>
  <c r="H60" i="2"/>
  <c r="I60" i="2" s="1"/>
  <c r="H24" i="2"/>
  <c r="I24" i="2" s="1"/>
  <c r="H83" i="2"/>
  <c r="I83" i="2" s="1"/>
  <c r="H47" i="2"/>
  <c r="I47" i="2" s="1"/>
  <c r="H11" i="2"/>
  <c r="I11" i="2" s="1"/>
  <c r="H28" i="2"/>
  <c r="I28" i="2" s="1"/>
  <c r="H69" i="2"/>
  <c r="I69" i="2" s="1"/>
  <c r="H33" i="2"/>
  <c r="I33" i="2" s="1"/>
  <c r="H46" i="2"/>
  <c r="I46" i="2" s="1"/>
  <c r="H80" i="2"/>
  <c r="I80" i="2" s="1"/>
  <c r="H44" i="2"/>
  <c r="I44" i="2" s="1"/>
  <c r="H90" i="2"/>
  <c r="I90" i="2" s="1"/>
  <c r="H54" i="2"/>
  <c r="I54" i="2" s="1"/>
  <c r="H18" i="2"/>
  <c r="I18" i="2" s="1"/>
  <c r="H77" i="2"/>
  <c r="I77" i="2" s="1"/>
  <c r="H41" i="2"/>
  <c r="I41" i="2" s="1"/>
  <c r="H5" i="2"/>
  <c r="I5" i="2" s="1"/>
  <c r="H10" i="2"/>
  <c r="I10" i="2" s="1"/>
  <c r="H63" i="2"/>
  <c r="I63" i="2" s="1"/>
  <c r="H27" i="2"/>
  <c r="I27" i="2" s="1"/>
  <c r="H34" i="2"/>
  <c r="I34" i="2" s="1"/>
  <c r="H74" i="2"/>
  <c r="I74" i="2" s="1"/>
  <c r="H38" i="2"/>
  <c r="I38" i="2" s="1"/>
  <c r="H84" i="2"/>
  <c r="I84" i="2" s="1"/>
  <c r="H48" i="2"/>
  <c r="I48" i="2" s="1"/>
  <c r="H12" i="2"/>
  <c r="I12" i="2" s="1"/>
  <c r="H71" i="2"/>
  <c r="I71" i="2" s="1"/>
  <c r="H35" i="2"/>
  <c r="I35" i="2" s="1"/>
  <c r="H22" i="2"/>
  <c r="I22" i="2" s="1"/>
  <c r="H93" i="2"/>
  <c r="I93" i="2" s="1"/>
  <c r="H57" i="2"/>
  <c r="I57" i="2" s="1"/>
  <c r="H21" i="2"/>
  <c r="I21" i="2" s="1"/>
  <c r="H16" i="2"/>
  <c r="I16" i="2" s="1"/>
  <c r="H68" i="2"/>
  <c r="I68" i="2" s="1"/>
  <c r="H32" i="2"/>
  <c r="I32" i="2" s="1"/>
  <c r="H78" i="2"/>
  <c r="I78" i="2" s="1"/>
  <c r="H42" i="2"/>
  <c r="I42" i="2" s="1"/>
  <c r="H6" i="2"/>
  <c r="I6" i="2" s="1"/>
  <c r="H65" i="2"/>
  <c r="I65" i="2" s="1"/>
  <c r="H29" i="2"/>
  <c r="I29" i="2" s="1"/>
  <c r="H87" i="2"/>
  <c r="I87" i="2" s="1"/>
  <c r="H51" i="2"/>
  <c r="I51" i="2" s="1"/>
  <c r="H15" i="2"/>
  <c r="I15" i="2" s="1"/>
  <c r="H4" i="2"/>
  <c r="I4" i="2" s="1"/>
  <c r="H62" i="2"/>
  <c r="I62" i="2" s="1"/>
  <c r="H26" i="2"/>
  <c r="I26" i="2" s="1"/>
</calcChain>
</file>

<file path=xl/sharedStrings.xml><?xml version="1.0" encoding="utf-8"?>
<sst xmlns="http://schemas.openxmlformats.org/spreadsheetml/2006/main" count="178" uniqueCount="56">
  <si>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</si>
  <si>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</si>
  <si>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</si>
  <si>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</si>
  <si>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</si>
  <si>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</si>
  <si>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</si>
  <si>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</si>
  <si>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</si>
  <si>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</si>
  <si>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</si>
  <si>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</si>
  <si>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</si>
  <si>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</si>
  <si>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</si>
  <si>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</si>
  <si>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</si>
  <si>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</si>
  <si>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</si>
  <si>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</si>
  <si>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</si>
  <si>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</si>
  <si>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</si>
  <si>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</si>
  <si>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</si>
  <si>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</si>
  <si>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</si>
  <si>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Time</t>
  </si>
  <si>
    <t>Max Amp</t>
  </si>
  <si>
    <t>Storm 2</t>
  </si>
  <si>
    <t>tau</t>
  </si>
  <si>
    <t>amp_factor</t>
  </si>
  <si>
    <t>Ch2 Impulses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</si>
  <si>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</si>
  <si>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</si>
  <si>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</si>
  <si>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</si>
  <si>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</si>
  <si>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</si>
  <si>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</si>
  <si>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</si>
  <si>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</si>
  <si>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</si>
  <si>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</si>
  <si>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Event 1</t>
  </si>
  <si>
    <t>Event 2</t>
  </si>
  <si>
    <t>Event 3</t>
  </si>
  <si>
    <t>Event 4</t>
  </si>
  <si>
    <t>S</t>
  </si>
  <si>
    <t>Dmax Tau (Pa)</t>
  </si>
  <si>
    <t>Tau Base (Pa)</t>
  </si>
  <si>
    <t>Corrected Dmax (mm)</t>
  </si>
  <si>
    <t>Tau Correction</t>
  </si>
  <si>
    <t>Imp/s*Amax Correction</t>
  </si>
  <si>
    <t xml:space="preserve">Dmax Imp/s*Amax </t>
  </si>
  <si>
    <t>Imp/s*Amax  Baseflow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</si>
</sst>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0.000000"/>
    <numFmt numFmtId="166" formatCode="0.00000"/>
    <numFmt numFmtId="167" formatCode="0.0000"/>
    <numFmt numFmtId="168" formatCode="0.000"/>
    <numFmt numFmtId="169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7" fontId="2" fillId="0" borderId="0" xfId="0" applyNumberFormat="1" applyFont="1" applyAlignment="1">
      <alignment horizontal="center"/>
    </xf>
    <xf numFmtId="0" fontId="2" fillId="4" borderId="0" xfId="0" applyFont="1" applyFill="1"/>
    <xf numFmtId="2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8" fontId="0" fillId="3" borderId="0" xfId="0" applyNumberFormat="1" applyFill="1" applyAlignment="1">
      <alignment horizontal="center"/>
    </xf>
    <xf numFmtId="19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0" xfId="0" applyFont="1" applyFill="1" applyAlignment="1">
      <alignment horizontal="center"/>
    </xf>
    <xf numFmtId="168" fontId="2" fillId="0" borderId="0" xfId="0" applyNumberFormat="1" applyFont="1" applyAlignment="1">
      <alignment horizontal="center"/>
    </xf>
    <xf numFmtId="0" fontId="1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168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2" fillId="9" borderId="0" xfId="0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19" fontId="1" fillId="10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9" fontId="1" fillId="2" borderId="0" xfId="0" applyNumberFormat="1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9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2" fillId="11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2" fontId="0" fillId="12" borderId="0" xfId="0" applyNumberFormat="1" applyFill="1" applyAlignment="1">
      <alignment horizontal="center"/>
    </xf>
    <xf numFmtId="168" fontId="0" fillId="12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2" fillId="13" borderId="0" xfId="0" applyFont="1" applyFill="1" applyAlignment="1">
      <alignment horizontal="center"/>
    </xf>
    <xf numFmtId="168" fontId="1" fillId="8" borderId="0" xfId="0" applyNumberFormat="1" applyFont="1" applyFill="1" applyAlignment="1">
      <alignment horizontal="center"/>
    </xf>
    <xf numFmtId="168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168" fontId="1" fillId="12" borderId="0" xfId="0" applyNumberFormat="1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168" fontId="1" fillId="14" borderId="0" xfId="0" applyNumberFormat="1" applyFont="1" applyFill="1" applyAlignment="1">
      <alignment horizontal="center"/>
    </xf>
    <xf numFmtId="164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22" fontId="0" fillId="14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/>
    <xf numFmtId="167" fontId="0" fillId="14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2" fillId="15" borderId="0" xfId="0" applyFont="1" applyFill="1" applyAlignment="1">
      <alignment horizontal="center"/>
    </xf>
    <xf numFmtId="2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8" borderId="0" xfId="0" applyFill="1" applyAlignment="1">
      <alignment horizontal="center"/>
    </xf>
    <xf numFmtId="22" fontId="0" fillId="18" borderId="0" xfId="0" applyNumberFormat="1" applyFill="1" applyAlignment="1">
      <alignment horizontal="center"/>
    </xf>
    <xf numFmtId="168" fontId="0" fillId="18" borderId="0" xfId="0" applyNumberFormat="1" applyFill="1" applyAlignment="1">
      <alignment horizontal="center"/>
    </xf>
    <xf numFmtId="2" fontId="0" fillId="18" borderId="0" xfId="0" applyNumberForma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22" fontId="0" fillId="19" borderId="0" xfId="0" applyNumberFormat="1" applyFill="1" applyAlignment="1">
      <alignment horizontal="center"/>
    </xf>
    <xf numFmtId="167" fontId="0" fillId="19" borderId="0" xfId="0" applyNumberFormat="1" applyFill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168" fontId="0" fillId="19" borderId="0" xfId="0" applyNumberFormat="1" applyFill="1" applyAlignment="1">
      <alignment horizontal="center"/>
    </xf>
    <xf numFmtId="0" fontId="0" fillId="20" borderId="0" xfId="0" applyFill="1" applyAlignment="1">
      <alignment horizontal="center"/>
    </xf>
    <xf numFmtId="22" fontId="0" fillId="20" borderId="0" xfId="0" applyNumberFormat="1" applyFill="1"/>
    <xf numFmtId="167" fontId="0" fillId="20" borderId="0" xfId="0" applyNumberFormat="1" applyFill="1" applyAlignment="1">
      <alignment horizontal="center"/>
    </xf>
    <xf numFmtId="168" fontId="0" fillId="20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1" fillId="18" borderId="0" xfId="0" applyNumberFormat="1" applyFont="1" applyFill="1" applyAlignment="1">
      <alignment horizontal="center"/>
    </xf>
    <xf numFmtId="164" fontId="1" fillId="18" borderId="0" xfId="0" applyNumberFormat="1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2" fontId="1" fillId="19" borderId="0" xfId="0" applyNumberFormat="1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2" fontId="1" fillId="20" borderId="0" xfId="0" applyNumberFormat="1" applyFont="1" applyFill="1" applyAlignment="1">
      <alignment horizontal="center"/>
    </xf>
    <xf numFmtId="164" fontId="1" fillId="20" borderId="0" xfId="0" applyNumberFormat="1" applyFont="1" applyFill="1" applyAlignment="1">
      <alignment horizontal="center"/>
    </xf>
    <xf numFmtId="0" fontId="1" fillId="20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19" borderId="0" xfId="0" applyFill="1"/>
    <xf numFmtId="166" fontId="0" fillId="3" borderId="0" xfId="0" applyNumberFormat="1" applyFill="1"/>
    <xf numFmtId="0" fontId="0" fillId="3" borderId="0" xfId="0" applyFill="1"/>
    <xf numFmtId="0" fontId="0" fillId="18" borderId="0" xfId="0" applyFill="1"/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169" fontId="0" fillId="3" borderId="0" xfId="0" applyNumberFormat="1" applyFill="1" applyAlignment="1">
      <alignment horizontal="center"/>
    </xf>
    <xf numFmtId="169" fontId="0" fillId="6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168" fontId="0" fillId="6" borderId="0" xfId="0" applyNumberFormat="1" applyFill="1" applyAlignment="1">
      <alignment horizontal="center"/>
    </xf>
    <xf numFmtId="168" fontId="0" fillId="0" borderId="0" xfId="0" applyNumberFormat="1" applyFill="1" applyAlignment="1">
      <alignment horizontal="center"/>
    </xf>
    <xf numFmtId="168" fontId="2" fillId="0" borderId="0" xfId="0" applyNumberFormat="1" applyFont="1" applyAlignment="1">
      <alignment horizontal="center"/>
    </xf>
    <xf numFmtId="166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'time series'!$G$3:$G$94</c:f>
              <c:numCache>
                <c:formatCode>0.00</c:formatCode>
                <c:ptCount val="92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ser>
          <c:idx val="1"/>
          <c:order val="2"/>
          <c:tx>
            <c:strRef>
              <c:f>'time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'time series'!$I$3:$I$94</c:f>
              <c:numCache>
                <c:formatCode>0.0</c:formatCode>
                <c:ptCount val="92"/>
                <c:pt idx="0">
                  <c:v>9.306695903269626E-3</c:v>
                </c:pt>
                <c:pt idx="1">
                  <c:v>1.1084693167060107E-2</c:v>
                </c:pt>
                <c:pt idx="2">
                  <c:v>1.4149689739239414E-2</c:v>
                </c:pt>
                <c:pt idx="3">
                  <c:v>1.0111658144212264E-2</c:v>
                </c:pt>
                <c:pt idx="4">
                  <c:v>0</c:v>
                </c:pt>
                <c:pt idx="5">
                  <c:v>0</c:v>
                </c:pt>
                <c:pt idx="6">
                  <c:v>1.0381028740789666E-2</c:v>
                </c:pt>
                <c:pt idx="7">
                  <c:v>9.9826377683301364E-3</c:v>
                </c:pt>
                <c:pt idx="8">
                  <c:v>6.9664316697664519E-3</c:v>
                </c:pt>
                <c:pt idx="9">
                  <c:v>2.2448084116217853E-4</c:v>
                </c:pt>
                <c:pt idx="10">
                  <c:v>5.0898467945299473E-3</c:v>
                </c:pt>
                <c:pt idx="11">
                  <c:v>1.0819038849580706E-2</c:v>
                </c:pt>
                <c:pt idx="12">
                  <c:v>6.1786090553792444E-3</c:v>
                </c:pt>
                <c:pt idx="13">
                  <c:v>7.235745784733582E-3</c:v>
                </c:pt>
                <c:pt idx="14">
                  <c:v>0</c:v>
                </c:pt>
                <c:pt idx="15">
                  <c:v>0</c:v>
                </c:pt>
                <c:pt idx="16">
                  <c:v>3.2286702345095133E-3</c:v>
                </c:pt>
                <c:pt idx="17">
                  <c:v>3.0503733496682972E-3</c:v>
                </c:pt>
                <c:pt idx="18">
                  <c:v>4.4661609979661943E-3</c:v>
                </c:pt>
                <c:pt idx="19">
                  <c:v>2.4444858759796193E-3</c:v>
                </c:pt>
                <c:pt idx="20">
                  <c:v>4.1432301910584172E-4</c:v>
                </c:pt>
                <c:pt idx="21">
                  <c:v>1.0381050034967955E-2</c:v>
                </c:pt>
                <c:pt idx="22">
                  <c:v>2.6240944284109537E-2</c:v>
                </c:pt>
                <c:pt idx="23">
                  <c:v>1.0744850934874661E-2</c:v>
                </c:pt>
                <c:pt idx="24">
                  <c:v>5.3573925438005678E-3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3.8460180490094767E-3</c:v>
                </c:pt>
                <c:pt idx="33">
                  <c:v>9.1778271568033979E-3</c:v>
                </c:pt>
                <c:pt idx="34">
                  <c:v>0</c:v>
                </c:pt>
                <c:pt idx="35">
                  <c:v>0</c:v>
                </c:pt>
                <c:pt idx="36">
                  <c:v>1.1035247192457865E-2</c:v>
                </c:pt>
                <c:pt idx="37">
                  <c:v>3.2580038253978007E-3</c:v>
                </c:pt>
                <c:pt idx="38">
                  <c:v>0</c:v>
                </c:pt>
                <c:pt idx="39">
                  <c:v>0</c:v>
                </c:pt>
                <c:pt idx="40">
                  <c:v>3.2365000125427136E-3</c:v>
                </c:pt>
                <c:pt idx="41">
                  <c:v>0</c:v>
                </c:pt>
                <c:pt idx="42">
                  <c:v>0</c:v>
                </c:pt>
                <c:pt idx="43">
                  <c:v>8.698466851754103E-4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1.5519226758376691E-3</c:v>
                </c:pt>
                <c:pt idx="48">
                  <c:v>4.1229761984936785E-3</c:v>
                </c:pt>
                <c:pt idx="49">
                  <c:v>8.942964931244201E-3</c:v>
                </c:pt>
                <c:pt idx="50">
                  <c:v>4.6581890630436442E-3</c:v>
                </c:pt>
                <c:pt idx="51">
                  <c:v>0</c:v>
                </c:pt>
                <c:pt idx="52">
                  <c:v>1.0214195036304995E-3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0.81760577536876866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27.634462455111816</c:v>
                </c:pt>
                <c:pt idx="72">
                  <c:v>18.773721909552222</c:v>
                </c:pt>
                <c:pt idx="73">
                  <c:v>16.835340446799066</c:v>
                </c:pt>
                <c:pt idx="74">
                  <c:v>12.294946455054752</c:v>
                </c:pt>
                <c:pt idx="75">
                  <c:v>7.1515160314566799</c:v>
                </c:pt>
                <c:pt idx="76">
                  <c:v>6.2971234818709414</c:v>
                </c:pt>
                <c:pt idx="77">
                  <c:v>5.1333180478983191</c:v>
                </c:pt>
                <c:pt idx="78">
                  <c:v>3.7314270148539359</c:v>
                </c:pt>
                <c:pt idx="79">
                  <c:v>3.7515898071216722</c:v>
                </c:pt>
                <c:pt idx="80">
                  <c:v>4.3688152304902816</c:v>
                </c:pt>
                <c:pt idx="81">
                  <c:v>4.0554793628399581</c:v>
                </c:pt>
                <c:pt idx="82">
                  <c:v>3.4300473908930718</c:v>
                </c:pt>
                <c:pt idx="83">
                  <c:v>3.1841930822415985</c:v>
                </c:pt>
                <c:pt idx="84">
                  <c:v>3.1147389171815569</c:v>
                </c:pt>
                <c:pt idx="85">
                  <c:v>3.3601350097615192</c:v>
                </c:pt>
                <c:pt idx="86">
                  <c:v>3.6300870701404202</c:v>
                </c:pt>
                <c:pt idx="87">
                  <c:v>3.9213341908222579</c:v>
                </c:pt>
                <c:pt idx="88">
                  <c:v>3.0081117560473021</c:v>
                </c:pt>
                <c:pt idx="89">
                  <c:v>2.6924505671910031</c:v>
                </c:pt>
                <c:pt idx="90">
                  <c:v>3.3148822479758215</c:v>
                </c:pt>
                <c:pt idx="91">
                  <c:v>2.8526952208031826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02-4F62-BD05-8293A5632B88}"/>
            </c:ext>
          </c:extLst>
        </c:ser>
        <c:ser>
          <c:idx val="2"/>
          <c:order val="3"/>
          <c:tx>
            <c:strRef>
              <c:f>'time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series'!$A$3:$A$94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'time series'!$K$3:$K$94</c:f>
              <c:numCache>
                <c:formatCode>0.0</c:formatCode>
                <c:ptCount val="92"/>
                <c:pt idx="0">
                  <c:v>2.1134904415770156E-4</c:v>
                </c:pt>
                <c:pt idx="1">
                  <c:v>9.0690417180645029E-4</c:v>
                </c:pt>
                <c:pt idx="2">
                  <c:v>8.4255886551190258E-4</c:v>
                </c:pt>
                <c:pt idx="3">
                  <c:v>2.2424175260879565E-4</c:v>
                </c:pt>
                <c:pt idx="4">
                  <c:v>5.7163639068074886E-4</c:v>
                </c:pt>
                <c:pt idx="5">
                  <c:v>2.6562541665654917E-6</c:v>
                </c:pt>
                <c:pt idx="6">
                  <c:v>3.1963775563631817E-4</c:v>
                </c:pt>
                <c:pt idx="7">
                  <c:v>7.7018384752364146E-4</c:v>
                </c:pt>
                <c:pt idx="8">
                  <c:v>4.735106137817289E-4</c:v>
                </c:pt>
                <c:pt idx="9">
                  <c:v>3.1548026324060459E-4</c:v>
                </c:pt>
                <c:pt idx="10">
                  <c:v>2.8447529875143268E-4</c:v>
                </c:pt>
                <c:pt idx="11">
                  <c:v>5.0492124507850672E-4</c:v>
                </c:pt>
                <c:pt idx="12">
                  <c:v>7.7981010003265482E-4</c:v>
                </c:pt>
                <c:pt idx="13">
                  <c:v>2.6976555545075352E-4</c:v>
                </c:pt>
                <c:pt idx="14">
                  <c:v>0</c:v>
                </c:pt>
                <c:pt idx="15">
                  <c:v>0</c:v>
                </c:pt>
                <c:pt idx="16">
                  <c:v>4.6815723152490877E-5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9.5565073537459222E-4</c:v>
                </c:pt>
                <c:pt idx="23">
                  <c:v>0</c:v>
                </c:pt>
                <c:pt idx="24">
                  <c:v>0</c:v>
                </c:pt>
                <c:pt idx="25">
                  <c:v>6.5076119294763993E-5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3.9580187667072455E-4</c:v>
                </c:pt>
                <c:pt idx="33">
                  <c:v>9.2845479825883804E-4</c:v>
                </c:pt>
                <c:pt idx="34">
                  <c:v>0</c:v>
                </c:pt>
                <c:pt idx="35">
                  <c:v>1.2077321301984821E-4</c:v>
                </c:pt>
                <c:pt idx="36">
                  <c:v>2.8379154730677909E-4</c:v>
                </c:pt>
                <c:pt idx="37">
                  <c:v>9.0058670774813287E-4</c:v>
                </c:pt>
                <c:pt idx="38">
                  <c:v>0</c:v>
                </c:pt>
                <c:pt idx="39">
                  <c:v>0</c:v>
                </c:pt>
                <c:pt idx="40">
                  <c:v>3.1071559161864717E-4</c:v>
                </c:pt>
                <c:pt idx="41">
                  <c:v>0</c:v>
                </c:pt>
                <c:pt idx="42">
                  <c:v>0</c:v>
                </c:pt>
                <c:pt idx="43">
                  <c:v>9.9910514927047938E-5</c:v>
                </c:pt>
                <c:pt idx="44">
                  <c:v>0</c:v>
                </c:pt>
                <c:pt idx="45">
                  <c:v>0</c:v>
                </c:pt>
                <c:pt idx="46">
                  <c:v>2.4784270316908493E-4</c:v>
                </c:pt>
                <c:pt idx="47">
                  <c:v>0</c:v>
                </c:pt>
                <c:pt idx="48">
                  <c:v>0</c:v>
                </c:pt>
                <c:pt idx="49">
                  <c:v>4.4750714456279013E-5</c:v>
                </c:pt>
                <c:pt idx="50">
                  <c:v>7.2557828583946345E-5</c:v>
                </c:pt>
                <c:pt idx="51">
                  <c:v>0</c:v>
                </c:pt>
                <c:pt idx="52">
                  <c:v>9.9437042805766707E-5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6.231964932223021E-4</c:v>
                </c:pt>
                <c:pt idx="58">
                  <c:v>3.0370012592080527E-3</c:v>
                </c:pt>
                <c:pt idx="59">
                  <c:v>0.64918586310711357</c:v>
                </c:pt>
                <c:pt idx="60">
                  <c:v>80.273877098790663</c:v>
                </c:pt>
                <c:pt idx="61">
                  <c:v>29.442546033579191</c:v>
                </c:pt>
                <c:pt idx="62">
                  <c:v>16.31642645306794</c:v>
                </c:pt>
                <c:pt idx="63">
                  <c:v>8.1010154920267254</c:v>
                </c:pt>
                <c:pt idx="64">
                  <c:v>9.8024841500616429</c:v>
                </c:pt>
                <c:pt idx="65">
                  <c:v>11.772379250304057</c:v>
                </c:pt>
                <c:pt idx="66">
                  <c:v>12.5291812819928</c:v>
                </c:pt>
                <c:pt idx="67">
                  <c:v>9.5720935711056221</c:v>
                </c:pt>
                <c:pt idx="68">
                  <c:v>11.225865643469508</c:v>
                </c:pt>
                <c:pt idx="69">
                  <c:v>7.8806811190426371</c:v>
                </c:pt>
                <c:pt idx="70">
                  <c:v>4.9466632750487243</c:v>
                </c:pt>
                <c:pt idx="71">
                  <c:v>4.0901903528495991</c:v>
                </c:pt>
                <c:pt idx="72">
                  <c:v>2.3712394427249568</c:v>
                </c:pt>
                <c:pt idx="73">
                  <c:v>1.9565860828258177</c:v>
                </c:pt>
                <c:pt idx="74">
                  <c:v>1.3032971480398352</c:v>
                </c:pt>
                <c:pt idx="75">
                  <c:v>0.69389715674520147</c:v>
                </c:pt>
                <c:pt idx="76">
                  <c:v>0.7007066696823504</c:v>
                </c:pt>
                <c:pt idx="77">
                  <c:v>0.63431871081042923</c:v>
                </c:pt>
                <c:pt idx="78">
                  <c:v>0.55040864798435074</c:v>
                </c:pt>
                <c:pt idx="79">
                  <c:v>0.63949295872696432</c:v>
                </c:pt>
                <c:pt idx="80">
                  <c:v>1.0077895536687496</c:v>
                </c:pt>
                <c:pt idx="81">
                  <c:v>1.1007767520050482</c:v>
                </c:pt>
                <c:pt idx="82">
                  <c:v>1.0120776837806971</c:v>
                </c:pt>
                <c:pt idx="83">
                  <c:v>1.1143696165032715</c:v>
                </c:pt>
                <c:pt idx="84">
                  <c:v>1.0525581634831525</c:v>
                </c:pt>
                <c:pt idx="85">
                  <c:v>2.0586319048115302</c:v>
                </c:pt>
                <c:pt idx="86">
                  <c:v>2.2030880555184837</c:v>
                </c:pt>
                <c:pt idx="87">
                  <c:v>2.6844545415187167</c:v>
                </c:pt>
                <c:pt idx="88">
                  <c:v>1.9199593365540897</c:v>
                </c:pt>
                <c:pt idx="89">
                  <c:v>1.6549675813216762</c:v>
                </c:pt>
                <c:pt idx="90">
                  <c:v>2.7172165163989765</c:v>
                </c:pt>
                <c:pt idx="91">
                  <c:v>1.7801158529898038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02-4F62-BD05-8293A5632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'time series'!$O$3:$O$99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'time series'!$S$3:$S$99</c:f>
              <c:numCache>
                <c:formatCode>0.00</c:formatCode>
                <c:ptCount val="97"/>
                <c:pt idx="0">
                  <c:v>10.753606437639453</c:v>
                </c:pt>
                <c:pt idx="1">
                  <c:v>11.449421484108383</c:v>
                </c:pt>
                <c:pt idx="2">
                  <c:v>11.527468362180842</c:v>
                </c:pt>
                <c:pt idx="3">
                  <c:v>9.6051177537464021</c:v>
                </c:pt>
                <c:pt idx="4">
                  <c:v>11.045136245479773</c:v>
                </c:pt>
                <c:pt idx="5">
                  <c:v>10.008974257758966</c:v>
                </c:pt>
                <c:pt idx="6">
                  <c:v>11.70227778463963</c:v>
                </c:pt>
                <c:pt idx="7">
                  <c:v>12.629965915920756</c:v>
                </c:pt>
                <c:pt idx="8">
                  <c:v>12.364784977486735</c:v>
                </c:pt>
                <c:pt idx="9">
                  <c:v>12.012677009828534</c:v>
                </c:pt>
                <c:pt idx="10">
                  <c:v>10.448104279992853</c:v>
                </c:pt>
                <c:pt idx="11">
                  <c:v>10.571623815098866</c:v>
                </c:pt>
                <c:pt idx="12">
                  <c:v>10.006489385883089</c:v>
                </c:pt>
                <c:pt idx="13">
                  <c:v>10.821066004280896</c:v>
                </c:pt>
                <c:pt idx="14">
                  <c:v>10.498695217004803</c:v>
                </c:pt>
                <c:pt idx="15">
                  <c:v>10.132373543120504</c:v>
                </c:pt>
                <c:pt idx="16">
                  <c:v>9.1308573594191778</c:v>
                </c:pt>
                <c:pt idx="17">
                  <c:v>9.7221608905720132</c:v>
                </c:pt>
                <c:pt idx="18">
                  <c:v>10.144524430776944</c:v>
                </c:pt>
                <c:pt idx="19">
                  <c:v>9.3894205084169062</c:v>
                </c:pt>
                <c:pt idx="20">
                  <c:v>9.2906308866960661</c:v>
                </c:pt>
                <c:pt idx="21">
                  <c:v>10.021974915550905</c:v>
                </c:pt>
                <c:pt idx="22">
                  <c:v>9.0464232720722055</c:v>
                </c:pt>
                <c:pt idx="23">
                  <c:v>9.7720595240525299</c:v>
                </c:pt>
                <c:pt idx="24">
                  <c:v>9.4821414923295126</c:v>
                </c:pt>
                <c:pt idx="25">
                  <c:v>8.3323959976455857</c:v>
                </c:pt>
                <c:pt idx="26">
                  <c:v>8.6933050378684342</c:v>
                </c:pt>
                <c:pt idx="27">
                  <c:v>8.1642300776925687</c:v>
                </c:pt>
                <c:pt idx="28">
                  <c:v>8.4584096024010673</c:v>
                </c:pt>
                <c:pt idx="29">
                  <c:v>8.2769967530698683</c:v>
                </c:pt>
                <c:pt idx="30">
                  <c:v>8.5455137041248861</c:v>
                </c:pt>
                <c:pt idx="31">
                  <c:v>8.8199926345190907</c:v>
                </c:pt>
                <c:pt idx="32">
                  <c:v>9.2059671796596909</c:v>
                </c:pt>
                <c:pt idx="33">
                  <c:v>9.7399017992620589</c:v>
                </c:pt>
                <c:pt idx="34">
                  <c:v>8.9916750266202623</c:v>
                </c:pt>
                <c:pt idx="35">
                  <c:v>8.1244058647089226</c:v>
                </c:pt>
                <c:pt idx="36">
                  <c:v>8.2293421289185194</c:v>
                </c:pt>
                <c:pt idx="37">
                  <c:v>8.8830242017558998</c:v>
                </c:pt>
                <c:pt idx="38">
                  <c:v>7.4876823764861795</c:v>
                </c:pt>
                <c:pt idx="39">
                  <c:v>7.6002864174498352</c:v>
                </c:pt>
                <c:pt idx="40">
                  <c:v>8.2700680944641576</c:v>
                </c:pt>
                <c:pt idx="41">
                  <c:v>8.0427614120993436</c:v>
                </c:pt>
                <c:pt idx="42">
                  <c:v>8.6032735656642547</c:v>
                </c:pt>
                <c:pt idx="43">
                  <c:v>7.5120517164204665</c:v>
                </c:pt>
                <c:pt idx="44">
                  <c:v>8.6773354505305136</c:v>
                </c:pt>
                <c:pt idx="45">
                  <c:v>7.8682624843202937</c:v>
                </c:pt>
                <c:pt idx="46">
                  <c:v>8.2953107824859842</c:v>
                </c:pt>
                <c:pt idx="47">
                  <c:v>8.5634504287651811</c:v>
                </c:pt>
                <c:pt idx="48">
                  <c:v>7.8938803457987481</c:v>
                </c:pt>
                <c:pt idx="49">
                  <c:v>8.1770252175386684</c:v>
                </c:pt>
                <c:pt idx="50">
                  <c:v>8.066911022859431</c:v>
                </c:pt>
                <c:pt idx="51">
                  <c:v>8.6557595760042485</c:v>
                </c:pt>
                <c:pt idx="52">
                  <c:v>12.721779242976282</c:v>
                </c:pt>
                <c:pt idx="53">
                  <c:v>15.263647387955624</c:v>
                </c:pt>
                <c:pt idx="54">
                  <c:v>13.900493495878012</c:v>
                </c:pt>
                <c:pt idx="55">
                  <c:v>11.689688123522197</c:v>
                </c:pt>
                <c:pt idx="56">
                  <c:v>15.615862001903615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20.863194372065465</c:v>
                </c:pt>
                <c:pt idx="76">
                  <c:v>18.078849450748503</c:v>
                </c:pt>
                <c:pt idx="77">
                  <c:v>20.406822924107267</c:v>
                </c:pt>
                <c:pt idx="78">
                  <c:v>19.850611599526427</c:v>
                </c:pt>
                <c:pt idx="79">
                  <c:v>17.977901391426752</c:v>
                </c:pt>
                <c:pt idx="80">
                  <c:v>17.07631863833031</c:v>
                </c:pt>
                <c:pt idx="81">
                  <c:v>15.778347530235623</c:v>
                </c:pt>
                <c:pt idx="82">
                  <c:v>15.957435005051694</c:v>
                </c:pt>
                <c:pt idx="83">
                  <c:v>13.063505968143513</c:v>
                </c:pt>
                <c:pt idx="84">
                  <c:v>14.994273444610025</c:v>
                </c:pt>
                <c:pt idx="85">
                  <c:v>15.932994882849687</c:v>
                </c:pt>
                <c:pt idx="86">
                  <c:v>12.794959706299212</c:v>
                </c:pt>
                <c:pt idx="87">
                  <c:v>14.140466465617099</c:v>
                </c:pt>
                <c:pt idx="88">
                  <c:v>14.307481627007895</c:v>
                </c:pt>
                <c:pt idx="89">
                  <c:v>13.232340354745734</c:v>
                </c:pt>
                <c:pt idx="90">
                  <c:v>12.418775120350533</c:v>
                </c:pt>
                <c:pt idx="91">
                  <c:v>12.000262783276698</c:v>
                </c:pt>
                <c:pt idx="92">
                  <c:v>10.539760480415518</c:v>
                </c:pt>
                <c:pt idx="93">
                  <c:v>11.628493871820435</c:v>
                </c:pt>
                <c:pt idx="94">
                  <c:v>11.211900529191803</c:v>
                </c:pt>
                <c:pt idx="95">
                  <c:v>11.487340197684183</c:v>
                </c:pt>
                <c:pt idx="96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ser>
          <c:idx val="1"/>
          <c:order val="2"/>
          <c:tx>
            <c:strRef>
              <c:f>'time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'time series'!$U$3:$U$99</c:f>
              <c:numCache>
                <c:formatCode>0.0</c:formatCode>
                <c:ptCount val="97"/>
                <c:pt idx="0">
                  <c:v>5.3043078141977111E-2</c:v>
                </c:pt>
                <c:pt idx="1">
                  <c:v>8.190449682246001E-2</c:v>
                </c:pt>
                <c:pt idx="2">
                  <c:v>2.2764995624604864E-2</c:v>
                </c:pt>
                <c:pt idx="3">
                  <c:v>4.0557898755441656E-3</c:v>
                </c:pt>
                <c:pt idx="4">
                  <c:v>3.6107311725291899E-2</c:v>
                </c:pt>
                <c:pt idx="5">
                  <c:v>2.1174051517889973E-2</c:v>
                </c:pt>
                <c:pt idx="6">
                  <c:v>2.6677627175149363E-2</c:v>
                </c:pt>
                <c:pt idx="7">
                  <c:v>5.5662095124627088E-2</c:v>
                </c:pt>
                <c:pt idx="8">
                  <c:v>6.9966658228153941E-2</c:v>
                </c:pt>
                <c:pt idx="9">
                  <c:v>3.4374450967251675E-2</c:v>
                </c:pt>
                <c:pt idx="10">
                  <c:v>9.8364889666810174E-3</c:v>
                </c:pt>
                <c:pt idx="11">
                  <c:v>1.305201504721425E-2</c:v>
                </c:pt>
                <c:pt idx="12">
                  <c:v>1.2354284669853659E-2</c:v>
                </c:pt>
                <c:pt idx="13">
                  <c:v>3.6477909518725531E-2</c:v>
                </c:pt>
                <c:pt idx="14">
                  <c:v>4.2662238696246288E-2</c:v>
                </c:pt>
                <c:pt idx="15">
                  <c:v>5.7285346209902865E-3</c:v>
                </c:pt>
                <c:pt idx="16">
                  <c:v>0</c:v>
                </c:pt>
                <c:pt idx="17">
                  <c:v>2.591845539788553E-3</c:v>
                </c:pt>
                <c:pt idx="18">
                  <c:v>2.4740446330263628E-2</c:v>
                </c:pt>
                <c:pt idx="19">
                  <c:v>2.4486343578116906E-2</c:v>
                </c:pt>
                <c:pt idx="20">
                  <c:v>5.4354987431372405E-3</c:v>
                </c:pt>
                <c:pt idx="21">
                  <c:v>1.2319569594840592E-2</c:v>
                </c:pt>
                <c:pt idx="22">
                  <c:v>0</c:v>
                </c:pt>
                <c:pt idx="23">
                  <c:v>0</c:v>
                </c:pt>
                <c:pt idx="24">
                  <c:v>2.036395454775991E-2</c:v>
                </c:pt>
                <c:pt idx="25">
                  <c:v>3.5183792841159529E-3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1.025241175340438E-2</c:v>
                </c:pt>
                <c:pt idx="33">
                  <c:v>7.0655284568076557E-3</c:v>
                </c:pt>
                <c:pt idx="34">
                  <c:v>3.1403561770720991E-3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2.9706096899232353E-4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1.1214476188139977E-2</c:v>
                </c:pt>
                <c:pt idx="52">
                  <c:v>0.12356238479325059</c:v>
                </c:pt>
                <c:pt idx="53">
                  <c:v>0.4353702051547183</c:v>
                </c:pt>
                <c:pt idx="54">
                  <c:v>0.45622573741800793</c:v>
                </c:pt>
                <c:pt idx="55">
                  <c:v>0.75074233100974019</c:v>
                </c:pt>
                <c:pt idx="56">
                  <c:v>2.9308665569481409</c:v>
                </c:pt>
                <c:pt idx="57">
                  <c:v>12.583304344940883</c:v>
                </c:pt>
                <c:pt idx="58">
                  <c:v>25.464634770438447</c:v>
                </c:pt>
                <c:pt idx="59">
                  <c:v>42.103719891931561</c:v>
                </c:pt>
                <c:pt idx="60">
                  <c:v>52.388619007464662</c:v>
                </c:pt>
                <c:pt idx="61">
                  <c:v>44.254710277426049</c:v>
                </c:pt>
                <c:pt idx="62">
                  <c:v>41.545434777691639</c:v>
                </c:pt>
                <c:pt idx="63">
                  <c:v>41.598040972687059</c:v>
                </c:pt>
                <c:pt idx="64">
                  <c:v>33.252419427200714</c:v>
                </c:pt>
                <c:pt idx="65">
                  <c:v>27.993113510155617</c:v>
                </c:pt>
                <c:pt idx="66">
                  <c:v>23.093211144418405</c:v>
                </c:pt>
                <c:pt idx="67">
                  <c:v>18.989044503448103</c:v>
                </c:pt>
                <c:pt idx="68">
                  <c:v>15.566756002316611</c:v>
                </c:pt>
                <c:pt idx="69">
                  <c:v>14.556653371844025</c:v>
                </c:pt>
                <c:pt idx="70">
                  <c:v>12.859136473522469</c:v>
                </c:pt>
                <c:pt idx="71">
                  <c:v>11.567426614681498</c:v>
                </c:pt>
                <c:pt idx="72">
                  <c:v>13.477447457185487</c:v>
                </c:pt>
                <c:pt idx="73">
                  <c:v>11.506614019594451</c:v>
                </c:pt>
                <c:pt idx="74">
                  <c:v>7.2992632505662938</c:v>
                </c:pt>
                <c:pt idx="75">
                  <c:v>6.4159524037580251</c:v>
                </c:pt>
                <c:pt idx="76">
                  <c:v>4.7808864838763672</c:v>
                </c:pt>
                <c:pt idx="77">
                  <c:v>5.4989716108118971</c:v>
                </c:pt>
                <c:pt idx="78">
                  <c:v>5.6827620594423944</c:v>
                </c:pt>
                <c:pt idx="79">
                  <c:v>3.987279709503154</c:v>
                </c:pt>
                <c:pt idx="80">
                  <c:v>3.1909701186932158</c:v>
                </c:pt>
                <c:pt idx="81">
                  <c:v>3.1399475167085042</c:v>
                </c:pt>
                <c:pt idx="82">
                  <c:v>2.6239824193536299</c:v>
                </c:pt>
                <c:pt idx="83">
                  <c:v>1.5551235760058977</c:v>
                </c:pt>
                <c:pt idx="84">
                  <c:v>2.4756264780334889</c:v>
                </c:pt>
                <c:pt idx="85">
                  <c:v>2.6514899669602037</c:v>
                </c:pt>
                <c:pt idx="86">
                  <c:v>1.653224980053533</c:v>
                </c:pt>
                <c:pt idx="87">
                  <c:v>1.9311951652373449</c:v>
                </c:pt>
                <c:pt idx="88">
                  <c:v>1.8236552404798809</c:v>
                </c:pt>
                <c:pt idx="89">
                  <c:v>1.4374282733853239</c:v>
                </c:pt>
                <c:pt idx="90">
                  <c:v>1.0315109894299381</c:v>
                </c:pt>
                <c:pt idx="91">
                  <c:v>0.85879668057662406</c:v>
                </c:pt>
                <c:pt idx="92">
                  <c:v>0.76605144362465383</c:v>
                </c:pt>
                <c:pt idx="93">
                  <c:v>0.76893368041346</c:v>
                </c:pt>
                <c:pt idx="94">
                  <c:v>0.7163156177390847</c:v>
                </c:pt>
                <c:pt idx="95">
                  <c:v>0.76186541977796662</c:v>
                </c:pt>
                <c:pt idx="96">
                  <c:v>0.85191381113272668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AB-4637-B904-C01523069365}"/>
            </c:ext>
          </c:extLst>
        </c:ser>
        <c:ser>
          <c:idx val="2"/>
          <c:order val="3"/>
          <c:tx>
            <c:strRef>
              <c:f>'time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series'!$M$3:$M$99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'time series'!$W$3:$W$99</c:f>
              <c:numCache>
                <c:formatCode>0.0</c:formatCode>
                <c:ptCount val="97"/>
                <c:pt idx="0">
                  <c:v>0.18387499144555899</c:v>
                </c:pt>
                <c:pt idx="1">
                  <c:v>0.25885210263706637</c:v>
                </c:pt>
                <c:pt idx="2">
                  <c:v>0.2679990817116748</c:v>
                </c:pt>
                <c:pt idx="3">
                  <c:v>8.4437456664127955E-2</c:v>
                </c:pt>
                <c:pt idx="4">
                  <c:v>0.21387166118146408</c:v>
                </c:pt>
                <c:pt idx="5">
                  <c:v>0.11611424772050637</c:v>
                </c:pt>
                <c:pt idx="6">
                  <c:v>0.28904173882478912</c:v>
                </c:pt>
                <c:pt idx="7">
                  <c:v>0.41401608730206352</c:v>
                </c:pt>
                <c:pt idx="8">
                  <c:v>0.37595110699450979</c:v>
                </c:pt>
                <c:pt idx="9">
                  <c:v>0.32832993687627676</c:v>
                </c:pt>
                <c:pt idx="10">
                  <c:v>0.1545646445840653</c:v>
                </c:pt>
                <c:pt idx="11">
                  <c:v>0.1661575412214934</c:v>
                </c:pt>
                <c:pt idx="12">
                  <c:v>0.11590871459779384</c:v>
                </c:pt>
                <c:pt idx="13">
                  <c:v>0.1906380319694311</c:v>
                </c:pt>
                <c:pt idx="14">
                  <c:v>0.15927089122920141</c:v>
                </c:pt>
                <c:pt idx="15">
                  <c:v>0.12648970894726924</c:v>
                </c:pt>
                <c:pt idx="16">
                  <c:v>5.1540645491778773E-2</c:v>
                </c:pt>
                <c:pt idx="17">
                  <c:v>9.3263601926499753E-2</c:v>
                </c:pt>
                <c:pt idx="18">
                  <c:v>0.12752932658561247</c:v>
                </c:pt>
                <c:pt idx="19">
                  <c:v>6.89125322410028E-2</c:v>
                </c:pt>
                <c:pt idx="20">
                  <c:v>6.2117692259651233E-2</c:v>
                </c:pt>
                <c:pt idx="21">
                  <c:v>0.11719175841006163</c:v>
                </c:pt>
                <c:pt idx="22">
                  <c:v>4.6154242191037601E-2</c:v>
                </c:pt>
                <c:pt idx="23">
                  <c:v>9.7113584007031614E-2</c:v>
                </c:pt>
                <c:pt idx="24">
                  <c:v>7.5469528456629062E-2</c:v>
                </c:pt>
                <c:pt idx="25">
                  <c:v>6.0166179700333316E-3</c:v>
                </c:pt>
                <c:pt idx="26">
                  <c:v>2.5115170048585302E-2</c:v>
                </c:pt>
                <c:pt idx="27">
                  <c:v>0</c:v>
                </c:pt>
                <c:pt idx="28">
                  <c:v>1.2415273280719737E-2</c:v>
                </c:pt>
                <c:pt idx="29">
                  <c:v>3.2936033398705345E-3</c:v>
                </c:pt>
                <c:pt idx="30">
                  <c:v>1.7006332780485543E-2</c:v>
                </c:pt>
                <c:pt idx="31">
                  <c:v>3.2390421460197674E-2</c:v>
                </c:pt>
                <c:pt idx="32">
                  <c:v>5.6449901725794865E-2</c:v>
                </c:pt>
                <c:pt idx="33">
                  <c:v>9.4626422505232996E-2</c:v>
                </c:pt>
                <c:pt idx="34">
                  <c:v>4.2735847760294036E-2</c:v>
                </c:pt>
                <c:pt idx="35">
                  <c:v>0</c:v>
                </c:pt>
                <c:pt idx="36">
                  <c:v>9.9482618672082509E-4</c:v>
                </c:pt>
                <c:pt idx="37">
                  <c:v>3.6123150583565009E-2</c:v>
                </c:pt>
                <c:pt idx="38">
                  <c:v>0</c:v>
                </c:pt>
                <c:pt idx="39">
                  <c:v>0</c:v>
                </c:pt>
                <c:pt idx="40">
                  <c:v>2.9568798806384536E-3</c:v>
                </c:pt>
                <c:pt idx="41">
                  <c:v>0</c:v>
                </c:pt>
                <c:pt idx="42">
                  <c:v>2.0127352366140858E-2</c:v>
                </c:pt>
                <c:pt idx="43">
                  <c:v>0</c:v>
                </c:pt>
                <c:pt idx="44">
                  <c:v>2.4219448497937297E-2</c:v>
                </c:pt>
                <c:pt idx="45">
                  <c:v>0</c:v>
                </c:pt>
                <c:pt idx="46">
                  <c:v>4.1877424957678525E-3</c:v>
                </c:pt>
                <c:pt idx="47">
                  <c:v>1.7968963442895412E-2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2.301682004262575E-2</c:v>
                </c:pt>
                <c:pt idx="52">
                  <c:v>0.42764466742697926</c:v>
                </c:pt>
                <c:pt idx="53">
                  <c:v>0.90410466118547261</c:v>
                </c:pt>
                <c:pt idx="54">
                  <c:v>0.62401512213386201</c:v>
                </c:pt>
                <c:pt idx="55">
                  <c:v>0.28750042030984252</c:v>
                </c:pt>
                <c:pt idx="56">
                  <c:v>0.9863809757657177</c:v>
                </c:pt>
                <c:pt idx="57">
                  <c:v>10.812908300608651</c:v>
                </c:pt>
                <c:pt idx="58">
                  <c:v>21.823328669542274</c:v>
                </c:pt>
                <c:pt idx="59">
                  <c:v>40.498401383901985</c:v>
                </c:pt>
                <c:pt idx="60">
                  <c:v>52.388619007464662</c:v>
                </c:pt>
                <c:pt idx="61">
                  <c:v>32.303485376374532</c:v>
                </c:pt>
                <c:pt idx="62">
                  <c:v>28.823432499359861</c:v>
                </c:pt>
                <c:pt idx="63">
                  <c:v>29.049061001236321</c:v>
                </c:pt>
                <c:pt idx="64">
                  <c:v>18.509432528055576</c:v>
                </c:pt>
                <c:pt idx="65">
                  <c:v>15.099248436022899</c:v>
                </c:pt>
                <c:pt idx="66">
                  <c:v>11.196295187210989</c:v>
                </c:pt>
                <c:pt idx="67">
                  <c:v>9.2749948666787478</c:v>
                </c:pt>
                <c:pt idx="68">
                  <c:v>7.4993224824178188</c:v>
                </c:pt>
                <c:pt idx="69">
                  <c:v>7.282781769147272</c:v>
                </c:pt>
                <c:pt idx="70">
                  <c:v>5.8850242445094674</c:v>
                </c:pt>
                <c:pt idx="71">
                  <c:v>6.594923181443936</c:v>
                </c:pt>
                <c:pt idx="72">
                  <c:v>8.8722063639566624</c:v>
                </c:pt>
                <c:pt idx="73">
                  <c:v>7.6003439499819434</c:v>
                </c:pt>
                <c:pt idx="74">
                  <c:v>4.3076815904663652</c:v>
                </c:pt>
                <c:pt idx="75">
                  <c:v>2.7722667044327545</c:v>
                </c:pt>
                <c:pt idx="76">
                  <c:v>1.6864930147137396</c:v>
                </c:pt>
                <c:pt idx="77">
                  <c:v>2.570939353532562</c:v>
                </c:pt>
                <c:pt idx="78">
                  <c:v>2.3383379318443756</c:v>
                </c:pt>
                <c:pt idx="79">
                  <c:v>1.653259595296525</c:v>
                </c:pt>
                <c:pt idx="80">
                  <c:v>1.3741578979255835</c:v>
                </c:pt>
                <c:pt idx="81">
                  <c:v>1.0257683113662293</c:v>
                </c:pt>
                <c:pt idx="82">
                  <c:v>1.070243099753162</c:v>
                </c:pt>
                <c:pt idx="83">
                  <c:v>0.48044031658571151</c:v>
                </c:pt>
                <c:pt idx="84">
                  <c:v>0.84399493234906009</c:v>
                </c:pt>
                <c:pt idx="85">
                  <c:v>1.0641074704228883</c:v>
                </c:pt>
                <c:pt idx="86">
                  <c:v>0.43867493447335582</c:v>
                </c:pt>
                <c:pt idx="87">
                  <c:v>0.66905511693843145</c:v>
                </c:pt>
                <c:pt idx="88">
                  <c:v>0.70145331668485433</c:v>
                </c:pt>
                <c:pt idx="89">
                  <c:v>0.50774901952196794</c:v>
                </c:pt>
                <c:pt idx="90">
                  <c:v>0.38354601757574636</c:v>
                </c:pt>
                <c:pt idx="91">
                  <c:v>0.32671071279536706</c:v>
                </c:pt>
                <c:pt idx="92">
                  <c:v>0.16313376162635718</c:v>
                </c:pt>
                <c:pt idx="93">
                  <c:v>0.28006587184589576</c:v>
                </c:pt>
                <c:pt idx="94">
                  <c:v>0.23194268064360765</c:v>
                </c:pt>
                <c:pt idx="95">
                  <c:v>0.26327712934970576</c:v>
                </c:pt>
                <c:pt idx="96">
                  <c:v>0.41052763431359102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B-4637-B904-C01523069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'time series'!$AA$3:$AA$100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'time series'!$AE$4:$AE$100</c:f>
              <c:numCache>
                <c:formatCode>0.000</c:formatCode>
                <c:ptCount val="97"/>
                <c:pt idx="0">
                  <c:v>24.834623711052632</c:v>
                </c:pt>
                <c:pt idx="1">
                  <c:v>29.921368797033395</c:v>
                </c:pt>
                <c:pt idx="2">
                  <c:v>17.593855701595938</c:v>
                </c:pt>
                <c:pt idx="3">
                  <c:v>31.416100892084852</c:v>
                </c:pt>
                <c:pt idx="4">
                  <c:v>31.72190310962235</c:v>
                </c:pt>
                <c:pt idx="5">
                  <c:v>32.296096210611431</c:v>
                </c:pt>
                <c:pt idx="6">
                  <c:v>22.560679543175702</c:v>
                </c:pt>
                <c:pt idx="7">
                  <c:v>28.745635725673324</c:v>
                </c:pt>
                <c:pt idx="8">
                  <c:v>20.797941855513933</c:v>
                </c:pt>
                <c:pt idx="9">
                  <c:v>22.415302573371232</c:v>
                </c:pt>
                <c:pt idx="10">
                  <c:v>25.000150459147054</c:v>
                </c:pt>
                <c:pt idx="11">
                  <c:v>20.794874277441039</c:v>
                </c:pt>
                <c:pt idx="12">
                  <c:v>25.851328026017967</c:v>
                </c:pt>
                <c:pt idx="13">
                  <c:v>24.344066247837816</c:v>
                </c:pt>
                <c:pt idx="14">
                  <c:v>13.897065098168484</c:v>
                </c:pt>
                <c:pt idx="15">
                  <c:v>25.042965983382995</c:v>
                </c:pt>
                <c:pt idx="16">
                  <c:v>34.074083109995165</c:v>
                </c:pt>
                <c:pt idx="17">
                  <c:v>23.299505046324192</c:v>
                </c:pt>
                <c:pt idx="18">
                  <c:v>19.74442880413374</c:v>
                </c:pt>
                <c:pt idx="19">
                  <c:v>24.481562219331547</c:v>
                </c:pt>
                <c:pt idx="20">
                  <c:v>26.305713580823937</c:v>
                </c:pt>
                <c:pt idx="21">
                  <c:v>18.195119915262755</c:v>
                </c:pt>
                <c:pt idx="22">
                  <c:v>22.286838718986882</c:v>
                </c:pt>
                <c:pt idx="23">
                  <c:v>28.029419693648578</c:v>
                </c:pt>
                <c:pt idx="24">
                  <c:v>20.924189043504651</c:v>
                </c:pt>
                <c:pt idx="25">
                  <c:v>23.617769736132988</c:v>
                </c:pt>
                <c:pt idx="26">
                  <c:v>15.019242595540955</c:v>
                </c:pt>
                <c:pt idx="27">
                  <c:v>22.200397561997416</c:v>
                </c:pt>
                <c:pt idx="28">
                  <c:v>34.072659579360547</c:v>
                </c:pt>
                <c:pt idx="29">
                  <c:v>36.075288113137567</c:v>
                </c:pt>
                <c:pt idx="30">
                  <c:v>33.162763445790141</c:v>
                </c:pt>
                <c:pt idx="31">
                  <c:v>33.154611821964082</c:v>
                </c:pt>
                <c:pt idx="32">
                  <c:v>33.299564222719859</c:v>
                </c:pt>
                <c:pt idx="33">
                  <c:v>30.497558859900899</c:v>
                </c:pt>
                <c:pt idx="34">
                  <c:v>30.662751949554721</c:v>
                </c:pt>
                <c:pt idx="35">
                  <c:v>26.413777935966973</c:v>
                </c:pt>
                <c:pt idx="36">
                  <c:v>31.648459436364803</c:v>
                </c:pt>
                <c:pt idx="37">
                  <c:v>27.358674605746323</c:v>
                </c:pt>
                <c:pt idx="38">
                  <c:v>30.783289155104974</c:v>
                </c:pt>
                <c:pt idx="39">
                  <c:v>24.968028454143379</c:v>
                </c:pt>
                <c:pt idx="40">
                  <c:v>32.017461353840112</c:v>
                </c:pt>
                <c:pt idx="41">
                  <c:v>25.807271531844108</c:v>
                </c:pt>
                <c:pt idx="42">
                  <c:v>20.356801407695279</c:v>
                </c:pt>
                <c:pt idx="43">
                  <c:v>10.688100700571788</c:v>
                </c:pt>
                <c:pt idx="44">
                  <c:v>23.029285130619289</c:v>
                </c:pt>
                <c:pt idx="45">
                  <c:v>16.506473735075257</c:v>
                </c:pt>
                <c:pt idx="46">
                  <c:v>23.363546554934821</c:v>
                </c:pt>
                <c:pt idx="47">
                  <c:v>28.447231957877804</c:v>
                </c:pt>
                <c:pt idx="48">
                  <c:v>20.83155278206107</c:v>
                </c:pt>
                <c:pt idx="49">
                  <c:v>22.46966438227409</c:v>
                </c:pt>
                <c:pt idx="50">
                  <c:v>27.631963081806077</c:v>
                </c:pt>
                <c:pt idx="51">
                  <c:v>14.01403997288701</c:v>
                </c:pt>
                <c:pt idx="52">
                  <c:v>23.323837793864588</c:v>
                </c:pt>
                <c:pt idx="53">
                  <c:v>30.475025054476774</c:v>
                </c:pt>
                <c:pt idx="54">
                  <c:v>39.976974540218343</c:v>
                </c:pt>
                <c:pt idx="55">
                  <c:v>44.357726288728202</c:v>
                </c:pt>
                <c:pt idx="56">
                  <c:v>35.519168131343648</c:v>
                </c:pt>
                <c:pt idx="57">
                  <c:v>45.33368254123814</c:v>
                </c:pt>
                <c:pt idx="58">
                  <c:v>54.471179758949042</c:v>
                </c:pt>
                <c:pt idx="59">
                  <c:v>66.475800518584137</c:v>
                </c:pt>
                <c:pt idx="60">
                  <c:v>67.895630319562855</c:v>
                </c:pt>
                <c:pt idx="61">
                  <c:v>74.369135417746435</c:v>
                </c:pt>
                <c:pt idx="62">
                  <c:v>75.463396074733694</c:v>
                </c:pt>
                <c:pt idx="63">
                  <c:v>72.887401129850275</c:v>
                </c:pt>
                <c:pt idx="64">
                  <c:v>62.926854263426122</c:v>
                </c:pt>
                <c:pt idx="65">
                  <c:v>68.058800694432833</c:v>
                </c:pt>
                <c:pt idx="66">
                  <c:v>70.468009795221292</c:v>
                </c:pt>
                <c:pt idx="67">
                  <c:v>64.629613249745333</c:v>
                </c:pt>
                <c:pt idx="68">
                  <c:v>66.88126761185822</c:v>
                </c:pt>
                <c:pt idx="69">
                  <c:v>55.372613673813277</c:v>
                </c:pt>
                <c:pt idx="70">
                  <c:v>54.095331733934266</c:v>
                </c:pt>
                <c:pt idx="71">
                  <c:v>50.626120782656123</c:v>
                </c:pt>
                <c:pt idx="72">
                  <c:v>50.571011673526229</c:v>
                </c:pt>
                <c:pt idx="73">
                  <c:v>44.121621251906596</c:v>
                </c:pt>
                <c:pt idx="74">
                  <c:v>47.547214629001694</c:v>
                </c:pt>
                <c:pt idx="75">
                  <c:v>42.572631686625165</c:v>
                </c:pt>
                <c:pt idx="76">
                  <c:v>40.070420028323532</c:v>
                </c:pt>
                <c:pt idx="77">
                  <c:v>42.498084377982146</c:v>
                </c:pt>
                <c:pt idx="78">
                  <c:v>33.937431496062899</c:v>
                </c:pt>
                <c:pt idx="79">
                  <c:v>36.855333381216369</c:v>
                </c:pt>
                <c:pt idx="80">
                  <c:v>38.071665105915713</c:v>
                </c:pt>
                <c:pt idx="81">
                  <c:v>47.072201205244433</c:v>
                </c:pt>
                <c:pt idx="82">
                  <c:v>45.078553070083458</c:v>
                </c:pt>
                <c:pt idx="83">
                  <c:v>41.386267006171423</c:v>
                </c:pt>
                <c:pt idx="84">
                  <c:v>42.245370956387312</c:v>
                </c:pt>
                <c:pt idx="85">
                  <c:v>35.631584116137674</c:v>
                </c:pt>
                <c:pt idx="86">
                  <c:v>32.853333490527433</c:v>
                </c:pt>
                <c:pt idx="87">
                  <c:v>28.940109598441055</c:v>
                </c:pt>
                <c:pt idx="88">
                  <c:v>34.940571287453785</c:v>
                </c:pt>
                <c:pt idx="89">
                  <c:v>27.320662019534588</c:v>
                </c:pt>
                <c:pt idx="90">
                  <c:v>31.385143033866363</c:v>
                </c:pt>
                <c:pt idx="91">
                  <c:v>26.560697547969596</c:v>
                </c:pt>
                <c:pt idx="92">
                  <c:v>28.640680563368452</c:v>
                </c:pt>
                <c:pt idx="93">
                  <c:v>25.922024993699843</c:v>
                </c:pt>
                <c:pt idx="94">
                  <c:v>27.024533240405859</c:v>
                </c:pt>
                <c:pt idx="95">
                  <c:v>28.461926274567773</c:v>
                </c:pt>
                <c:pt idx="96">
                  <c:v>25.826018806095679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ser>
          <c:idx val="1"/>
          <c:order val="2"/>
          <c:tx>
            <c:strRef>
              <c:f>'time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'time series'!$AG$3:$AG$100</c:f>
              <c:numCache>
                <c:formatCode>0.000</c:formatCode>
                <c:ptCount val="98"/>
                <c:pt idx="0">
                  <c:v>0</c:v>
                </c:pt>
                <c:pt idx="1">
                  <c:v>2.46036002543434E-2</c:v>
                </c:pt>
                <c:pt idx="2">
                  <c:v>0.26935718833224398</c:v>
                </c:pt>
                <c:pt idx="3">
                  <c:v>0</c:v>
                </c:pt>
                <c:pt idx="4">
                  <c:v>0.56635848319803972</c:v>
                </c:pt>
                <c:pt idx="5">
                  <c:v>0.28556590068175303</c:v>
                </c:pt>
                <c:pt idx="6">
                  <c:v>0.48177501261502254</c:v>
                </c:pt>
                <c:pt idx="7">
                  <c:v>0</c:v>
                </c:pt>
                <c:pt idx="8">
                  <c:v>0.42881123848686109</c:v>
                </c:pt>
                <c:pt idx="9">
                  <c:v>0</c:v>
                </c:pt>
                <c:pt idx="10">
                  <c:v>2.2206784790137057E-2</c:v>
                </c:pt>
                <c:pt idx="11">
                  <c:v>2.4767587194065143E-2</c:v>
                </c:pt>
                <c:pt idx="12">
                  <c:v>2.0601430487299364E-2</c:v>
                </c:pt>
                <c:pt idx="13">
                  <c:v>0.23271799759485337</c:v>
                </c:pt>
                <c:pt idx="14">
                  <c:v>2.4117606189478606E-2</c:v>
                </c:pt>
                <c:pt idx="15">
                  <c:v>0</c:v>
                </c:pt>
                <c:pt idx="16">
                  <c:v>2.4810004427973643E-2</c:v>
                </c:pt>
                <c:pt idx="17">
                  <c:v>0.84078173958028679</c:v>
                </c:pt>
                <c:pt idx="18">
                  <c:v>2.3082761992028571E-2</c:v>
                </c:pt>
                <c:pt idx="19">
                  <c:v>0</c:v>
                </c:pt>
                <c:pt idx="20">
                  <c:v>2.4253823108187498E-2</c:v>
                </c:pt>
                <c:pt idx="21">
                  <c:v>2.606100534794098E-2</c:v>
                </c:pt>
                <c:pt idx="22">
                  <c:v>0</c:v>
                </c:pt>
                <c:pt idx="23">
                  <c:v>2.2079515967497396E-2</c:v>
                </c:pt>
                <c:pt idx="24">
                  <c:v>0.25232554467943186</c:v>
                </c:pt>
                <c:pt idx="25">
                  <c:v>0</c:v>
                </c:pt>
                <c:pt idx="26">
                  <c:v>0.21261113065903181</c:v>
                </c:pt>
                <c:pt idx="27">
                  <c:v>0</c:v>
                </c:pt>
                <c:pt idx="28">
                  <c:v>0</c:v>
                </c:pt>
                <c:pt idx="29">
                  <c:v>0.30838353838551735</c:v>
                </c:pt>
                <c:pt idx="30">
                  <c:v>0.53815087348194346</c:v>
                </c:pt>
                <c:pt idx="31">
                  <c:v>0.30014828488027834</c:v>
                </c:pt>
                <c:pt idx="32">
                  <c:v>0.59951305245541386</c:v>
                </c:pt>
                <c:pt idx="33">
                  <c:v>0.60213413143846706</c:v>
                </c:pt>
                <c:pt idx="34">
                  <c:v>0.27602615203639258</c:v>
                </c:pt>
                <c:pt idx="35">
                  <c:v>0.27752127540313853</c:v>
                </c:pt>
                <c:pt idx="36">
                  <c:v>2.7307482171067893E-2</c:v>
                </c:pt>
                <c:pt idx="37">
                  <c:v>3.2719277942572692E-2</c:v>
                </c:pt>
                <c:pt idx="38">
                  <c:v>2.8284349207129633E-2</c:v>
                </c:pt>
                <c:pt idx="39">
                  <c:v>0.27861222898332827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1.1285821563651852</c:v>
                </c:pt>
                <c:pt idx="56">
                  <c:v>1.5807015589024254</c:v>
                </c:pt>
                <c:pt idx="57">
                  <c:v>1.0027346947338662</c:v>
                </c:pt>
                <c:pt idx="58">
                  <c:v>2.1716112441035706</c:v>
                </c:pt>
                <c:pt idx="59">
                  <c:v>9.7526286861639733</c:v>
                </c:pt>
                <c:pt idx="60">
                  <c:v>47.291391731335388</c:v>
                </c:pt>
                <c:pt idx="61">
                  <c:v>43.469794072448202</c:v>
                </c:pt>
                <c:pt idx="62">
                  <c:v>52.906770408551139</c:v>
                </c:pt>
                <c:pt idx="63">
                  <c:v>75.463396074733694</c:v>
                </c:pt>
                <c:pt idx="64">
                  <c:v>36.361217930949145</c:v>
                </c:pt>
                <c:pt idx="65">
                  <c:v>14.903543988489609</c:v>
                </c:pt>
                <c:pt idx="66">
                  <c:v>29.262342158342207</c:v>
                </c:pt>
                <c:pt idx="67">
                  <c:v>20.478623117502558</c:v>
                </c:pt>
                <c:pt idx="68">
                  <c:v>9.7759277154848956</c:v>
                </c:pt>
                <c:pt idx="69">
                  <c:v>15.840103967164437</c:v>
                </c:pt>
                <c:pt idx="70">
                  <c:v>4.8617568617117994</c:v>
                </c:pt>
                <c:pt idx="71">
                  <c:v>5.3906273384398595</c:v>
                </c:pt>
                <c:pt idx="72">
                  <c:v>4.4499707865361486</c:v>
                </c:pt>
                <c:pt idx="73">
                  <c:v>4.4451267668500885</c:v>
                </c:pt>
                <c:pt idx="74">
                  <c:v>2.5107151583439165</c:v>
                </c:pt>
                <c:pt idx="75">
                  <c:v>3.4046764294859471</c:v>
                </c:pt>
                <c:pt idx="76">
                  <c:v>2.4225708093531004</c:v>
                </c:pt>
                <c:pt idx="77">
                  <c:v>1.7503395788127369</c:v>
                </c:pt>
                <c:pt idx="78">
                  <c:v>3.0431272853523774</c:v>
                </c:pt>
                <c:pt idx="79">
                  <c:v>1.2093710692426243</c:v>
                </c:pt>
                <c:pt idx="80">
                  <c:v>1.6098994884975806</c:v>
                </c:pt>
                <c:pt idx="81">
                  <c:v>1.6630307897717362</c:v>
                </c:pt>
                <c:pt idx="82">
                  <c:v>2.9003542378362117</c:v>
                </c:pt>
                <c:pt idx="83">
                  <c:v>2.1593898229172881</c:v>
                </c:pt>
                <c:pt idx="84">
                  <c:v>2.5500153344474761</c:v>
                </c:pt>
                <c:pt idx="85">
                  <c:v>3.0212986658691112</c:v>
                </c:pt>
                <c:pt idx="86">
                  <c:v>1.2697427318959313</c:v>
                </c:pt>
                <c:pt idx="87">
                  <c:v>0.92747603791833866</c:v>
                </c:pt>
                <c:pt idx="88">
                  <c:v>1.0312899281469101</c:v>
                </c:pt>
                <c:pt idx="89">
                  <c:v>2.1528637159779627</c:v>
                </c:pt>
                <c:pt idx="90">
                  <c:v>0.76960617959224586</c:v>
                </c:pt>
                <c:pt idx="91">
                  <c:v>1.2413420229682206</c:v>
                </c:pt>
                <c:pt idx="92">
                  <c:v>0.74819844967820559</c:v>
                </c:pt>
                <c:pt idx="93">
                  <c:v>1.02061968009499</c:v>
                </c:pt>
                <c:pt idx="94">
                  <c:v>0.63962881106119718</c:v>
                </c:pt>
                <c:pt idx="95">
                  <c:v>0.9630277607933887</c:v>
                </c:pt>
                <c:pt idx="96">
                  <c:v>1.1257232474970771</c:v>
                </c:pt>
                <c:pt idx="97">
                  <c:v>0.72750300315656036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5A-4B47-B2A5-558A2B996C38}"/>
            </c:ext>
          </c:extLst>
        </c:ser>
        <c:ser>
          <c:idx val="2"/>
          <c:order val="3"/>
          <c:tx>
            <c:strRef>
              <c:f>'time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series'!$Y$3:$Y$100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'time series'!$AI$3:$AI$100</c:f>
              <c:numCache>
                <c:formatCode>0.000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1.2814256241200466</c:v>
                </c:pt>
                <c:pt idx="3">
                  <c:v>0</c:v>
                </c:pt>
                <c:pt idx="4">
                  <c:v>1.9061685866052305</c:v>
                </c:pt>
                <c:pt idx="5">
                  <c:v>2.0441023739070006</c:v>
                </c:pt>
                <c:pt idx="6">
                  <c:v>2.3126291916928707</c:v>
                </c:pt>
                <c:pt idx="7">
                  <c:v>0</c:v>
                </c:pt>
                <c:pt idx="8">
                  <c:v>0.84579696865609999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3.225322735224271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8.9252115792235465E-2</c:v>
                </c:pt>
                <c:pt idx="22">
                  <c:v>0</c:v>
                </c:pt>
                <c:pt idx="23">
                  <c:v>0</c:v>
                </c:pt>
                <c:pt idx="24">
                  <c:v>0.60355977751830847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3.2245416645164964</c:v>
                </c:pt>
                <c:pt idx="30">
                  <c:v>4.4062423064033478</c:v>
                </c:pt>
                <c:pt idx="31">
                  <c:v>2.7419453942947487</c:v>
                </c:pt>
                <c:pt idx="32">
                  <c:v>2.7377707368644835</c:v>
                </c:pt>
                <c:pt idx="33">
                  <c:v>2.8123958626163073</c:v>
                </c:pt>
                <c:pt idx="34">
                  <c:v>1.5126579055545719</c:v>
                </c:pt>
                <c:pt idx="35">
                  <c:v>1.5811530523312054</c:v>
                </c:pt>
                <c:pt idx="36">
                  <c:v>0.11872779343023863</c:v>
                </c:pt>
                <c:pt idx="37">
                  <c:v>2.0106554844907265</c:v>
                </c:pt>
                <c:pt idx="38">
                  <c:v>0.39209441464337624</c:v>
                </c:pt>
                <c:pt idx="39">
                  <c:v>1.6317573142081256</c:v>
                </c:pt>
                <c:pt idx="40">
                  <c:v>0</c:v>
                </c:pt>
                <c:pt idx="41">
                  <c:v>2.1807589246794392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0.74278070386149109</c:v>
                </c:pt>
                <c:pt idx="49">
                  <c:v>0</c:v>
                </c:pt>
                <c:pt idx="50">
                  <c:v>0</c:v>
                </c:pt>
                <c:pt idx="51">
                  <c:v>0.47648144387926056</c:v>
                </c:pt>
                <c:pt idx="52">
                  <c:v>0</c:v>
                </c:pt>
                <c:pt idx="53">
                  <c:v>0</c:v>
                </c:pt>
                <c:pt idx="54">
                  <c:v>1.5033910669225594</c:v>
                </c:pt>
                <c:pt idx="55">
                  <c:v>7.2131430291960283</c:v>
                </c:pt>
                <c:pt idx="56">
                  <c:v>11.236972072285161</c:v>
                </c:pt>
                <c:pt idx="57">
                  <c:v>4.0612120747554936</c:v>
                </c:pt>
                <c:pt idx="58">
                  <c:v>12.269179326256188</c:v>
                </c:pt>
                <c:pt idx="59">
                  <c:v>24.613500775913497</c:v>
                </c:pt>
                <c:pt idx="60">
                  <c:v>49.373292551783905</c:v>
                </c:pt>
                <c:pt idx="61">
                  <c:v>53.034122673910822</c:v>
                </c:pt>
                <c:pt idx="62">
                  <c:v>71.904537014948758</c:v>
                </c:pt>
                <c:pt idx="63">
                  <c:v>75.463396074733694</c:v>
                </c:pt>
                <c:pt idx="64">
                  <c:v>67.259673081945579</c:v>
                </c:pt>
                <c:pt idx="65">
                  <c:v>40.932036729940684</c:v>
                </c:pt>
                <c:pt idx="66">
                  <c:v>53.465504299338306</c:v>
                </c:pt>
                <c:pt idx="67">
                  <c:v>60.096118539580473</c:v>
                </c:pt>
                <c:pt idx="68">
                  <c:v>44.857841745807249</c:v>
                </c:pt>
                <c:pt idx="69">
                  <c:v>50.401845248959297</c:v>
                </c:pt>
                <c:pt idx="70">
                  <c:v>26.114678721144234</c:v>
                </c:pt>
                <c:pt idx="71">
                  <c:v>24.003510828343988</c:v>
                </c:pt>
                <c:pt idx="72">
                  <c:v>18.802062202385333</c:v>
                </c:pt>
                <c:pt idx="73">
                  <c:v>18.725522708448835</c:v>
                </c:pt>
                <c:pt idx="74">
                  <c:v>10.994938126081466</c:v>
                </c:pt>
                <c:pt idx="75">
                  <c:v>14.804804822462378</c:v>
                </c:pt>
                <c:pt idx="76">
                  <c:v>9.4796575785690216</c:v>
                </c:pt>
                <c:pt idx="77">
                  <c:v>7.2890105262002676</c:v>
                </c:pt>
                <c:pt idx="78">
                  <c:v>9.4098636144043137</c:v>
                </c:pt>
                <c:pt idx="79">
                  <c:v>3.1507179885471293</c:v>
                </c:pt>
                <c:pt idx="80">
                  <c:v>4.9126694839933398</c:v>
                </c:pt>
                <c:pt idx="81">
                  <c:v>5.7559767528714643</c:v>
                </c:pt>
                <c:pt idx="82">
                  <c:v>14.237450266178659</c:v>
                </c:pt>
                <c:pt idx="83">
                  <c:v>11.99437318598979</c:v>
                </c:pt>
                <c:pt idx="84">
                  <c:v>8.4023092955406735</c:v>
                </c:pt>
                <c:pt idx="85">
                  <c:v>9.1753710620374971</c:v>
                </c:pt>
                <c:pt idx="86">
                  <c:v>4.1298950454300813</c:v>
                </c:pt>
                <c:pt idx="87">
                  <c:v>2.585309108874037</c:v>
                </c:pt>
                <c:pt idx="88">
                  <c:v>0.91455935307769887</c:v>
                </c:pt>
                <c:pt idx="89">
                  <c:v>3.7161295276776114</c:v>
                </c:pt>
                <c:pt idx="90">
                  <c:v>0.38054812454506753</c:v>
                </c:pt>
                <c:pt idx="91">
                  <c:v>1.8923996239087555</c:v>
                </c:pt>
                <c:pt idx="92">
                  <c:v>0.15938427926016815</c:v>
                </c:pt>
                <c:pt idx="93">
                  <c:v>0.80922086828832873</c:v>
                </c:pt>
                <c:pt idx="94">
                  <c:v>0</c:v>
                </c:pt>
                <c:pt idx="95">
                  <c:v>0.2921872300271019</c:v>
                </c:pt>
                <c:pt idx="96">
                  <c:v>0.74778326174738563</c:v>
                </c:pt>
                <c:pt idx="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B5A-4B47-B2A5-558A2B99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'time series'!$AM$3:$AM$99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'time series'!$AQ$3:$AQ$99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ser>
          <c:idx val="1"/>
          <c:order val="2"/>
          <c:tx>
            <c:strRef>
              <c:f>'time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'time series'!$AS$3:$AS$99</c:f>
              <c:numCache>
                <c:formatCode>0.00</c:formatCode>
                <c:ptCount val="97"/>
                <c:pt idx="0">
                  <c:v>0</c:v>
                </c:pt>
                <c:pt idx="1">
                  <c:v>1.8380956071442722</c:v>
                </c:pt>
                <c:pt idx="2">
                  <c:v>0</c:v>
                </c:pt>
                <c:pt idx="3">
                  <c:v>0.94043647783388462</c:v>
                </c:pt>
                <c:pt idx="4">
                  <c:v>0.88788480912686074</c:v>
                </c:pt>
                <c:pt idx="5">
                  <c:v>0.4049457992806349</c:v>
                </c:pt>
                <c:pt idx="6">
                  <c:v>0.42437782182793382</c:v>
                </c:pt>
                <c:pt idx="7">
                  <c:v>0</c:v>
                </c:pt>
                <c:pt idx="8">
                  <c:v>0.42912284169364412</c:v>
                </c:pt>
                <c:pt idx="9">
                  <c:v>0</c:v>
                </c:pt>
                <c:pt idx="10">
                  <c:v>0.74671093025699675</c:v>
                </c:pt>
                <c:pt idx="11">
                  <c:v>0.44348230192118293</c:v>
                </c:pt>
                <c:pt idx="12">
                  <c:v>3.0455157692550858</c:v>
                </c:pt>
                <c:pt idx="13">
                  <c:v>0.40265783342995615</c:v>
                </c:pt>
                <c:pt idx="14">
                  <c:v>0.38388039693061526</c:v>
                </c:pt>
                <c:pt idx="15">
                  <c:v>0.4938973948142858</c:v>
                </c:pt>
                <c:pt idx="16">
                  <c:v>0.4346415049764597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1.1846429887567742</c:v>
                </c:pt>
                <c:pt idx="22">
                  <c:v>0</c:v>
                </c:pt>
                <c:pt idx="23">
                  <c:v>0.42348980065064146</c:v>
                </c:pt>
                <c:pt idx="24">
                  <c:v>0.49537163536079409</c:v>
                </c:pt>
                <c:pt idx="25">
                  <c:v>0.42351376812639902</c:v>
                </c:pt>
                <c:pt idx="26">
                  <c:v>1.5631075167384993</c:v>
                </c:pt>
                <c:pt idx="27">
                  <c:v>0.46702029820791413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0.41978747585602894</c:v>
                </c:pt>
                <c:pt idx="36">
                  <c:v>1.8719003608789548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0.84176570454798527</c:v>
                </c:pt>
                <c:pt idx="41">
                  <c:v>0</c:v>
                </c:pt>
                <c:pt idx="42">
                  <c:v>0</c:v>
                </c:pt>
                <c:pt idx="43">
                  <c:v>0.48982460542892048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0.42218729850986114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0.43963104430001587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0.78971458196349198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3.0132787105782115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1.2369434265841892</c:v>
                </c:pt>
                <c:pt idx="72">
                  <c:v>0</c:v>
                </c:pt>
                <c:pt idx="73">
                  <c:v>0.63451116772056382</c:v>
                </c:pt>
                <c:pt idx="74">
                  <c:v>0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16.872120811691968</c:v>
                </c:pt>
                <c:pt idx="78">
                  <c:v>12.328784534399025</c:v>
                </c:pt>
                <c:pt idx="79">
                  <c:v>6.7761376602755581</c:v>
                </c:pt>
                <c:pt idx="80">
                  <c:v>17.313573860119099</c:v>
                </c:pt>
                <c:pt idx="81">
                  <c:v>15.408713670094139</c:v>
                </c:pt>
                <c:pt idx="82">
                  <c:v>20.794019328451839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21.603620066023534</c:v>
                </c:pt>
                <c:pt idx="86">
                  <c:v>14.454577568255814</c:v>
                </c:pt>
                <c:pt idx="87">
                  <c:v>10.606843335983962</c:v>
                </c:pt>
                <c:pt idx="88">
                  <c:v>18.898250904586863</c:v>
                </c:pt>
                <c:pt idx="89">
                  <c:v>5.3226000968517297</c:v>
                </c:pt>
                <c:pt idx="90">
                  <c:v>9.8181388617467835</c:v>
                </c:pt>
                <c:pt idx="91">
                  <c:v>5.1426479851618838</c:v>
                </c:pt>
                <c:pt idx="92">
                  <c:v>5.5228267726325253</c:v>
                </c:pt>
                <c:pt idx="93">
                  <c:v>2.9106525048431577</c:v>
                </c:pt>
                <c:pt idx="94">
                  <c:v>4.2383506081176296</c:v>
                </c:pt>
                <c:pt idx="95">
                  <c:v>3.2249006113440992</c:v>
                </c:pt>
                <c:pt idx="96">
                  <c:v>1.2756533876080318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DB-4139-8A4C-F15DFB9E4D40}"/>
            </c:ext>
          </c:extLst>
        </c:ser>
        <c:ser>
          <c:idx val="2"/>
          <c:order val="3"/>
          <c:tx>
            <c:strRef>
              <c:f>'time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series'!$AK$3:$AK$99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'time series'!$AU$3:$AU$99</c:f>
              <c:numCache>
                <c:formatCode>0.00</c:formatCode>
                <c:ptCount val="97"/>
                <c:pt idx="0">
                  <c:v>0</c:v>
                </c:pt>
                <c:pt idx="1">
                  <c:v>0.82626267794973485</c:v>
                </c:pt>
                <c:pt idx="2">
                  <c:v>0</c:v>
                </c:pt>
                <c:pt idx="3">
                  <c:v>1.8514151371625771</c:v>
                </c:pt>
                <c:pt idx="4">
                  <c:v>1.3673756040315894</c:v>
                </c:pt>
                <c:pt idx="5">
                  <c:v>0</c:v>
                </c:pt>
                <c:pt idx="6">
                  <c:v>0.12855841947799879</c:v>
                </c:pt>
                <c:pt idx="7">
                  <c:v>0</c:v>
                </c:pt>
                <c:pt idx="8">
                  <c:v>0.16364254458422378</c:v>
                </c:pt>
                <c:pt idx="9">
                  <c:v>0</c:v>
                </c:pt>
                <c:pt idx="10">
                  <c:v>0.38481535966957764</c:v>
                </c:pt>
                <c:pt idx="11">
                  <c:v>0.23848267967542475</c:v>
                </c:pt>
                <c:pt idx="12">
                  <c:v>2.0532288899118583</c:v>
                </c:pt>
                <c:pt idx="13">
                  <c:v>0</c:v>
                </c:pt>
                <c:pt idx="14">
                  <c:v>0</c:v>
                </c:pt>
                <c:pt idx="15">
                  <c:v>0.7047658087839378</c:v>
                </c:pt>
                <c:pt idx="16">
                  <c:v>0.1704146932119624</c:v>
                </c:pt>
                <c:pt idx="17">
                  <c:v>0</c:v>
                </c:pt>
                <c:pt idx="18">
                  <c:v>0</c:v>
                </c:pt>
                <c:pt idx="19">
                  <c:v>5.4642939800140823E-3</c:v>
                </c:pt>
                <c:pt idx="20">
                  <c:v>0</c:v>
                </c:pt>
                <c:pt idx="21">
                  <c:v>1.0175272448188064</c:v>
                </c:pt>
                <c:pt idx="22">
                  <c:v>0</c:v>
                </c:pt>
                <c:pt idx="23">
                  <c:v>9.0073087462430854E-2</c:v>
                </c:pt>
                <c:pt idx="24">
                  <c:v>0.72049368003521908</c:v>
                </c:pt>
                <c:pt idx="25">
                  <c:v>9.0239263034444003E-2</c:v>
                </c:pt>
                <c:pt idx="26">
                  <c:v>1.1432329043373959</c:v>
                </c:pt>
                <c:pt idx="27">
                  <c:v>0.43923213825673918</c:v>
                </c:pt>
                <c:pt idx="28">
                  <c:v>0</c:v>
                </c:pt>
                <c:pt idx="29">
                  <c:v>0.85385365367173971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9.5688887865404332E-2</c:v>
                </c:pt>
                <c:pt idx="36">
                  <c:v>0.93338625109121354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0.99748931739448066</c:v>
                </c:pt>
                <c:pt idx="41">
                  <c:v>0.10683982121477066</c:v>
                </c:pt>
                <c:pt idx="42">
                  <c:v>0</c:v>
                </c:pt>
                <c:pt idx="43">
                  <c:v>0.66195433321180841</c:v>
                </c:pt>
                <c:pt idx="44">
                  <c:v>0</c:v>
                </c:pt>
                <c:pt idx="45">
                  <c:v>3.2064545706676155E-2</c:v>
                </c:pt>
                <c:pt idx="46">
                  <c:v>0</c:v>
                </c:pt>
                <c:pt idx="47">
                  <c:v>8.1084005007722365E-2</c:v>
                </c:pt>
                <c:pt idx="48">
                  <c:v>0</c:v>
                </c:pt>
                <c:pt idx="49">
                  <c:v>0</c:v>
                </c:pt>
                <c:pt idx="50">
                  <c:v>2.2632104830761283E-2</c:v>
                </c:pt>
                <c:pt idx="51">
                  <c:v>0.18424389963147769</c:v>
                </c:pt>
                <c:pt idx="52">
                  <c:v>0.24540979824925216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0.22062792532800679</c:v>
                </c:pt>
                <c:pt idx="59">
                  <c:v>0</c:v>
                </c:pt>
                <c:pt idx="60">
                  <c:v>0.1057900015255427</c:v>
                </c:pt>
                <c:pt idx="61">
                  <c:v>0.63805700598588366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1.9741246463839832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6.9267966597884228E-2</c:v>
                </c:pt>
                <c:pt idx="72">
                  <c:v>0</c:v>
                </c:pt>
                <c:pt idx="73">
                  <c:v>0</c:v>
                </c:pt>
                <c:pt idx="74">
                  <c:v>25.132491371139949</c:v>
                </c:pt>
                <c:pt idx="75">
                  <c:v>37.478753128333324</c:v>
                </c:pt>
                <c:pt idx="76">
                  <c:v>19.440387073878561</c:v>
                </c:pt>
                <c:pt idx="77">
                  <c:v>11.860462902816472</c:v>
                </c:pt>
                <c:pt idx="78">
                  <c:v>6.409186612086665</c:v>
                </c:pt>
                <c:pt idx="79">
                  <c:v>1.2954421677051648</c:v>
                </c:pt>
                <c:pt idx="80">
                  <c:v>4.8407460619542038</c:v>
                </c:pt>
                <c:pt idx="81">
                  <c:v>6.5939324607308993</c:v>
                </c:pt>
                <c:pt idx="82">
                  <c:v>9.6994932961778186</c:v>
                </c:pt>
                <c:pt idx="83">
                  <c:v>43.539555051420827</c:v>
                </c:pt>
                <c:pt idx="84">
                  <c:v>27.119739453068025</c:v>
                </c:pt>
                <c:pt idx="85">
                  <c:v>11.119796478409121</c:v>
                </c:pt>
                <c:pt idx="86">
                  <c:v>5.1762050249836697</c:v>
                </c:pt>
                <c:pt idx="87">
                  <c:v>2.5375905019495217</c:v>
                </c:pt>
                <c:pt idx="88">
                  <c:v>5.3622503173841283</c:v>
                </c:pt>
                <c:pt idx="89">
                  <c:v>0.43043953430756832</c:v>
                </c:pt>
                <c:pt idx="90">
                  <c:v>1.7481310031856034</c:v>
                </c:pt>
                <c:pt idx="91">
                  <c:v>0.29366841055615928</c:v>
                </c:pt>
                <c:pt idx="92">
                  <c:v>0.59820609208488906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DB-4139-8A4C-F15DFB9E4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'time series'!$AY$3:$AY$99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'time series'!$BC$4:$BC$99</c:f>
              <c:numCache>
                <c:formatCode>0.000</c:formatCode>
                <c:ptCount val="96"/>
                <c:pt idx="0">
                  <c:v>39.645456583396225</c:v>
                </c:pt>
                <c:pt idx="1">
                  <c:v>28.742904854222196</c:v>
                </c:pt>
                <c:pt idx="2">
                  <c:v>39.369533421059508</c:v>
                </c:pt>
                <c:pt idx="3">
                  <c:v>35.640768428102852</c:v>
                </c:pt>
                <c:pt idx="4">
                  <c:v>38.355507714735971</c:v>
                </c:pt>
                <c:pt idx="5">
                  <c:v>29.345566839890022</c:v>
                </c:pt>
                <c:pt idx="6">
                  <c:v>36.463198159789307</c:v>
                </c:pt>
                <c:pt idx="7">
                  <c:v>35.455946879836603</c:v>
                </c:pt>
                <c:pt idx="8">
                  <c:v>25.443584699087346</c:v>
                </c:pt>
                <c:pt idx="9">
                  <c:v>24.456389878309288</c:v>
                </c:pt>
                <c:pt idx="10">
                  <c:v>26.032136115911982</c:v>
                </c:pt>
                <c:pt idx="11">
                  <c:v>18.296415493334056</c:v>
                </c:pt>
                <c:pt idx="12">
                  <c:v>21.249458974659046</c:v>
                </c:pt>
                <c:pt idx="13">
                  <c:v>35.187040386560966</c:v>
                </c:pt>
                <c:pt idx="14">
                  <c:v>29.810545471853466</c:v>
                </c:pt>
                <c:pt idx="15">
                  <c:v>9.5741599740202101</c:v>
                </c:pt>
                <c:pt idx="16">
                  <c:v>34.406977289796167</c:v>
                </c:pt>
                <c:pt idx="17">
                  <c:v>24.729441430649075</c:v>
                </c:pt>
                <c:pt idx="18">
                  <c:v>30.425202491694701</c:v>
                </c:pt>
                <c:pt idx="19">
                  <c:v>27.962656108126847</c:v>
                </c:pt>
                <c:pt idx="20">
                  <c:v>38.263805902213079</c:v>
                </c:pt>
                <c:pt idx="21">
                  <c:v>40.919234617726914</c:v>
                </c:pt>
                <c:pt idx="22">
                  <c:v>32.232064192136171</c:v>
                </c:pt>
                <c:pt idx="23">
                  <c:v>23.911198459324371</c:v>
                </c:pt>
                <c:pt idx="24">
                  <c:v>17.331068420902895</c:v>
                </c:pt>
                <c:pt idx="25">
                  <c:v>32.285996877975236</c:v>
                </c:pt>
                <c:pt idx="26">
                  <c:v>29.232837847728149</c:v>
                </c:pt>
                <c:pt idx="27">
                  <c:v>20.428758714092439</c:v>
                </c:pt>
                <c:pt idx="28">
                  <c:v>13.109266947612063</c:v>
                </c:pt>
                <c:pt idx="29">
                  <c:v>27.691201483776123</c:v>
                </c:pt>
                <c:pt idx="30">
                  <c:v>44.036775639007523</c:v>
                </c:pt>
                <c:pt idx="31">
                  <c:v>31.869579878084458</c:v>
                </c:pt>
                <c:pt idx="32">
                  <c:v>39.651546869503818</c:v>
                </c:pt>
                <c:pt idx="33">
                  <c:v>21.716020453446596</c:v>
                </c:pt>
                <c:pt idx="34">
                  <c:v>28.862487240276568</c:v>
                </c:pt>
                <c:pt idx="35">
                  <c:v>21.432266257899443</c:v>
                </c:pt>
                <c:pt idx="36">
                  <c:v>35.919798352605596</c:v>
                </c:pt>
                <c:pt idx="37">
                  <c:v>29.751265901467569</c:v>
                </c:pt>
                <c:pt idx="38">
                  <c:v>17.414848637296785</c:v>
                </c:pt>
                <c:pt idx="39">
                  <c:v>30.009830800478195</c:v>
                </c:pt>
                <c:pt idx="40">
                  <c:v>30.791908264570221</c:v>
                </c:pt>
                <c:pt idx="41">
                  <c:v>34.691563207225272</c:v>
                </c:pt>
                <c:pt idx="42">
                  <c:v>37.683186838441159</c:v>
                </c:pt>
                <c:pt idx="43">
                  <c:v>40.94006952406091</c:v>
                </c:pt>
                <c:pt idx="44">
                  <c:v>26.502178779401593</c:v>
                </c:pt>
                <c:pt idx="45">
                  <c:v>27.868981957172135</c:v>
                </c:pt>
                <c:pt idx="46">
                  <c:v>39.431641163362293</c:v>
                </c:pt>
                <c:pt idx="47">
                  <c:v>26.50900706392347</c:v>
                </c:pt>
                <c:pt idx="48">
                  <c:v>95.676352165121884</c:v>
                </c:pt>
                <c:pt idx="49">
                  <c:v>79.412228909168903</c:v>
                </c:pt>
                <c:pt idx="50">
                  <c:v>87.359013166733888</c:v>
                </c:pt>
                <c:pt idx="51">
                  <c:v>80.203388791059325</c:v>
                </c:pt>
                <c:pt idx="52">
                  <c:v>73.505784301683235</c:v>
                </c:pt>
                <c:pt idx="53">
                  <c:v>77.991984810012738</c:v>
                </c:pt>
                <c:pt idx="54">
                  <c:v>74.43223351140314</c:v>
                </c:pt>
                <c:pt idx="55">
                  <c:v>72.170223328675746</c:v>
                </c:pt>
                <c:pt idx="56">
                  <c:v>74.178212802820894</c:v>
                </c:pt>
                <c:pt idx="57">
                  <c:v>76.927800845856368</c:v>
                </c:pt>
                <c:pt idx="58">
                  <c:v>71.310016358111767</c:v>
                </c:pt>
                <c:pt idx="59">
                  <c:v>67.173524646610915</c:v>
                </c:pt>
                <c:pt idx="60">
                  <c:v>65.129236714115137</c:v>
                </c:pt>
                <c:pt idx="61">
                  <c:v>68.27913876301389</c:v>
                </c:pt>
                <c:pt idx="62">
                  <c:v>65.631610794766416</c:v>
                </c:pt>
                <c:pt idx="63">
                  <c:v>55.735939623692062</c:v>
                </c:pt>
                <c:pt idx="64">
                  <c:v>51.144889047467956</c:v>
                </c:pt>
                <c:pt idx="65">
                  <c:v>54.04557165756178</c:v>
                </c:pt>
                <c:pt idx="66">
                  <c:v>53.147300424444779</c:v>
                </c:pt>
                <c:pt idx="67">
                  <c:v>50.455102302710593</c:v>
                </c:pt>
                <c:pt idx="68">
                  <c:v>53.140791125360266</c:v>
                </c:pt>
                <c:pt idx="69">
                  <c:v>33.92002009615323</c:v>
                </c:pt>
                <c:pt idx="70">
                  <c:v>36.862092971941742</c:v>
                </c:pt>
                <c:pt idx="71">
                  <c:v>34.483850526131711</c:v>
                </c:pt>
                <c:pt idx="72">
                  <c:v>41.767563527184244</c:v>
                </c:pt>
                <c:pt idx="73">
                  <c:v>46.671742210542483</c:v>
                </c:pt>
                <c:pt idx="74">
                  <c:v>39.612466210306977</c:v>
                </c:pt>
                <c:pt idx="75">
                  <c:v>45.055678199723602</c:v>
                </c:pt>
                <c:pt idx="76">
                  <c:v>49.347151014865034</c:v>
                </c:pt>
                <c:pt idx="77">
                  <c:v>42.461458430102837</c:v>
                </c:pt>
                <c:pt idx="78">
                  <c:v>30.74138169190935</c:v>
                </c:pt>
                <c:pt idx="79">
                  <c:v>49.693531204440781</c:v>
                </c:pt>
                <c:pt idx="80">
                  <c:v>37.24385996388542</c:v>
                </c:pt>
                <c:pt idx="81">
                  <c:v>40.079843078936001</c:v>
                </c:pt>
                <c:pt idx="82">
                  <c:v>40.521872281664393</c:v>
                </c:pt>
                <c:pt idx="83">
                  <c:v>37.747875326223209</c:v>
                </c:pt>
                <c:pt idx="84">
                  <c:v>34.82937236324355</c:v>
                </c:pt>
                <c:pt idx="85">
                  <c:v>34.702384925613089</c:v>
                </c:pt>
                <c:pt idx="86">
                  <c:v>31.476237240272116</c:v>
                </c:pt>
                <c:pt idx="87">
                  <c:v>36.065416543332461</c:v>
                </c:pt>
                <c:pt idx="88">
                  <c:v>30.949052692459428</c:v>
                </c:pt>
                <c:pt idx="89">
                  <c:v>25.744450365142487</c:v>
                </c:pt>
                <c:pt idx="90">
                  <c:v>37.55779534446684</c:v>
                </c:pt>
                <c:pt idx="91">
                  <c:v>35.69955160850747</c:v>
                </c:pt>
                <c:pt idx="92">
                  <c:v>29.688577585078416</c:v>
                </c:pt>
                <c:pt idx="93">
                  <c:v>33.08081782499211</c:v>
                </c:pt>
                <c:pt idx="94">
                  <c:v>36.599771247132161</c:v>
                </c:pt>
                <c:pt idx="95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ser>
          <c:idx val="1"/>
          <c:order val="2"/>
          <c:tx>
            <c:strRef>
              <c:f>'time series'!$BD$1:$BE$1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'time series'!$BE$3:$BE$99</c:f>
              <c:numCache>
                <c:formatCode>0.000</c:formatCode>
                <c:ptCount val="97"/>
                <c:pt idx="0">
                  <c:v>0</c:v>
                </c:pt>
                <c:pt idx="1">
                  <c:v>2.6341264755571236</c:v>
                </c:pt>
                <c:pt idx="2">
                  <c:v>0</c:v>
                </c:pt>
                <c:pt idx="3">
                  <c:v>0.94301257077332923</c:v>
                </c:pt>
                <c:pt idx="4">
                  <c:v>0.85369801821790758</c:v>
                </c:pt>
                <c:pt idx="5">
                  <c:v>1.4337670818766601</c:v>
                </c:pt>
                <c:pt idx="6">
                  <c:v>0</c:v>
                </c:pt>
                <c:pt idx="7">
                  <c:v>1.3630306659026687</c:v>
                </c:pt>
                <c:pt idx="8">
                  <c:v>1.3253786097986251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0.84282993801207295</c:v>
                </c:pt>
                <c:pt idx="15">
                  <c:v>0</c:v>
                </c:pt>
                <c:pt idx="16">
                  <c:v>0</c:v>
                </c:pt>
                <c:pt idx="17">
                  <c:v>0.82414520282920467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1.4303391767861682</c:v>
                </c:pt>
                <c:pt idx="22">
                  <c:v>1.5296017470769803</c:v>
                </c:pt>
                <c:pt idx="23">
                  <c:v>0.77204983330837018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1.6565781779208493</c:v>
                </c:pt>
                <c:pt idx="32">
                  <c:v>0</c:v>
                </c:pt>
                <c:pt idx="33">
                  <c:v>1.4916143680292888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1.3512332191173289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1.305029392663918</c:v>
                </c:pt>
                <c:pt idx="43">
                  <c:v>1.4175684773746229</c:v>
                </c:pt>
                <c:pt idx="44">
                  <c:v>1.5400860937703797</c:v>
                </c:pt>
                <c:pt idx="45">
                  <c:v>0</c:v>
                </c:pt>
                <c:pt idx="46">
                  <c:v>0</c:v>
                </c:pt>
                <c:pt idx="47">
                  <c:v>1.4833419414333771</c:v>
                </c:pt>
                <c:pt idx="48">
                  <c:v>0</c:v>
                </c:pt>
                <c:pt idx="49">
                  <c:v>95.676352165121884</c:v>
                </c:pt>
                <c:pt idx="50">
                  <c:v>71.543435277667356</c:v>
                </c:pt>
                <c:pt idx="51">
                  <c:v>66.854351281285957</c:v>
                </c:pt>
                <c:pt idx="52">
                  <c:v>61.378274934873566</c:v>
                </c:pt>
                <c:pt idx="53">
                  <c:v>47.341980837672772</c:v>
                </c:pt>
                <c:pt idx="54">
                  <c:v>77.991984810012738</c:v>
                </c:pt>
                <c:pt idx="55">
                  <c:v>53.808829864236309</c:v>
                </c:pt>
                <c:pt idx="56">
                  <c:v>61.597389943534637</c:v>
                </c:pt>
                <c:pt idx="57">
                  <c:v>63.311211862557116</c:v>
                </c:pt>
                <c:pt idx="58">
                  <c:v>73.022145027587399</c:v>
                </c:pt>
                <c:pt idx="59">
                  <c:v>51.551704910772195</c:v>
                </c:pt>
                <c:pt idx="60">
                  <c:v>33.730859714203561</c:v>
                </c:pt>
                <c:pt idx="61">
                  <c:v>28.628410556955167</c:v>
                </c:pt>
                <c:pt idx="62">
                  <c:v>41.388831291969147</c:v>
                </c:pt>
                <c:pt idx="63">
                  <c:v>28.849235675744573</c:v>
                </c:pt>
                <c:pt idx="64">
                  <c:v>15.500045367994668</c:v>
                </c:pt>
                <c:pt idx="65">
                  <c:v>10.790230895143178</c:v>
                </c:pt>
                <c:pt idx="66">
                  <c:v>19.133512637955096</c:v>
                </c:pt>
                <c:pt idx="67">
                  <c:v>14.780150354102295</c:v>
                </c:pt>
                <c:pt idx="68">
                  <c:v>14.031455825791664</c:v>
                </c:pt>
                <c:pt idx="69">
                  <c:v>12.34539531183685</c:v>
                </c:pt>
                <c:pt idx="70">
                  <c:v>5.1419993036118861</c:v>
                </c:pt>
                <c:pt idx="71">
                  <c:v>6.2867411572476559</c:v>
                </c:pt>
                <c:pt idx="72">
                  <c:v>3.9715182202198571</c:v>
                </c:pt>
                <c:pt idx="73">
                  <c:v>7.1233573433872648</c:v>
                </c:pt>
                <c:pt idx="74">
                  <c:v>10.842539135747256</c:v>
                </c:pt>
                <c:pt idx="75">
                  <c:v>6.7558106875259432</c:v>
                </c:pt>
                <c:pt idx="76">
                  <c:v>7.6841373798691208</c:v>
                </c:pt>
                <c:pt idx="77">
                  <c:v>10.410955295527302</c:v>
                </c:pt>
                <c:pt idx="78">
                  <c:v>6.4368119198931364</c:v>
                </c:pt>
                <c:pt idx="79">
                  <c:v>2.042521246779613</c:v>
                </c:pt>
                <c:pt idx="80">
                  <c:v>10.484032435641085</c:v>
                </c:pt>
                <c:pt idx="81">
                  <c:v>4.2893895600724381</c:v>
                </c:pt>
                <c:pt idx="82">
                  <c:v>4.6160108173222358</c:v>
                </c:pt>
                <c:pt idx="83">
                  <c:v>4.6669194892286621</c:v>
                </c:pt>
                <c:pt idx="84">
                  <c:v>4.3474372016279643</c:v>
                </c:pt>
                <c:pt idx="85">
                  <c:v>2.8601960321171336</c:v>
                </c:pt>
                <c:pt idx="86">
                  <c:v>2.8497677946671049</c:v>
                </c:pt>
                <c:pt idx="87">
                  <c:v>1.184075059507911</c:v>
                </c:pt>
                <c:pt idx="88">
                  <c:v>1.8645033862283766</c:v>
                </c:pt>
                <c:pt idx="89">
                  <c:v>1.1569064160416891</c:v>
                </c:pt>
                <c:pt idx="90">
                  <c:v>0.28684495288039541</c:v>
                </c:pt>
                <c:pt idx="91">
                  <c:v>3.691083782971293</c:v>
                </c:pt>
                <c:pt idx="92">
                  <c:v>3.508460355379234</c:v>
                </c:pt>
                <c:pt idx="93">
                  <c:v>1.5348347182729589</c:v>
                </c:pt>
                <c:pt idx="94">
                  <c:v>1.7102061411045784</c:v>
                </c:pt>
                <c:pt idx="95">
                  <c:v>2.9956172426443435</c:v>
                </c:pt>
                <c:pt idx="96">
                  <c:v>1.4835735797098351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9C-43ED-82BB-9ED569CD1DCE}"/>
            </c:ext>
          </c:extLst>
        </c:ser>
        <c:ser>
          <c:idx val="2"/>
          <c:order val="3"/>
          <c:tx>
            <c:strRef>
              <c:f>'time series'!$BF$1:$BG$1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series'!$AW$3:$AW$99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'time series'!$BG$3:$BG$99</c:f>
              <c:numCache>
                <c:formatCode>0.000</c:formatCode>
                <c:ptCount val="97"/>
                <c:pt idx="0">
                  <c:v>0</c:v>
                </c:pt>
                <c:pt idx="1">
                  <c:v>3.1385506316281808</c:v>
                </c:pt>
                <c:pt idx="2">
                  <c:v>0</c:v>
                </c:pt>
                <c:pt idx="3">
                  <c:v>3.0149271137922824</c:v>
                </c:pt>
                <c:pt idx="4">
                  <c:v>1.5498860044185083</c:v>
                </c:pt>
                <c:pt idx="5">
                  <c:v>2.5790595170512183</c:v>
                </c:pt>
                <c:pt idx="6">
                  <c:v>0</c:v>
                </c:pt>
                <c:pt idx="7">
                  <c:v>1.841064735381863</c:v>
                </c:pt>
                <c:pt idx="8">
                  <c:v>1.4868483382684763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1.3966836724291056</c:v>
                </c:pt>
                <c:pt idx="15">
                  <c:v>0</c:v>
                </c:pt>
                <c:pt idx="16">
                  <c:v>0</c:v>
                </c:pt>
                <c:pt idx="17">
                  <c:v>1.1454109770033036</c:v>
                </c:pt>
                <c:pt idx="18">
                  <c:v>0</c:v>
                </c:pt>
                <c:pt idx="19">
                  <c:v>8.9217516185325224E-2</c:v>
                </c:pt>
                <c:pt idx="20">
                  <c:v>0</c:v>
                </c:pt>
                <c:pt idx="21">
                  <c:v>2.5410553810636283</c:v>
                </c:pt>
                <c:pt idx="22">
                  <c:v>3.7377299715546499</c:v>
                </c:pt>
                <c:pt idx="23">
                  <c:v>0.52301864000048681</c:v>
                </c:pt>
                <c:pt idx="24">
                  <c:v>0</c:v>
                </c:pt>
                <c:pt idx="25">
                  <c:v>0</c:v>
                </c:pt>
                <c:pt idx="26">
                  <c:v>0.53710214205840578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5.4097489040653528</c:v>
                </c:pt>
                <c:pt idx="32">
                  <c:v>0.43009696853567603</c:v>
                </c:pt>
                <c:pt idx="33">
                  <c:v>3.1413038073301673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1.6467139308441905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0.17138314331855395</c:v>
                </c:pt>
                <c:pt idx="42">
                  <c:v>1.2353227109459894</c:v>
                </c:pt>
                <c:pt idx="43">
                  <c:v>2.3057853430803728</c:v>
                </c:pt>
                <c:pt idx="44">
                  <c:v>3.7479251013103743</c:v>
                </c:pt>
                <c:pt idx="45">
                  <c:v>0</c:v>
                </c:pt>
                <c:pt idx="46">
                  <c:v>0</c:v>
                </c:pt>
                <c:pt idx="47">
                  <c:v>3.0425644956329525</c:v>
                </c:pt>
                <c:pt idx="48">
                  <c:v>0</c:v>
                </c:pt>
                <c:pt idx="49">
                  <c:v>95.676352165121884</c:v>
                </c:pt>
                <c:pt idx="50">
                  <c:v>51.68263473228803</c:v>
                </c:pt>
                <c:pt idx="51">
                  <c:v>71.021541069653153</c:v>
                </c:pt>
                <c:pt idx="52">
                  <c:v>53.43456912568881</c:v>
                </c:pt>
                <c:pt idx="53">
                  <c:v>39.744362475480649</c:v>
                </c:pt>
                <c:pt idx="54">
                  <c:v>48.630059567312784</c:v>
                </c:pt>
                <c:pt idx="55">
                  <c:v>41.48729911571948</c:v>
                </c:pt>
                <c:pt idx="56">
                  <c:v>37.313825012048376</c:v>
                </c:pt>
                <c:pt idx="57">
                  <c:v>41.004723776914147</c:v>
                </c:pt>
                <c:pt idx="58">
                  <c:v>46.419437559321715</c:v>
                </c:pt>
                <c:pt idx="59">
                  <c:v>35.798916522499191</c:v>
                </c:pt>
                <c:pt idx="60">
                  <c:v>29.050497081818317</c:v>
                </c:pt>
                <c:pt idx="61">
                  <c:v>26.031842230685346</c:v>
                </c:pt>
                <c:pt idx="62">
                  <c:v>30.768951980214819</c:v>
                </c:pt>
                <c:pt idx="63">
                  <c:v>26.75482458821207</c:v>
                </c:pt>
                <c:pt idx="64">
                  <c:v>14.638270627587673</c:v>
                </c:pt>
                <c:pt idx="65">
                  <c:v>10.418497169619833</c:v>
                </c:pt>
                <c:pt idx="66">
                  <c:v>12.988496194911496</c:v>
                </c:pt>
                <c:pt idx="67">
                  <c:v>12.157964803001388</c:v>
                </c:pt>
                <c:pt idx="68">
                  <c:v>9.8542325598227745</c:v>
                </c:pt>
                <c:pt idx="69">
                  <c:v>12.152061372639519</c:v>
                </c:pt>
                <c:pt idx="70">
                  <c:v>0.99618885275303914</c:v>
                </c:pt>
                <c:pt idx="71">
                  <c:v>1.9886528080807033</c:v>
                </c:pt>
                <c:pt idx="72">
                  <c:v>1.1695004662320032</c:v>
                </c:pt>
                <c:pt idx="73">
                  <c:v>4.1632957074646608</c:v>
                </c:pt>
                <c:pt idx="74">
                  <c:v>7.0639156916121975</c:v>
                </c:pt>
                <c:pt idx="75">
                  <c:v>3.1236554347743439</c:v>
                </c:pt>
                <c:pt idx="76">
                  <c:v>6.0223566804147604</c:v>
                </c:pt>
                <c:pt idx="77">
                  <c:v>8.984418761852325</c:v>
                </c:pt>
                <c:pt idx="78">
                  <c:v>4.5275296551944759</c:v>
                </c:pt>
                <c:pt idx="79">
                  <c:v>0.15988718093415155</c:v>
                </c:pt>
                <c:pt idx="80">
                  <c:v>9.2515613824164742</c:v>
                </c:pt>
                <c:pt idx="81">
                  <c:v>2.1338544534609003</c:v>
                </c:pt>
                <c:pt idx="82">
                  <c:v>3.3375907653545278</c:v>
                </c:pt>
                <c:pt idx="83">
                  <c:v>3.5457375544434417</c:v>
                </c:pt>
                <c:pt idx="84">
                  <c:v>2.3315420131098517</c:v>
                </c:pt>
                <c:pt idx="85">
                  <c:v>1.2795853734533111</c:v>
                </c:pt>
                <c:pt idx="86">
                  <c:v>1.2387813895195521</c:v>
                </c:pt>
                <c:pt idx="87">
                  <c:v>0.33265074871762224</c:v>
                </c:pt>
                <c:pt idx="88">
                  <c:v>1.6980428017212159</c:v>
                </c:pt>
                <c:pt idx="89">
                  <c:v>0.20749626161984847</c:v>
                </c:pt>
                <c:pt idx="90">
                  <c:v>0</c:v>
                </c:pt>
                <c:pt idx="91">
                  <c:v>2.2561820414389335</c:v>
                </c:pt>
                <c:pt idx="92">
                  <c:v>1.5701184494453413</c:v>
                </c:pt>
                <c:pt idx="93">
                  <c:v>0</c:v>
                </c:pt>
                <c:pt idx="94">
                  <c:v>0.75250695967247161</c:v>
                </c:pt>
                <c:pt idx="95">
                  <c:v>1.8911237151959388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9C-43ED-82BB-9ED569CD1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'time series'!$BK$3:$BK$99</c:f>
              <c:numCache>
                <c:formatCode>General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'time series'!$BO$3:$BO$99</c:f>
              <c:numCache>
                <c:formatCode>0.0000</c:formatCode>
                <c:ptCount val="97"/>
                <c:pt idx="0">
                  <c:v>10.875164845487898</c:v>
                </c:pt>
                <c:pt idx="1">
                  <c:v>15.748320319549777</c:v>
                </c:pt>
                <c:pt idx="2">
                  <c:v>12.066221194363402</c:v>
                </c:pt>
                <c:pt idx="3">
                  <c:v>19.111877468079864</c:v>
                </c:pt>
                <c:pt idx="4">
                  <c:v>12.018145912051784</c:v>
                </c:pt>
                <c:pt idx="5">
                  <c:v>17.913948094183343</c:v>
                </c:pt>
                <c:pt idx="6">
                  <c:v>17.458877260440204</c:v>
                </c:pt>
                <c:pt idx="7">
                  <c:v>15.21431208453186</c:v>
                </c:pt>
                <c:pt idx="8">
                  <c:v>17.937153117662032</c:v>
                </c:pt>
                <c:pt idx="9">
                  <c:v>16.559248042606583</c:v>
                </c:pt>
                <c:pt idx="10">
                  <c:v>16.423068179312938</c:v>
                </c:pt>
                <c:pt idx="11">
                  <c:v>16.765922221792664</c:v>
                </c:pt>
                <c:pt idx="12">
                  <c:v>20.891773560215846</c:v>
                </c:pt>
                <c:pt idx="13">
                  <c:v>14.532252450264698</c:v>
                </c:pt>
                <c:pt idx="14">
                  <c:v>19.36533581285288</c:v>
                </c:pt>
                <c:pt idx="15">
                  <c:v>14.668705637021613</c:v>
                </c:pt>
                <c:pt idx="16">
                  <c:v>17.723391156156755</c:v>
                </c:pt>
                <c:pt idx="17">
                  <c:v>17.065717971301655</c:v>
                </c:pt>
                <c:pt idx="18">
                  <c:v>18.078436337261952</c:v>
                </c:pt>
                <c:pt idx="19">
                  <c:v>16.35730234789234</c:v>
                </c:pt>
                <c:pt idx="20">
                  <c:v>21.569598604395214</c:v>
                </c:pt>
                <c:pt idx="21">
                  <c:v>13.770258794495726</c:v>
                </c:pt>
                <c:pt idx="22">
                  <c:v>23.529760888500462</c:v>
                </c:pt>
                <c:pt idx="23">
                  <c:v>14.103573338744019</c:v>
                </c:pt>
                <c:pt idx="24">
                  <c:v>17.986219822151618</c:v>
                </c:pt>
                <c:pt idx="25">
                  <c:v>15.346395910764585</c:v>
                </c:pt>
                <c:pt idx="26">
                  <c:v>12.908616323576013</c:v>
                </c:pt>
                <c:pt idx="27">
                  <c:v>15.925659592037691</c:v>
                </c:pt>
                <c:pt idx="28">
                  <c:v>13.13836970151989</c:v>
                </c:pt>
                <c:pt idx="29">
                  <c:v>13.673606320140971</c:v>
                </c:pt>
                <c:pt idx="30">
                  <c:v>16.150601600219474</c:v>
                </c:pt>
                <c:pt idx="31">
                  <c:v>14.568523286898406</c:v>
                </c:pt>
                <c:pt idx="32">
                  <c:v>11.656744545137443</c:v>
                </c:pt>
                <c:pt idx="33">
                  <c:v>15.707436170187719</c:v>
                </c:pt>
                <c:pt idx="34">
                  <c:v>22.060976694544749</c:v>
                </c:pt>
                <c:pt idx="35">
                  <c:v>12.706893107070591</c:v>
                </c:pt>
                <c:pt idx="36">
                  <c:v>10.524156280775468</c:v>
                </c:pt>
                <c:pt idx="37">
                  <c:v>13.439060757187775</c:v>
                </c:pt>
                <c:pt idx="38">
                  <c:v>4.4346610980965808</c:v>
                </c:pt>
                <c:pt idx="39">
                  <c:v>10.364991684305219</c:v>
                </c:pt>
                <c:pt idx="40">
                  <c:v>10.398088933924949</c:v>
                </c:pt>
                <c:pt idx="41">
                  <c:v>6.4617752816755347</c:v>
                </c:pt>
                <c:pt idx="42">
                  <c:v>10.045533014601808</c:v>
                </c:pt>
                <c:pt idx="43">
                  <c:v>12.226564744054555</c:v>
                </c:pt>
                <c:pt idx="44">
                  <c:v>9.7866852259088297</c:v>
                </c:pt>
                <c:pt idx="45">
                  <c:v>12.835761755715284</c:v>
                </c:pt>
                <c:pt idx="46">
                  <c:v>12.340671763483735</c:v>
                </c:pt>
                <c:pt idx="47">
                  <c:v>11.642473616465129</c:v>
                </c:pt>
                <c:pt idx="48">
                  <c:v>12.230492954276334</c:v>
                </c:pt>
                <c:pt idx="49">
                  <c:v>15.058771778320695</c:v>
                </c:pt>
                <c:pt idx="50">
                  <c:v>14.698731953066492</c:v>
                </c:pt>
                <c:pt idx="51">
                  <c:v>12.483872311980331</c:v>
                </c:pt>
                <c:pt idx="52">
                  <c:v>14.042655042741387</c:v>
                </c:pt>
                <c:pt idx="53">
                  <c:v>13.446618973055477</c:v>
                </c:pt>
                <c:pt idx="54">
                  <c:v>15.173248420660251</c:v>
                </c:pt>
                <c:pt idx="55">
                  <c:v>11.648953119481169</c:v>
                </c:pt>
                <c:pt idx="56">
                  <c:v>25.573156472879504</c:v>
                </c:pt>
                <c:pt idx="57">
                  <c:v>67.633099751080081</c:v>
                </c:pt>
                <c:pt idx="58">
                  <c:v>54.018813623467587</c:v>
                </c:pt>
                <c:pt idx="59">
                  <c:v>106.83814356839687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89.15372486745953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99.414688875378118</c:v>
                </c:pt>
                <c:pt idx="88">
                  <c:v>101.39818079228969</c:v>
                </c:pt>
                <c:pt idx="89">
                  <c:v>108.53988152284299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112.54240468732938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102.22091020609001</c:v>
                </c:pt>
                <c:pt idx="96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ser>
          <c:idx val="1"/>
          <c:order val="2"/>
          <c:tx>
            <c:strRef>
              <c:f>'time series'!$BP$1:$BQ$1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'time series'!$BQ$3:$BQ$99</c:f>
              <c:numCache>
                <c:formatCode>0.0000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2.4313726584985909</c:v>
                </c:pt>
                <c:pt idx="4">
                  <c:v>0</c:v>
                </c:pt>
                <c:pt idx="5">
                  <c:v>0.60512974121363494</c:v>
                </c:pt>
                <c:pt idx="6">
                  <c:v>1.1146299848303067</c:v>
                </c:pt>
                <c:pt idx="7">
                  <c:v>0.51393655301734609</c:v>
                </c:pt>
                <c:pt idx="8">
                  <c:v>0.60591360246960646</c:v>
                </c:pt>
                <c:pt idx="9">
                  <c:v>0.55936823250975964</c:v>
                </c:pt>
                <c:pt idx="10">
                  <c:v>1.0399269692036037</c:v>
                </c:pt>
                <c:pt idx="11">
                  <c:v>0.56634964676355115</c:v>
                </c:pt>
                <c:pt idx="12">
                  <c:v>0.70572011605259743</c:v>
                </c:pt>
                <c:pt idx="13">
                  <c:v>0</c:v>
                </c:pt>
                <c:pt idx="14">
                  <c:v>2.463617093435905</c:v>
                </c:pt>
                <c:pt idx="15">
                  <c:v>0</c:v>
                </c:pt>
                <c:pt idx="16">
                  <c:v>1.1222648684031167</c:v>
                </c:pt>
                <c:pt idx="17">
                  <c:v>1.0806202698186482</c:v>
                </c:pt>
                <c:pt idx="18">
                  <c:v>2.2999004620157937</c:v>
                </c:pt>
                <c:pt idx="19">
                  <c:v>0.55254654555727156</c:v>
                </c:pt>
                <c:pt idx="20">
                  <c:v>2.7440387470621856</c:v>
                </c:pt>
                <c:pt idx="21">
                  <c:v>0</c:v>
                </c:pt>
                <c:pt idx="22">
                  <c:v>4.636710056894584</c:v>
                </c:pt>
                <c:pt idx="23">
                  <c:v>0</c:v>
                </c:pt>
                <c:pt idx="24">
                  <c:v>2.2881688718632427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1.022674081940866</c:v>
                </c:pt>
                <c:pt idx="31">
                  <c:v>0</c:v>
                </c:pt>
                <c:pt idx="32">
                  <c:v>0</c:v>
                </c:pt>
                <c:pt idx="33">
                  <c:v>7.9025585667509099E-2</c:v>
                </c:pt>
                <c:pt idx="34">
                  <c:v>3.553374591131861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7.064991555946433E-2</c:v>
                </c:pt>
                <c:pt idx="53">
                  <c:v>6.7651202149106013E-2</c:v>
                </c:pt>
                <c:pt idx="54">
                  <c:v>7.6338036960932859E-2</c:v>
                </c:pt>
                <c:pt idx="55">
                  <c:v>0</c:v>
                </c:pt>
                <c:pt idx="56">
                  <c:v>0</c:v>
                </c:pt>
                <c:pt idx="57">
                  <c:v>4.2826032062985764</c:v>
                </c:pt>
                <c:pt idx="58">
                  <c:v>19.006311826242779</c:v>
                </c:pt>
                <c:pt idx="59">
                  <c:v>80.048618777796804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52.175458201711351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92.739200484585211</c:v>
                </c:pt>
                <c:pt idx="88">
                  <c:v>101.39818079228969</c:v>
                </c:pt>
                <c:pt idx="89">
                  <c:v>101.25165553491027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104.98541764184407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65.164012076827049</c:v>
                </c:pt>
                <c:pt idx="96">
                  <c:v>61.811463712085661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EB-4121-873F-D6645B6FC30B}"/>
            </c:ext>
          </c:extLst>
        </c:ser>
        <c:ser>
          <c:idx val="2"/>
          <c:order val="3"/>
          <c:tx>
            <c:strRef>
              <c:f>'time series'!$BR$1:$BS$1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'time series'!$BI$3:$BI$99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'time series'!$BS$3:$BS$99</c:f>
              <c:numCache>
                <c:formatCode>0.0000</c:formatCode>
                <c:ptCount val="97"/>
                <c:pt idx="0">
                  <c:v>0</c:v>
                </c:pt>
                <c:pt idx="1">
                  <c:v>1.9220034848347695E-2</c:v>
                </c:pt>
                <c:pt idx="2">
                  <c:v>0</c:v>
                </c:pt>
                <c:pt idx="3">
                  <c:v>0.16086288654860084</c:v>
                </c:pt>
                <c:pt idx="4">
                  <c:v>0</c:v>
                </c:pt>
                <c:pt idx="5">
                  <c:v>0.10189316262406162</c:v>
                </c:pt>
                <c:pt idx="6">
                  <c:v>8.2046662544784335E-2</c:v>
                </c:pt>
                <c:pt idx="7">
                  <c:v>3.2068090085092169E-3</c:v>
                </c:pt>
                <c:pt idx="8">
                  <c:v>0.10294202697829542</c:v>
                </c:pt>
                <c:pt idx="9">
                  <c:v>4.6749690788670452E-2</c:v>
                </c:pt>
                <c:pt idx="10">
                  <c:v>4.1848780518970619E-2</c:v>
                </c:pt>
                <c:pt idx="11">
                  <c:v>5.4406499051739547E-2</c:v>
                </c:pt>
                <c:pt idx="12">
                  <c:v>0.26766693638989486</c:v>
                </c:pt>
                <c:pt idx="13">
                  <c:v>0</c:v>
                </c:pt>
                <c:pt idx="14">
                  <c:v>0.17463478638414506</c:v>
                </c:pt>
                <c:pt idx="15">
                  <c:v>0</c:v>
                </c:pt>
                <c:pt idx="16">
                  <c:v>9.3415956659879604E-2</c:v>
                </c:pt>
                <c:pt idx="17">
                  <c:v>6.5988654420514284E-2</c:v>
                </c:pt>
                <c:pt idx="18">
                  <c:v>0.10940610717239509</c:v>
                </c:pt>
                <c:pt idx="19">
                  <c:v>3.9522645971062247E-2</c:v>
                </c:pt>
                <c:pt idx="20">
                  <c:v>0.31476785189516326</c:v>
                </c:pt>
                <c:pt idx="21">
                  <c:v>0</c:v>
                </c:pt>
                <c:pt idx="22">
                  <c:v>0.47242070860678842</c:v>
                </c:pt>
                <c:pt idx="23">
                  <c:v>0</c:v>
                </c:pt>
                <c:pt idx="24">
                  <c:v>0.10517173170665636</c:v>
                </c:pt>
                <c:pt idx="25">
                  <c:v>7.0153751303236771E-3</c:v>
                </c:pt>
                <c:pt idx="26">
                  <c:v>0</c:v>
                </c:pt>
                <c:pt idx="27">
                  <c:v>2.490429180185923E-2</c:v>
                </c:pt>
                <c:pt idx="28">
                  <c:v>0</c:v>
                </c:pt>
                <c:pt idx="29">
                  <c:v>0</c:v>
                </c:pt>
                <c:pt idx="30">
                  <c:v>3.2382664637225729E-2</c:v>
                </c:pt>
                <c:pt idx="31">
                  <c:v>0</c:v>
                </c:pt>
                <c:pt idx="32">
                  <c:v>0</c:v>
                </c:pt>
                <c:pt idx="33">
                  <c:v>1.7935773117182086E-2</c:v>
                </c:pt>
                <c:pt idx="34">
                  <c:v>0.35124025321698771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2.0428824292794598E-3</c:v>
                </c:pt>
                <c:pt idx="55">
                  <c:v>0</c:v>
                </c:pt>
                <c:pt idx="56">
                  <c:v>0.67320736429236505</c:v>
                </c:pt>
                <c:pt idx="57">
                  <c:v>18.765190105082475</c:v>
                </c:pt>
                <c:pt idx="58">
                  <c:v>9.2003097931704492</c:v>
                </c:pt>
                <c:pt idx="59">
                  <c:v>77.653183502580859</c:v>
                </c:pt>
                <c:pt idx="60">
                  <c:v>62.69224884425352</c:v>
                </c:pt>
                <c:pt idx="61">
                  <c:v>57.758180886880318</c:v>
                </c:pt>
                <c:pt idx="62">
                  <c:v>44.405693102380802</c:v>
                </c:pt>
                <c:pt idx="63">
                  <c:v>67.70992211720521</c:v>
                </c:pt>
                <c:pt idx="64">
                  <c:v>62.713882327805969</c:v>
                </c:pt>
                <c:pt idx="65">
                  <c:v>46.935367242657946</c:v>
                </c:pt>
                <c:pt idx="66">
                  <c:v>64.089534614246134</c:v>
                </c:pt>
                <c:pt idx="67">
                  <c:v>51.680470800700711</c:v>
                </c:pt>
                <c:pt idx="68">
                  <c:v>68.904682502126832</c:v>
                </c:pt>
                <c:pt idx="69">
                  <c:v>45.720436940195277</c:v>
                </c:pt>
                <c:pt idx="70">
                  <c:v>53.097333058223846</c:v>
                </c:pt>
                <c:pt idx="71">
                  <c:v>74.796211943945977</c:v>
                </c:pt>
                <c:pt idx="72">
                  <c:v>88.287970029573415</c:v>
                </c:pt>
                <c:pt idx="73">
                  <c:v>53.650908340909908</c:v>
                </c:pt>
                <c:pt idx="74">
                  <c:v>50.283288883626717</c:v>
                </c:pt>
                <c:pt idx="75">
                  <c:v>47.982725942026676</c:v>
                </c:pt>
                <c:pt idx="76">
                  <c:v>42.482090319369981</c:v>
                </c:pt>
                <c:pt idx="77">
                  <c:v>44.442503759262237</c:v>
                </c:pt>
                <c:pt idx="78">
                  <c:v>45.115593343972066</c:v>
                </c:pt>
                <c:pt idx="79">
                  <c:v>59.708011830718576</c:v>
                </c:pt>
                <c:pt idx="80">
                  <c:v>51.211708517655161</c:v>
                </c:pt>
                <c:pt idx="81">
                  <c:v>48.792619665907367</c:v>
                </c:pt>
                <c:pt idx="82">
                  <c:v>57.853209428388254</c:v>
                </c:pt>
                <c:pt idx="83">
                  <c:v>77.793031189950611</c:v>
                </c:pt>
                <c:pt idx="84">
                  <c:v>54.264755771622013</c:v>
                </c:pt>
                <c:pt idx="85">
                  <c:v>70.461620712499112</c:v>
                </c:pt>
                <c:pt idx="86">
                  <c:v>68.773007123019553</c:v>
                </c:pt>
                <c:pt idx="87">
                  <c:v>62.190606291201085</c:v>
                </c:pt>
                <c:pt idx="88">
                  <c:v>66.099519805683229</c:v>
                </c:pt>
                <c:pt idx="89">
                  <c:v>81.525863488695393</c:v>
                </c:pt>
                <c:pt idx="90">
                  <c:v>124.59799853071195</c:v>
                </c:pt>
                <c:pt idx="91">
                  <c:v>88.002858439816848</c:v>
                </c:pt>
                <c:pt idx="92">
                  <c:v>91.137817213437387</c:v>
                </c:pt>
                <c:pt idx="93">
                  <c:v>76.117648960651763</c:v>
                </c:pt>
                <c:pt idx="94">
                  <c:v>91.941388226094645</c:v>
                </c:pt>
                <c:pt idx="95">
                  <c:v>67.767770702892122</c:v>
                </c:pt>
                <c:pt idx="96">
                  <c:v>57.573720538636998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B-4121-873F-D6645B6FC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1 -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series'!$BU$3:$BU$87</c:f>
              <c:numCache>
                <c:formatCode>m/d/yyyy\ h:mm</c:formatCode>
                <c:ptCount val="85"/>
                <c:pt idx="0">
                  <c:v>45046.333333333336</c:v>
                </c:pt>
                <c:pt idx="1">
                  <c:v>45046.34375</c:v>
                </c:pt>
                <c:pt idx="2">
                  <c:v>45046.354166666664</c:v>
                </c:pt>
                <c:pt idx="3">
                  <c:v>45046.364583333336</c:v>
                </c:pt>
                <c:pt idx="4">
                  <c:v>45046.375</c:v>
                </c:pt>
                <c:pt idx="5">
                  <c:v>45046.385416666664</c:v>
                </c:pt>
                <c:pt idx="6">
                  <c:v>45046.395833333336</c:v>
                </c:pt>
                <c:pt idx="7">
                  <c:v>45046.40625</c:v>
                </c:pt>
                <c:pt idx="8">
                  <c:v>45046.416666666664</c:v>
                </c:pt>
                <c:pt idx="9">
                  <c:v>45046.427083333336</c:v>
                </c:pt>
                <c:pt idx="10">
                  <c:v>45046.4375</c:v>
                </c:pt>
                <c:pt idx="11">
                  <c:v>45046.447916666664</c:v>
                </c:pt>
                <c:pt idx="12">
                  <c:v>45046.458333333336</c:v>
                </c:pt>
                <c:pt idx="13">
                  <c:v>45046.46875</c:v>
                </c:pt>
                <c:pt idx="14">
                  <c:v>45046.479166666664</c:v>
                </c:pt>
                <c:pt idx="15">
                  <c:v>45046.489583333336</c:v>
                </c:pt>
                <c:pt idx="16">
                  <c:v>45046.5</c:v>
                </c:pt>
                <c:pt idx="17">
                  <c:v>45046.510416666664</c:v>
                </c:pt>
                <c:pt idx="18">
                  <c:v>45046.520833333336</c:v>
                </c:pt>
                <c:pt idx="19">
                  <c:v>45046.53125</c:v>
                </c:pt>
                <c:pt idx="20">
                  <c:v>45046.541666666664</c:v>
                </c:pt>
                <c:pt idx="21">
                  <c:v>45046.552083333336</c:v>
                </c:pt>
                <c:pt idx="22">
                  <c:v>45046.5625</c:v>
                </c:pt>
                <c:pt idx="23">
                  <c:v>45046.572916666664</c:v>
                </c:pt>
                <c:pt idx="24">
                  <c:v>45046.583333333336</c:v>
                </c:pt>
                <c:pt idx="25">
                  <c:v>45046.59375</c:v>
                </c:pt>
                <c:pt idx="26">
                  <c:v>45046.604166666664</c:v>
                </c:pt>
                <c:pt idx="27">
                  <c:v>45046.614583333336</c:v>
                </c:pt>
                <c:pt idx="28">
                  <c:v>45046.625</c:v>
                </c:pt>
                <c:pt idx="29">
                  <c:v>45046.635416666664</c:v>
                </c:pt>
                <c:pt idx="30">
                  <c:v>45046.645833333336</c:v>
                </c:pt>
                <c:pt idx="31">
                  <c:v>45046.65625</c:v>
                </c:pt>
                <c:pt idx="32">
                  <c:v>45046.666666666664</c:v>
                </c:pt>
                <c:pt idx="33">
                  <c:v>45046.677083333336</c:v>
                </c:pt>
                <c:pt idx="34">
                  <c:v>45046.6875</c:v>
                </c:pt>
                <c:pt idx="35">
                  <c:v>45046.697916666664</c:v>
                </c:pt>
                <c:pt idx="36">
                  <c:v>45046.708333333336</c:v>
                </c:pt>
                <c:pt idx="37">
                  <c:v>45046.71875</c:v>
                </c:pt>
                <c:pt idx="38">
                  <c:v>45046.729166666664</c:v>
                </c:pt>
                <c:pt idx="39">
                  <c:v>45046.739583333336</c:v>
                </c:pt>
                <c:pt idx="40">
                  <c:v>45046.75</c:v>
                </c:pt>
                <c:pt idx="41">
                  <c:v>45046.760416666664</c:v>
                </c:pt>
                <c:pt idx="42">
                  <c:v>45046.770833333336</c:v>
                </c:pt>
                <c:pt idx="43">
                  <c:v>45046.78125</c:v>
                </c:pt>
                <c:pt idx="44">
                  <c:v>45046.791666666664</c:v>
                </c:pt>
                <c:pt idx="45">
                  <c:v>45046.802083333336</c:v>
                </c:pt>
                <c:pt idx="46">
                  <c:v>45046.8125</c:v>
                </c:pt>
                <c:pt idx="47">
                  <c:v>45046.822916666664</c:v>
                </c:pt>
                <c:pt idx="48">
                  <c:v>45046.833333333336</c:v>
                </c:pt>
                <c:pt idx="49">
                  <c:v>45046.84375</c:v>
                </c:pt>
                <c:pt idx="50">
                  <c:v>45046.854166666664</c:v>
                </c:pt>
                <c:pt idx="51">
                  <c:v>45046.864583333336</c:v>
                </c:pt>
                <c:pt idx="52">
                  <c:v>45046.875</c:v>
                </c:pt>
                <c:pt idx="53">
                  <c:v>45046.885416666664</c:v>
                </c:pt>
                <c:pt idx="54">
                  <c:v>45046.895833333336</c:v>
                </c:pt>
                <c:pt idx="55">
                  <c:v>45046.90625</c:v>
                </c:pt>
                <c:pt idx="56">
                  <c:v>45046.916666666664</c:v>
                </c:pt>
                <c:pt idx="57">
                  <c:v>45046.927083333336</c:v>
                </c:pt>
                <c:pt idx="58">
                  <c:v>45046.9375</c:v>
                </c:pt>
                <c:pt idx="59">
                  <c:v>45046.947916666664</c:v>
                </c:pt>
                <c:pt idx="60">
                  <c:v>45046.958333333336</c:v>
                </c:pt>
                <c:pt idx="61">
                  <c:v>45046.96875</c:v>
                </c:pt>
                <c:pt idx="62">
                  <c:v>45046.979166666664</c:v>
                </c:pt>
                <c:pt idx="63">
                  <c:v>45046.989583333336</c:v>
                </c:pt>
                <c:pt idx="64">
                  <c:v>45047</c:v>
                </c:pt>
                <c:pt idx="65">
                  <c:v>45047.010416666664</c:v>
                </c:pt>
                <c:pt idx="66">
                  <c:v>45047.020833333336</c:v>
                </c:pt>
                <c:pt idx="67">
                  <c:v>45047.03125</c:v>
                </c:pt>
                <c:pt idx="68">
                  <c:v>45047.041666666664</c:v>
                </c:pt>
                <c:pt idx="69">
                  <c:v>45047.052083333336</c:v>
                </c:pt>
                <c:pt idx="70">
                  <c:v>45047.0625</c:v>
                </c:pt>
                <c:pt idx="71">
                  <c:v>45047.072916666664</c:v>
                </c:pt>
                <c:pt idx="72">
                  <c:v>45047.083333333336</c:v>
                </c:pt>
                <c:pt idx="73">
                  <c:v>45047.09375</c:v>
                </c:pt>
                <c:pt idx="74">
                  <c:v>45047.104166666664</c:v>
                </c:pt>
                <c:pt idx="75">
                  <c:v>45047.114583333336</c:v>
                </c:pt>
                <c:pt idx="76">
                  <c:v>45047.125</c:v>
                </c:pt>
                <c:pt idx="77">
                  <c:v>45047.135416666664</c:v>
                </c:pt>
                <c:pt idx="78">
                  <c:v>45047.145833333336</c:v>
                </c:pt>
                <c:pt idx="79">
                  <c:v>45047.15625</c:v>
                </c:pt>
                <c:pt idx="80">
                  <c:v>45047.166666666664</c:v>
                </c:pt>
                <c:pt idx="81">
                  <c:v>45047.177083333336</c:v>
                </c:pt>
                <c:pt idx="82">
                  <c:v>45047.1875</c:v>
                </c:pt>
                <c:pt idx="83">
                  <c:v>45047.197916666664</c:v>
                </c:pt>
                <c:pt idx="84">
                  <c:v>45047.208333333336</c:v>
                </c:pt>
              </c:numCache>
            </c:numRef>
          </c:xVal>
          <c:yVal>
            <c:numRef>
              <c:f>'time series'!$BW$3:$BW$87</c:f>
              <c:numCache>
                <c:formatCode>0.000</c:formatCode>
                <c:ptCount val="85"/>
                <c:pt idx="0">
                  <c:v>66.647934039999996</c:v>
                </c:pt>
                <c:pt idx="1">
                  <c:v>70.271667750000006</c:v>
                </c:pt>
                <c:pt idx="2">
                  <c:v>68.466857000000005</c:v>
                </c:pt>
                <c:pt idx="3">
                  <c:v>69.36581735</c:v>
                </c:pt>
                <c:pt idx="4">
                  <c:v>69.36581735</c:v>
                </c:pt>
                <c:pt idx="5">
                  <c:v>67.106545600000004</c:v>
                </c:pt>
                <c:pt idx="6">
                  <c:v>68.466857000000005</c:v>
                </c:pt>
                <c:pt idx="7">
                  <c:v>68.466857000000005</c:v>
                </c:pt>
                <c:pt idx="8">
                  <c:v>67.106545600000004</c:v>
                </c:pt>
                <c:pt idx="9">
                  <c:v>68.008627450000006</c:v>
                </c:pt>
                <c:pt idx="10">
                  <c:v>68.466857000000005</c:v>
                </c:pt>
                <c:pt idx="11">
                  <c:v>69.822823</c:v>
                </c:pt>
                <c:pt idx="12">
                  <c:v>68.466857000000005</c:v>
                </c:pt>
                <c:pt idx="13">
                  <c:v>68.466857000000005</c:v>
                </c:pt>
                <c:pt idx="14">
                  <c:v>68.008627450000006</c:v>
                </c:pt>
                <c:pt idx="15">
                  <c:v>69.822823</c:v>
                </c:pt>
                <c:pt idx="16">
                  <c:v>64.837941950000001</c:v>
                </c:pt>
                <c:pt idx="17">
                  <c:v>69.36581735</c:v>
                </c:pt>
                <c:pt idx="18">
                  <c:v>70.720093730000002</c:v>
                </c:pt>
                <c:pt idx="19">
                  <c:v>70.720093730000002</c:v>
                </c:pt>
                <c:pt idx="20">
                  <c:v>72.069636250000002</c:v>
                </c:pt>
                <c:pt idx="21">
                  <c:v>75.208694050000005</c:v>
                </c:pt>
                <c:pt idx="22">
                  <c:v>72.069636250000002</c:v>
                </c:pt>
                <c:pt idx="23">
                  <c:v>76.544179459999995</c:v>
                </c:pt>
                <c:pt idx="24">
                  <c:v>78.762941850000004</c:v>
                </c:pt>
                <c:pt idx="25">
                  <c:v>76.544179459999995</c:v>
                </c:pt>
                <c:pt idx="26">
                  <c:v>80.523852189999999</c:v>
                </c:pt>
                <c:pt idx="27">
                  <c:v>79.202259850000004</c:v>
                </c:pt>
                <c:pt idx="28">
                  <c:v>83.594462070000006</c:v>
                </c:pt>
                <c:pt idx="29">
                  <c:v>83.594462070000006</c:v>
                </c:pt>
                <c:pt idx="30">
                  <c:v>84.027783200000002</c:v>
                </c:pt>
                <c:pt idx="31">
                  <c:v>82.718647970000006</c:v>
                </c:pt>
                <c:pt idx="32">
                  <c:v>81.405228940000001</c:v>
                </c:pt>
                <c:pt idx="33">
                  <c:v>80.079324720000002</c:v>
                </c:pt>
                <c:pt idx="34">
                  <c:v>84.891986889999998</c:v>
                </c:pt>
                <c:pt idx="35">
                  <c:v>82.276892649999994</c:v>
                </c:pt>
                <c:pt idx="36">
                  <c:v>82.276892649999994</c:v>
                </c:pt>
                <c:pt idx="37">
                  <c:v>79.202259850000004</c:v>
                </c:pt>
                <c:pt idx="38">
                  <c:v>80.523852189999999</c:v>
                </c:pt>
                <c:pt idx="39">
                  <c:v>80.523852189999999</c:v>
                </c:pt>
                <c:pt idx="40">
                  <c:v>81.397704649999994</c:v>
                </c:pt>
                <c:pt idx="41">
                  <c:v>82.276892649999994</c:v>
                </c:pt>
                <c:pt idx="42">
                  <c:v>85.762083380000007</c:v>
                </c:pt>
                <c:pt idx="43">
                  <c:v>85.762083380000007</c:v>
                </c:pt>
                <c:pt idx="44">
                  <c:v>84.891986889999998</c:v>
                </c:pt>
                <c:pt idx="45">
                  <c:v>83.586986100000004</c:v>
                </c:pt>
                <c:pt idx="46">
                  <c:v>85.762083380000007</c:v>
                </c:pt>
                <c:pt idx="47">
                  <c:v>84.891986889999998</c:v>
                </c:pt>
                <c:pt idx="48">
                  <c:v>83.586986100000004</c:v>
                </c:pt>
                <c:pt idx="49">
                  <c:v>85.762083380000007</c:v>
                </c:pt>
                <c:pt idx="50">
                  <c:v>86.192545629999998</c:v>
                </c:pt>
                <c:pt idx="51">
                  <c:v>84.891986889999998</c:v>
                </c:pt>
                <c:pt idx="52">
                  <c:v>87.058386479999996</c:v>
                </c:pt>
                <c:pt idx="53">
                  <c:v>82.276892649999994</c:v>
                </c:pt>
                <c:pt idx="54">
                  <c:v>84.891986889999998</c:v>
                </c:pt>
                <c:pt idx="55">
                  <c:v>82.276892649999994</c:v>
                </c:pt>
                <c:pt idx="56">
                  <c:v>82.711152870000006</c:v>
                </c:pt>
                <c:pt idx="57">
                  <c:v>81.397704649999994</c:v>
                </c:pt>
                <c:pt idx="58">
                  <c:v>85.762083380000007</c:v>
                </c:pt>
                <c:pt idx="59">
                  <c:v>82.276892649999994</c:v>
                </c:pt>
                <c:pt idx="60">
                  <c:v>81.405228940000001</c:v>
                </c:pt>
                <c:pt idx="61">
                  <c:v>77.875916610000004</c:v>
                </c:pt>
                <c:pt idx="62">
                  <c:v>77.875916610000004</c:v>
                </c:pt>
                <c:pt idx="63">
                  <c:v>80.961047410000006</c:v>
                </c:pt>
                <c:pt idx="64">
                  <c:v>82.276892649999994</c:v>
                </c:pt>
                <c:pt idx="65">
                  <c:v>82.276892649999994</c:v>
                </c:pt>
                <c:pt idx="66">
                  <c:v>81.405228940000001</c:v>
                </c:pt>
                <c:pt idx="67">
                  <c:v>82.276892649999994</c:v>
                </c:pt>
                <c:pt idx="68">
                  <c:v>80.961047410000006</c:v>
                </c:pt>
                <c:pt idx="69">
                  <c:v>83.586986100000004</c:v>
                </c:pt>
                <c:pt idx="70">
                  <c:v>83.153095449999995</c:v>
                </c:pt>
                <c:pt idx="71">
                  <c:v>82.276892649999994</c:v>
                </c:pt>
                <c:pt idx="72">
                  <c:v>82.276892649999994</c:v>
                </c:pt>
                <c:pt idx="73">
                  <c:v>82.284398269999997</c:v>
                </c:pt>
                <c:pt idx="74">
                  <c:v>82.284398269999997</c:v>
                </c:pt>
                <c:pt idx="75">
                  <c:v>81.405228940000001</c:v>
                </c:pt>
                <c:pt idx="76">
                  <c:v>81.405228940000001</c:v>
                </c:pt>
                <c:pt idx="77">
                  <c:v>82.276892649999994</c:v>
                </c:pt>
                <c:pt idx="78">
                  <c:v>82.284398269999997</c:v>
                </c:pt>
                <c:pt idx="79">
                  <c:v>82.284398269999997</c:v>
                </c:pt>
                <c:pt idx="80">
                  <c:v>80.086877509999994</c:v>
                </c:pt>
                <c:pt idx="81">
                  <c:v>83.594462070000006</c:v>
                </c:pt>
                <c:pt idx="82">
                  <c:v>82.276892649999994</c:v>
                </c:pt>
                <c:pt idx="83">
                  <c:v>82.718647970000006</c:v>
                </c:pt>
                <c:pt idx="84">
                  <c:v>81.405228940000001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F4-43E1-9057-9BBC31330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series'!$BU$3:$BU$87</c:f>
              <c:numCache>
                <c:formatCode>m/d/yyyy\ h:mm</c:formatCode>
                <c:ptCount val="85"/>
                <c:pt idx="0">
                  <c:v>45046.333333333336</c:v>
                </c:pt>
                <c:pt idx="1">
                  <c:v>45046.34375</c:v>
                </c:pt>
                <c:pt idx="2">
                  <c:v>45046.354166666664</c:v>
                </c:pt>
                <c:pt idx="3">
                  <c:v>45046.364583333336</c:v>
                </c:pt>
                <c:pt idx="4">
                  <c:v>45046.375</c:v>
                </c:pt>
                <c:pt idx="5">
                  <c:v>45046.385416666664</c:v>
                </c:pt>
                <c:pt idx="6">
                  <c:v>45046.395833333336</c:v>
                </c:pt>
                <c:pt idx="7">
                  <c:v>45046.40625</c:v>
                </c:pt>
                <c:pt idx="8">
                  <c:v>45046.416666666664</c:v>
                </c:pt>
                <c:pt idx="9">
                  <c:v>45046.427083333336</c:v>
                </c:pt>
                <c:pt idx="10">
                  <c:v>45046.4375</c:v>
                </c:pt>
                <c:pt idx="11">
                  <c:v>45046.447916666664</c:v>
                </c:pt>
                <c:pt idx="12">
                  <c:v>45046.458333333336</c:v>
                </c:pt>
                <c:pt idx="13">
                  <c:v>45046.46875</c:v>
                </c:pt>
                <c:pt idx="14">
                  <c:v>45046.479166666664</c:v>
                </c:pt>
                <c:pt idx="15">
                  <c:v>45046.489583333336</c:v>
                </c:pt>
                <c:pt idx="16">
                  <c:v>45046.5</c:v>
                </c:pt>
                <c:pt idx="17">
                  <c:v>45046.510416666664</c:v>
                </c:pt>
                <c:pt idx="18">
                  <c:v>45046.520833333336</c:v>
                </c:pt>
                <c:pt idx="19">
                  <c:v>45046.53125</c:v>
                </c:pt>
                <c:pt idx="20">
                  <c:v>45046.541666666664</c:v>
                </c:pt>
                <c:pt idx="21">
                  <c:v>45046.552083333336</c:v>
                </c:pt>
                <c:pt idx="22">
                  <c:v>45046.5625</c:v>
                </c:pt>
                <c:pt idx="23">
                  <c:v>45046.572916666664</c:v>
                </c:pt>
                <c:pt idx="24">
                  <c:v>45046.583333333336</c:v>
                </c:pt>
                <c:pt idx="25">
                  <c:v>45046.59375</c:v>
                </c:pt>
                <c:pt idx="26">
                  <c:v>45046.604166666664</c:v>
                </c:pt>
                <c:pt idx="27">
                  <c:v>45046.614583333336</c:v>
                </c:pt>
                <c:pt idx="28">
                  <c:v>45046.625</c:v>
                </c:pt>
                <c:pt idx="29">
                  <c:v>45046.635416666664</c:v>
                </c:pt>
                <c:pt idx="30">
                  <c:v>45046.645833333336</c:v>
                </c:pt>
                <c:pt idx="31">
                  <c:v>45046.65625</c:v>
                </c:pt>
                <c:pt idx="32">
                  <c:v>45046.666666666664</c:v>
                </c:pt>
                <c:pt idx="33">
                  <c:v>45046.677083333336</c:v>
                </c:pt>
                <c:pt idx="34">
                  <c:v>45046.6875</c:v>
                </c:pt>
                <c:pt idx="35">
                  <c:v>45046.697916666664</c:v>
                </c:pt>
                <c:pt idx="36">
                  <c:v>45046.708333333336</c:v>
                </c:pt>
                <c:pt idx="37">
                  <c:v>45046.71875</c:v>
                </c:pt>
                <c:pt idx="38">
                  <c:v>45046.729166666664</c:v>
                </c:pt>
                <c:pt idx="39">
                  <c:v>45046.739583333336</c:v>
                </c:pt>
                <c:pt idx="40">
                  <c:v>45046.75</c:v>
                </c:pt>
                <c:pt idx="41">
                  <c:v>45046.760416666664</c:v>
                </c:pt>
                <c:pt idx="42">
                  <c:v>45046.770833333336</c:v>
                </c:pt>
                <c:pt idx="43">
                  <c:v>45046.78125</c:v>
                </c:pt>
                <c:pt idx="44">
                  <c:v>45046.791666666664</c:v>
                </c:pt>
                <c:pt idx="45">
                  <c:v>45046.802083333336</c:v>
                </c:pt>
                <c:pt idx="46">
                  <c:v>45046.8125</c:v>
                </c:pt>
                <c:pt idx="47">
                  <c:v>45046.822916666664</c:v>
                </c:pt>
                <c:pt idx="48">
                  <c:v>45046.833333333336</c:v>
                </c:pt>
                <c:pt idx="49">
                  <c:v>45046.84375</c:v>
                </c:pt>
                <c:pt idx="50">
                  <c:v>45046.854166666664</c:v>
                </c:pt>
                <c:pt idx="51">
                  <c:v>45046.864583333336</c:v>
                </c:pt>
                <c:pt idx="52">
                  <c:v>45046.875</c:v>
                </c:pt>
                <c:pt idx="53">
                  <c:v>45046.885416666664</c:v>
                </c:pt>
                <c:pt idx="54">
                  <c:v>45046.895833333336</c:v>
                </c:pt>
                <c:pt idx="55">
                  <c:v>45046.90625</c:v>
                </c:pt>
                <c:pt idx="56">
                  <c:v>45046.916666666664</c:v>
                </c:pt>
                <c:pt idx="57">
                  <c:v>45046.927083333336</c:v>
                </c:pt>
                <c:pt idx="58">
                  <c:v>45046.9375</c:v>
                </c:pt>
                <c:pt idx="59">
                  <c:v>45046.947916666664</c:v>
                </c:pt>
                <c:pt idx="60">
                  <c:v>45046.958333333336</c:v>
                </c:pt>
                <c:pt idx="61">
                  <c:v>45046.96875</c:v>
                </c:pt>
                <c:pt idx="62">
                  <c:v>45046.979166666664</c:v>
                </c:pt>
                <c:pt idx="63">
                  <c:v>45046.989583333336</c:v>
                </c:pt>
                <c:pt idx="64">
                  <c:v>45047</c:v>
                </c:pt>
                <c:pt idx="65">
                  <c:v>45047.010416666664</c:v>
                </c:pt>
                <c:pt idx="66">
                  <c:v>45047.020833333336</c:v>
                </c:pt>
                <c:pt idx="67">
                  <c:v>45047.03125</c:v>
                </c:pt>
                <c:pt idx="68">
                  <c:v>45047.041666666664</c:v>
                </c:pt>
                <c:pt idx="69">
                  <c:v>45047.052083333336</c:v>
                </c:pt>
                <c:pt idx="70">
                  <c:v>45047.0625</c:v>
                </c:pt>
                <c:pt idx="71">
                  <c:v>45047.072916666664</c:v>
                </c:pt>
                <c:pt idx="72">
                  <c:v>45047.083333333336</c:v>
                </c:pt>
                <c:pt idx="73">
                  <c:v>45047.09375</c:v>
                </c:pt>
                <c:pt idx="74">
                  <c:v>45047.104166666664</c:v>
                </c:pt>
                <c:pt idx="75">
                  <c:v>45047.114583333336</c:v>
                </c:pt>
                <c:pt idx="76">
                  <c:v>45047.125</c:v>
                </c:pt>
                <c:pt idx="77">
                  <c:v>45047.135416666664</c:v>
                </c:pt>
                <c:pt idx="78">
                  <c:v>45047.145833333336</c:v>
                </c:pt>
                <c:pt idx="79">
                  <c:v>45047.15625</c:v>
                </c:pt>
                <c:pt idx="80">
                  <c:v>45047.166666666664</c:v>
                </c:pt>
                <c:pt idx="81">
                  <c:v>45047.177083333336</c:v>
                </c:pt>
                <c:pt idx="82">
                  <c:v>45047.1875</c:v>
                </c:pt>
                <c:pt idx="83">
                  <c:v>45047.197916666664</c:v>
                </c:pt>
                <c:pt idx="84">
                  <c:v>45047.208333333336</c:v>
                </c:pt>
              </c:numCache>
            </c:numRef>
          </c:xVal>
          <c:yVal>
            <c:numRef>
              <c:f>'time series'!$CA$3:$CA$87</c:f>
              <c:numCache>
                <c:formatCode>0.000</c:formatCode>
                <c:ptCount val="85"/>
                <c:pt idx="0">
                  <c:v>81.363475963061646</c:v>
                </c:pt>
                <c:pt idx="1">
                  <c:v>82.020077037983313</c:v>
                </c:pt>
                <c:pt idx="2">
                  <c:v>78.371710774317449</c:v>
                </c:pt>
                <c:pt idx="3">
                  <c:v>76.898572358647399</c:v>
                </c:pt>
                <c:pt idx="4">
                  <c:v>79.07065870598538</c:v>
                </c:pt>
                <c:pt idx="5">
                  <c:v>86.410471155116355</c:v>
                </c:pt>
                <c:pt idx="6">
                  <c:v>78.560636745669044</c:v>
                </c:pt>
                <c:pt idx="7">
                  <c:v>82.347600517405539</c:v>
                </c:pt>
                <c:pt idx="8">
                  <c:v>78.892914151061035</c:v>
                </c:pt>
                <c:pt idx="9">
                  <c:v>81.00700208412924</c:v>
                </c:pt>
                <c:pt idx="10">
                  <c:v>82.315521091065975</c:v>
                </c:pt>
                <c:pt idx="11">
                  <c:v>78.363876316632769</c:v>
                </c:pt>
                <c:pt idx="12">
                  <c:v>81.122634952901862</c:v>
                </c:pt>
                <c:pt idx="13">
                  <c:v>81.642689647426877</c:v>
                </c:pt>
                <c:pt idx="14">
                  <c:v>82.123596798944703</c:v>
                </c:pt>
                <c:pt idx="15">
                  <c:v>81.715778246738054</c:v>
                </c:pt>
                <c:pt idx="16">
                  <c:v>82.895447836785578</c:v>
                </c:pt>
                <c:pt idx="17">
                  <c:v>80.435317409263035</c:v>
                </c:pt>
                <c:pt idx="18">
                  <c:v>81.875377684380638</c:v>
                </c:pt>
                <c:pt idx="19">
                  <c:v>84.293148078854855</c:v>
                </c:pt>
                <c:pt idx="20">
                  <c:v>81.333733145824112</c:v>
                </c:pt>
                <c:pt idx="21">
                  <c:v>84.572006122249178</c:v>
                </c:pt>
                <c:pt idx="22">
                  <c:v>85.189017822363695</c:v>
                </c:pt>
                <c:pt idx="23">
                  <c:v>80.394126319763103</c:v>
                </c:pt>
                <c:pt idx="24">
                  <c:v>82.446704472072298</c:v>
                </c:pt>
                <c:pt idx="25">
                  <c:v>81.948793212662608</c:v>
                </c:pt>
                <c:pt idx="26">
                  <c:v>81.835150788792077</c:v>
                </c:pt>
                <c:pt idx="27">
                  <c:v>82.06638324476603</c:v>
                </c:pt>
                <c:pt idx="28">
                  <c:v>78.958126944871054</c:v>
                </c:pt>
                <c:pt idx="29">
                  <c:v>81.943632835591899</c:v>
                </c:pt>
                <c:pt idx="30">
                  <c:v>82.982919276963401</c:v>
                </c:pt>
                <c:pt idx="31">
                  <c:v>81.63902510058081</c:v>
                </c:pt>
                <c:pt idx="32">
                  <c:v>83.399502274836181</c:v>
                </c:pt>
                <c:pt idx="33">
                  <c:v>82.826381405665046</c:v>
                </c:pt>
                <c:pt idx="34">
                  <c:v>80.938169278524285</c:v>
                </c:pt>
                <c:pt idx="35">
                  <c:v>82.401801223161442</c:v>
                </c:pt>
                <c:pt idx="36">
                  <c:v>82.206251840258588</c:v>
                </c:pt>
                <c:pt idx="37">
                  <c:v>80.508683044747798</c:v>
                </c:pt>
                <c:pt idx="38">
                  <c:v>80.446490152713736</c:v>
                </c:pt>
                <c:pt idx="39">
                  <c:v>80.854002467705754</c:v>
                </c:pt>
                <c:pt idx="40">
                  <c:v>80.453291799280009</c:v>
                </c:pt>
                <c:pt idx="41">
                  <c:v>82.262987454587801</c:v>
                </c:pt>
                <c:pt idx="42">
                  <c:v>77.039870709692963</c:v>
                </c:pt>
                <c:pt idx="43">
                  <c:v>88.490803262610711</c:v>
                </c:pt>
                <c:pt idx="44">
                  <c:v>84.132950554715677</c:v>
                </c:pt>
                <c:pt idx="45">
                  <c:v>80.252786642949317</c:v>
                </c:pt>
                <c:pt idx="46">
                  <c:v>80.900835828363043</c:v>
                </c:pt>
                <c:pt idx="47">
                  <c:v>80.400312456493324</c:v>
                </c:pt>
                <c:pt idx="48">
                  <c:v>80.788521161062619</c:v>
                </c:pt>
                <c:pt idx="49">
                  <c:v>83.326600419213051</c:v>
                </c:pt>
                <c:pt idx="50">
                  <c:v>81.554561769067547</c:v>
                </c:pt>
                <c:pt idx="51">
                  <c:v>81.638485754857172</c:v>
                </c:pt>
                <c:pt idx="52">
                  <c:v>82.351533429029573</c:v>
                </c:pt>
                <c:pt idx="53">
                  <c:v>82.75825190250282</c:v>
                </c:pt>
                <c:pt idx="54">
                  <c:v>85.402158111773815</c:v>
                </c:pt>
                <c:pt idx="55">
                  <c:v>80.518565324109005</c:v>
                </c:pt>
                <c:pt idx="56">
                  <c:v>79.655200179778632</c:v>
                </c:pt>
                <c:pt idx="57">
                  <c:v>80.256457217326698</c:v>
                </c:pt>
                <c:pt idx="58">
                  <c:v>88.461524281679715</c:v>
                </c:pt>
                <c:pt idx="59">
                  <c:v>77.199696987500261</c:v>
                </c:pt>
                <c:pt idx="60">
                  <c:v>78.852366764286216</c:v>
                </c:pt>
                <c:pt idx="61">
                  <c:v>78.844595636301676</c:v>
                </c:pt>
                <c:pt idx="62">
                  <c:v>81.927628458854997</c:v>
                </c:pt>
                <c:pt idx="63">
                  <c:v>79.883106696123889</c:v>
                </c:pt>
                <c:pt idx="64">
                  <c:v>80.160708793370546</c:v>
                </c:pt>
                <c:pt idx="65">
                  <c:v>78.972636880082561</c:v>
                </c:pt>
                <c:pt idx="66">
                  <c:v>78.215377379264879</c:v>
                </c:pt>
                <c:pt idx="67">
                  <c:v>77.651048775951509</c:v>
                </c:pt>
                <c:pt idx="68">
                  <c:v>75.779877972610294</c:v>
                </c:pt>
                <c:pt idx="69">
                  <c:v>77.743367210724045</c:v>
                </c:pt>
                <c:pt idx="70">
                  <c:v>80.651218650780677</c:v>
                </c:pt>
                <c:pt idx="71">
                  <c:v>76.780652273051416</c:v>
                </c:pt>
                <c:pt idx="72">
                  <c:v>77.863291611124211</c:v>
                </c:pt>
                <c:pt idx="73">
                  <c:v>81.418402938795751</c:v>
                </c:pt>
                <c:pt idx="74">
                  <c:v>80.077971725097882</c:v>
                </c:pt>
                <c:pt idx="75">
                  <c:v>81.460976931595383</c:v>
                </c:pt>
                <c:pt idx="76">
                  <c:v>75.769687982629208</c:v>
                </c:pt>
                <c:pt idx="77">
                  <c:v>77.54697255344071</c:v>
                </c:pt>
                <c:pt idx="78">
                  <c:v>76.772579244228879</c:v>
                </c:pt>
                <c:pt idx="79">
                  <c:v>78.259397672469291</c:v>
                </c:pt>
                <c:pt idx="80">
                  <c:v>77.484910539306355</c:v>
                </c:pt>
                <c:pt idx="81">
                  <c:v>78.184512833795509</c:v>
                </c:pt>
                <c:pt idx="82">
                  <c:v>76.602971225952132</c:v>
                </c:pt>
                <c:pt idx="83">
                  <c:v>75.753143760456325</c:v>
                </c:pt>
                <c:pt idx="84">
                  <c:v>77.362288230997081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F4-43E1-9057-9BBC31330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2 -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series'!$CC$3:$CC$155</c:f>
              <c:numCache>
                <c:formatCode>m/d/yyyy\ h:mm</c:formatCode>
                <c:ptCount val="153"/>
                <c:pt idx="0">
                  <c:v>45047.208333333336</c:v>
                </c:pt>
                <c:pt idx="1">
                  <c:v>45047.21875</c:v>
                </c:pt>
                <c:pt idx="2">
                  <c:v>45047.229166666664</c:v>
                </c:pt>
                <c:pt idx="3">
                  <c:v>45047.239583333336</c:v>
                </c:pt>
                <c:pt idx="4">
                  <c:v>45047.25</c:v>
                </c:pt>
                <c:pt idx="5">
                  <c:v>45047.260416666664</c:v>
                </c:pt>
                <c:pt idx="6">
                  <c:v>45047.270833333336</c:v>
                </c:pt>
                <c:pt idx="7">
                  <c:v>45047.28125</c:v>
                </c:pt>
                <c:pt idx="8">
                  <c:v>45047.291666666664</c:v>
                </c:pt>
                <c:pt idx="9">
                  <c:v>45047.302083333336</c:v>
                </c:pt>
                <c:pt idx="10">
                  <c:v>45047.3125</c:v>
                </c:pt>
                <c:pt idx="11">
                  <c:v>45047.322916666664</c:v>
                </c:pt>
                <c:pt idx="12">
                  <c:v>45047.333333333336</c:v>
                </c:pt>
                <c:pt idx="13">
                  <c:v>45047.34375</c:v>
                </c:pt>
                <c:pt idx="14">
                  <c:v>45047.354166666664</c:v>
                </c:pt>
                <c:pt idx="15">
                  <c:v>45047.364583333336</c:v>
                </c:pt>
                <c:pt idx="16">
                  <c:v>45047.375</c:v>
                </c:pt>
                <c:pt idx="17">
                  <c:v>45047.385416666664</c:v>
                </c:pt>
                <c:pt idx="18">
                  <c:v>45047.395833333336</c:v>
                </c:pt>
                <c:pt idx="19">
                  <c:v>45047.40625</c:v>
                </c:pt>
                <c:pt idx="20">
                  <c:v>45047.416666666664</c:v>
                </c:pt>
                <c:pt idx="21">
                  <c:v>45047.427083333336</c:v>
                </c:pt>
                <c:pt idx="22">
                  <c:v>45047.4375</c:v>
                </c:pt>
                <c:pt idx="23">
                  <c:v>45047.447916666664</c:v>
                </c:pt>
                <c:pt idx="24">
                  <c:v>45047.458333333336</c:v>
                </c:pt>
                <c:pt idx="25">
                  <c:v>45047.46875</c:v>
                </c:pt>
                <c:pt idx="26">
                  <c:v>45047.479166666664</c:v>
                </c:pt>
                <c:pt idx="27">
                  <c:v>45047.489583333336</c:v>
                </c:pt>
                <c:pt idx="28">
                  <c:v>45047.5</c:v>
                </c:pt>
                <c:pt idx="29">
                  <c:v>45047.510416666664</c:v>
                </c:pt>
                <c:pt idx="30">
                  <c:v>45047.520833333336</c:v>
                </c:pt>
                <c:pt idx="31">
                  <c:v>45047.53125</c:v>
                </c:pt>
                <c:pt idx="32">
                  <c:v>45047.541666666664</c:v>
                </c:pt>
                <c:pt idx="33">
                  <c:v>45047.552083333336</c:v>
                </c:pt>
                <c:pt idx="34">
                  <c:v>45047.5625</c:v>
                </c:pt>
                <c:pt idx="35">
                  <c:v>45047.572916666664</c:v>
                </c:pt>
                <c:pt idx="36">
                  <c:v>45047.583333333336</c:v>
                </c:pt>
                <c:pt idx="37">
                  <c:v>45047.59375</c:v>
                </c:pt>
                <c:pt idx="38">
                  <c:v>45047.604166666664</c:v>
                </c:pt>
                <c:pt idx="39">
                  <c:v>45047.614583333336</c:v>
                </c:pt>
                <c:pt idx="40">
                  <c:v>45047.625</c:v>
                </c:pt>
                <c:pt idx="41">
                  <c:v>45047.635416666664</c:v>
                </c:pt>
                <c:pt idx="42">
                  <c:v>45047.645833333336</c:v>
                </c:pt>
                <c:pt idx="43">
                  <c:v>45047.65625</c:v>
                </c:pt>
                <c:pt idx="44">
                  <c:v>45047.708333333336</c:v>
                </c:pt>
                <c:pt idx="45">
                  <c:v>45047.71875</c:v>
                </c:pt>
                <c:pt idx="46">
                  <c:v>45047.729166666664</c:v>
                </c:pt>
                <c:pt idx="47">
                  <c:v>45047.739583333336</c:v>
                </c:pt>
                <c:pt idx="48">
                  <c:v>45047.75</c:v>
                </c:pt>
                <c:pt idx="49">
                  <c:v>45047.760416666664</c:v>
                </c:pt>
                <c:pt idx="50">
                  <c:v>45047.770833333336</c:v>
                </c:pt>
                <c:pt idx="51">
                  <c:v>45047.78125</c:v>
                </c:pt>
                <c:pt idx="52">
                  <c:v>45047.791666666664</c:v>
                </c:pt>
                <c:pt idx="53">
                  <c:v>45047.802083333336</c:v>
                </c:pt>
                <c:pt idx="54">
                  <c:v>45047.8125</c:v>
                </c:pt>
                <c:pt idx="55">
                  <c:v>45047.822916666664</c:v>
                </c:pt>
                <c:pt idx="56">
                  <c:v>45047.833333333336</c:v>
                </c:pt>
                <c:pt idx="57">
                  <c:v>45047.84375</c:v>
                </c:pt>
                <c:pt idx="58">
                  <c:v>45047.854166666664</c:v>
                </c:pt>
                <c:pt idx="59">
                  <c:v>45047.864583333336</c:v>
                </c:pt>
                <c:pt idx="60">
                  <c:v>45047.875</c:v>
                </c:pt>
                <c:pt idx="61">
                  <c:v>45047.885416666664</c:v>
                </c:pt>
                <c:pt idx="62">
                  <c:v>45047.895833333336</c:v>
                </c:pt>
                <c:pt idx="63">
                  <c:v>45047.90625</c:v>
                </c:pt>
                <c:pt idx="64">
                  <c:v>45047.916666666664</c:v>
                </c:pt>
                <c:pt idx="65">
                  <c:v>45047.927083333336</c:v>
                </c:pt>
                <c:pt idx="66">
                  <c:v>45047.9375</c:v>
                </c:pt>
                <c:pt idx="67">
                  <c:v>45047.947916666664</c:v>
                </c:pt>
                <c:pt idx="68">
                  <c:v>45047.958333333336</c:v>
                </c:pt>
                <c:pt idx="69">
                  <c:v>45047.96875</c:v>
                </c:pt>
                <c:pt idx="70">
                  <c:v>45047.979166666664</c:v>
                </c:pt>
                <c:pt idx="71">
                  <c:v>45047.989583333336</c:v>
                </c:pt>
                <c:pt idx="72">
                  <c:v>45048</c:v>
                </c:pt>
                <c:pt idx="73">
                  <c:v>45048.010416666664</c:v>
                </c:pt>
                <c:pt idx="74">
                  <c:v>45048.020833333336</c:v>
                </c:pt>
                <c:pt idx="75">
                  <c:v>45048.03125</c:v>
                </c:pt>
                <c:pt idx="76">
                  <c:v>45048.041666666664</c:v>
                </c:pt>
                <c:pt idx="77">
                  <c:v>45048.052083333336</c:v>
                </c:pt>
                <c:pt idx="78">
                  <c:v>45048.0625</c:v>
                </c:pt>
                <c:pt idx="79">
                  <c:v>45048.072916666664</c:v>
                </c:pt>
                <c:pt idx="80">
                  <c:v>45048.083333333336</c:v>
                </c:pt>
                <c:pt idx="81">
                  <c:v>45048.09375</c:v>
                </c:pt>
                <c:pt idx="82">
                  <c:v>45048.104166666664</c:v>
                </c:pt>
                <c:pt idx="83">
                  <c:v>45048.114583333336</c:v>
                </c:pt>
                <c:pt idx="84">
                  <c:v>45048.125</c:v>
                </c:pt>
                <c:pt idx="85">
                  <c:v>45048.135416666664</c:v>
                </c:pt>
                <c:pt idx="86">
                  <c:v>45048.145833333336</c:v>
                </c:pt>
                <c:pt idx="87">
                  <c:v>45048.15625</c:v>
                </c:pt>
                <c:pt idx="88">
                  <c:v>45048.166666666664</c:v>
                </c:pt>
                <c:pt idx="89">
                  <c:v>45048.177083333336</c:v>
                </c:pt>
                <c:pt idx="90">
                  <c:v>45048.1875</c:v>
                </c:pt>
                <c:pt idx="91">
                  <c:v>45048.197916666664</c:v>
                </c:pt>
                <c:pt idx="92">
                  <c:v>45048.208333333336</c:v>
                </c:pt>
                <c:pt idx="93">
                  <c:v>45048.21875</c:v>
                </c:pt>
                <c:pt idx="94">
                  <c:v>45048.229166666664</c:v>
                </c:pt>
                <c:pt idx="95">
                  <c:v>45048.239583333336</c:v>
                </c:pt>
                <c:pt idx="96">
                  <c:v>45048.25</c:v>
                </c:pt>
                <c:pt idx="97">
                  <c:v>45048.260416666664</c:v>
                </c:pt>
                <c:pt idx="98">
                  <c:v>45048.270833333336</c:v>
                </c:pt>
                <c:pt idx="99">
                  <c:v>45048.28125</c:v>
                </c:pt>
                <c:pt idx="100">
                  <c:v>45048.291666666664</c:v>
                </c:pt>
                <c:pt idx="101">
                  <c:v>45048.302083333336</c:v>
                </c:pt>
                <c:pt idx="102">
                  <c:v>45048.3125</c:v>
                </c:pt>
                <c:pt idx="103">
                  <c:v>45048.322916666664</c:v>
                </c:pt>
                <c:pt idx="104">
                  <c:v>45048.333333333336</c:v>
                </c:pt>
                <c:pt idx="105">
                  <c:v>45048.34375</c:v>
                </c:pt>
                <c:pt idx="106">
                  <c:v>45048.354166666664</c:v>
                </c:pt>
                <c:pt idx="107">
                  <c:v>45048.364583333336</c:v>
                </c:pt>
                <c:pt idx="108">
                  <c:v>45048.375</c:v>
                </c:pt>
                <c:pt idx="109">
                  <c:v>45048.385416666664</c:v>
                </c:pt>
                <c:pt idx="110">
                  <c:v>45048.395833333336</c:v>
                </c:pt>
                <c:pt idx="111">
                  <c:v>45048.40625</c:v>
                </c:pt>
                <c:pt idx="112">
                  <c:v>45048.416666666664</c:v>
                </c:pt>
                <c:pt idx="113">
                  <c:v>45048.427083333336</c:v>
                </c:pt>
                <c:pt idx="114">
                  <c:v>45048.4375</c:v>
                </c:pt>
                <c:pt idx="115">
                  <c:v>45048.447916666664</c:v>
                </c:pt>
                <c:pt idx="116">
                  <c:v>45048.458333333336</c:v>
                </c:pt>
                <c:pt idx="117">
                  <c:v>45048.46875</c:v>
                </c:pt>
                <c:pt idx="118">
                  <c:v>45048.479166666664</c:v>
                </c:pt>
                <c:pt idx="119">
                  <c:v>45048.489583333336</c:v>
                </c:pt>
                <c:pt idx="120">
                  <c:v>45048.5</c:v>
                </c:pt>
                <c:pt idx="121">
                  <c:v>45048.510416666664</c:v>
                </c:pt>
                <c:pt idx="122">
                  <c:v>45048.520833333336</c:v>
                </c:pt>
                <c:pt idx="123">
                  <c:v>45048.53125</c:v>
                </c:pt>
                <c:pt idx="124">
                  <c:v>45048.541666666664</c:v>
                </c:pt>
                <c:pt idx="125">
                  <c:v>45048.552083333336</c:v>
                </c:pt>
                <c:pt idx="126">
                  <c:v>45048.5625</c:v>
                </c:pt>
                <c:pt idx="127">
                  <c:v>45048.572916666664</c:v>
                </c:pt>
                <c:pt idx="128">
                  <c:v>45048.583333333336</c:v>
                </c:pt>
                <c:pt idx="129">
                  <c:v>45048.59375</c:v>
                </c:pt>
                <c:pt idx="130">
                  <c:v>45048.604166666664</c:v>
                </c:pt>
                <c:pt idx="131">
                  <c:v>45048.614583333336</c:v>
                </c:pt>
                <c:pt idx="132">
                  <c:v>45048.625</c:v>
                </c:pt>
                <c:pt idx="133">
                  <c:v>45048.635416666664</c:v>
                </c:pt>
                <c:pt idx="134">
                  <c:v>45048.645833333336</c:v>
                </c:pt>
                <c:pt idx="135">
                  <c:v>45048.65625</c:v>
                </c:pt>
                <c:pt idx="136">
                  <c:v>45048.666666666664</c:v>
                </c:pt>
                <c:pt idx="137">
                  <c:v>45048.677083333336</c:v>
                </c:pt>
                <c:pt idx="138">
                  <c:v>45048.6875</c:v>
                </c:pt>
                <c:pt idx="139">
                  <c:v>45048.697916666664</c:v>
                </c:pt>
                <c:pt idx="140">
                  <c:v>45048.708333333336</c:v>
                </c:pt>
                <c:pt idx="141">
                  <c:v>45048.71875</c:v>
                </c:pt>
                <c:pt idx="142">
                  <c:v>45048.729166666664</c:v>
                </c:pt>
                <c:pt idx="143">
                  <c:v>45048.739583333336</c:v>
                </c:pt>
                <c:pt idx="144">
                  <c:v>45048.75</c:v>
                </c:pt>
                <c:pt idx="145">
                  <c:v>45048.760416666664</c:v>
                </c:pt>
                <c:pt idx="146">
                  <c:v>45048.770833333336</c:v>
                </c:pt>
                <c:pt idx="147">
                  <c:v>45048.78125</c:v>
                </c:pt>
                <c:pt idx="148">
                  <c:v>45048.791666666664</c:v>
                </c:pt>
                <c:pt idx="149">
                  <c:v>45048.802083333336</c:v>
                </c:pt>
                <c:pt idx="150">
                  <c:v>45048.8125</c:v>
                </c:pt>
                <c:pt idx="151">
                  <c:v>45048.822916666664</c:v>
                </c:pt>
                <c:pt idx="152">
                  <c:v>45048.833333333336</c:v>
                </c:pt>
              </c:numCache>
            </c:numRef>
          </c:xVal>
          <c:yVal>
            <c:numRef>
              <c:f>'time series'!$CE$3:$CE$155</c:f>
              <c:numCache>
                <c:formatCode>0.0000</c:formatCode>
                <c:ptCount val="153"/>
                <c:pt idx="0">
                  <c:v>81.405228940000001</c:v>
                </c:pt>
                <c:pt idx="1">
                  <c:v>78.755362430000005</c:v>
                </c:pt>
                <c:pt idx="2">
                  <c:v>80.079324720000002</c:v>
                </c:pt>
                <c:pt idx="3">
                  <c:v>81.397704649999994</c:v>
                </c:pt>
                <c:pt idx="4">
                  <c:v>80.961047410000006</c:v>
                </c:pt>
                <c:pt idx="5">
                  <c:v>82.276892649999994</c:v>
                </c:pt>
                <c:pt idx="6">
                  <c:v>82.718647970000006</c:v>
                </c:pt>
                <c:pt idx="7">
                  <c:v>84.460540300000005</c:v>
                </c:pt>
                <c:pt idx="8">
                  <c:v>82.284398269999997</c:v>
                </c:pt>
                <c:pt idx="9">
                  <c:v>82.284398269999997</c:v>
                </c:pt>
                <c:pt idx="10">
                  <c:v>81.405228940000001</c:v>
                </c:pt>
                <c:pt idx="11">
                  <c:v>82.284398269999997</c:v>
                </c:pt>
                <c:pt idx="12">
                  <c:v>78.762941850000004</c:v>
                </c:pt>
                <c:pt idx="13">
                  <c:v>80.968580889999998</c:v>
                </c:pt>
                <c:pt idx="14">
                  <c:v>78.762941850000004</c:v>
                </c:pt>
                <c:pt idx="15">
                  <c:v>78.762941850000004</c:v>
                </c:pt>
                <c:pt idx="16">
                  <c:v>80.086877509999994</c:v>
                </c:pt>
                <c:pt idx="17">
                  <c:v>75.208694050000005</c:v>
                </c:pt>
                <c:pt idx="18">
                  <c:v>76.544179459999995</c:v>
                </c:pt>
                <c:pt idx="19">
                  <c:v>76.986061320000005</c:v>
                </c:pt>
                <c:pt idx="20">
                  <c:v>77.875916610000004</c:v>
                </c:pt>
                <c:pt idx="21">
                  <c:v>75.652056590000001</c:v>
                </c:pt>
                <c:pt idx="22">
                  <c:v>76.986061320000005</c:v>
                </c:pt>
                <c:pt idx="23">
                  <c:v>80.523852189999999</c:v>
                </c:pt>
                <c:pt idx="24">
                  <c:v>75.652056590000001</c:v>
                </c:pt>
                <c:pt idx="25">
                  <c:v>76.986061320000005</c:v>
                </c:pt>
                <c:pt idx="26">
                  <c:v>76.986061320000005</c:v>
                </c:pt>
                <c:pt idx="27">
                  <c:v>72.970159429999995</c:v>
                </c:pt>
                <c:pt idx="28">
                  <c:v>77.875916610000004</c:v>
                </c:pt>
                <c:pt idx="29">
                  <c:v>79.202259850000004</c:v>
                </c:pt>
                <c:pt idx="30">
                  <c:v>76.544179459999995</c:v>
                </c:pt>
                <c:pt idx="31">
                  <c:v>78.323104580000006</c:v>
                </c:pt>
                <c:pt idx="32">
                  <c:v>77.875916610000004</c:v>
                </c:pt>
                <c:pt idx="33">
                  <c:v>75.659696060000002</c:v>
                </c:pt>
                <c:pt idx="34">
                  <c:v>78.323104580000006</c:v>
                </c:pt>
                <c:pt idx="35">
                  <c:v>76.101800600000004</c:v>
                </c:pt>
                <c:pt idx="36">
                  <c:v>79.202259850000004</c:v>
                </c:pt>
                <c:pt idx="37">
                  <c:v>80.523852189999999</c:v>
                </c:pt>
                <c:pt idx="38">
                  <c:v>80.523852189999999</c:v>
                </c:pt>
                <c:pt idx="39">
                  <c:v>82.718647970000006</c:v>
                </c:pt>
                <c:pt idx="40">
                  <c:v>81.405228940000001</c:v>
                </c:pt>
                <c:pt idx="41">
                  <c:v>84.027783200000002</c:v>
                </c:pt>
                <c:pt idx="42">
                  <c:v>82.718647970000006</c:v>
                </c:pt>
                <c:pt idx="43">
                  <c:v>87.494480339999996</c:v>
                </c:pt>
                <c:pt idx="44">
                  <c:v>85.323607859999996</c:v>
                </c:pt>
                <c:pt idx="45">
                  <c:v>84.020316870000002</c:v>
                </c:pt>
                <c:pt idx="46">
                  <c:v>85.323607859999996</c:v>
                </c:pt>
                <c:pt idx="47">
                  <c:v>85.323607859999996</c:v>
                </c:pt>
                <c:pt idx="48">
                  <c:v>86.192545629999998</c:v>
                </c:pt>
                <c:pt idx="49">
                  <c:v>82.711152870000006</c:v>
                </c:pt>
                <c:pt idx="50">
                  <c:v>90.484855949999996</c:v>
                </c:pt>
                <c:pt idx="51">
                  <c:v>87.058386479999996</c:v>
                </c:pt>
                <c:pt idx="52">
                  <c:v>86.192545629999998</c:v>
                </c:pt>
                <c:pt idx="53">
                  <c:v>87.487093729999998</c:v>
                </c:pt>
                <c:pt idx="54">
                  <c:v>89.635700749999998</c:v>
                </c:pt>
                <c:pt idx="55">
                  <c:v>84.891986889999998</c:v>
                </c:pt>
                <c:pt idx="56">
                  <c:v>87.494480339999996</c:v>
                </c:pt>
                <c:pt idx="57">
                  <c:v>84.891986889999998</c:v>
                </c:pt>
                <c:pt idx="58">
                  <c:v>84.027783200000002</c:v>
                </c:pt>
                <c:pt idx="59">
                  <c:v>84.027783200000002</c:v>
                </c:pt>
                <c:pt idx="60">
                  <c:v>84.899432570000002</c:v>
                </c:pt>
                <c:pt idx="61">
                  <c:v>82.718647970000006</c:v>
                </c:pt>
                <c:pt idx="62">
                  <c:v>86.199962600000006</c:v>
                </c:pt>
                <c:pt idx="63">
                  <c:v>86.199962600000006</c:v>
                </c:pt>
                <c:pt idx="64">
                  <c:v>87.494480339999996</c:v>
                </c:pt>
                <c:pt idx="65">
                  <c:v>86.199962600000006</c:v>
                </c:pt>
                <c:pt idx="66">
                  <c:v>82.718647970000006</c:v>
                </c:pt>
                <c:pt idx="67">
                  <c:v>88.350109630000006</c:v>
                </c:pt>
                <c:pt idx="68">
                  <c:v>89.209976960000006</c:v>
                </c:pt>
                <c:pt idx="69">
                  <c:v>82.718647970000006</c:v>
                </c:pt>
                <c:pt idx="70">
                  <c:v>84.891986889999998</c:v>
                </c:pt>
                <c:pt idx="71">
                  <c:v>88.350109630000006</c:v>
                </c:pt>
                <c:pt idx="72">
                  <c:v>89.635700749999998</c:v>
                </c:pt>
                <c:pt idx="73">
                  <c:v>89.635700749999998</c:v>
                </c:pt>
                <c:pt idx="74">
                  <c:v>88.350109630000006</c:v>
                </c:pt>
                <c:pt idx="75">
                  <c:v>87.058386479999996</c:v>
                </c:pt>
                <c:pt idx="76">
                  <c:v>89.635700749999998</c:v>
                </c:pt>
                <c:pt idx="77">
                  <c:v>93.038532979999999</c:v>
                </c:pt>
                <c:pt idx="78">
                  <c:v>87.058386479999996</c:v>
                </c:pt>
                <c:pt idx="79">
                  <c:v>89.635700749999998</c:v>
                </c:pt>
                <c:pt idx="80">
                  <c:v>84.891986889999998</c:v>
                </c:pt>
                <c:pt idx="81">
                  <c:v>86.192545629999998</c:v>
                </c:pt>
                <c:pt idx="82">
                  <c:v>89.635700749999998</c:v>
                </c:pt>
                <c:pt idx="83">
                  <c:v>93.038532979999999</c:v>
                </c:pt>
                <c:pt idx="84">
                  <c:v>89.635700749999998</c:v>
                </c:pt>
                <c:pt idx="85">
                  <c:v>85.762083380000007</c:v>
                </c:pt>
                <c:pt idx="86">
                  <c:v>87.058386479999996</c:v>
                </c:pt>
                <c:pt idx="87">
                  <c:v>87.922589900000006</c:v>
                </c:pt>
                <c:pt idx="88">
                  <c:v>84.899432570000002</c:v>
                </c:pt>
                <c:pt idx="89">
                  <c:v>92.610732819999996</c:v>
                </c:pt>
                <c:pt idx="90">
                  <c:v>84.891986889999998</c:v>
                </c:pt>
                <c:pt idx="91">
                  <c:v>84.891986889999998</c:v>
                </c:pt>
                <c:pt idx="92">
                  <c:v>85.762083380000007</c:v>
                </c:pt>
                <c:pt idx="93">
                  <c:v>87.915213519999995</c:v>
                </c:pt>
                <c:pt idx="94">
                  <c:v>87.058386479999996</c:v>
                </c:pt>
                <c:pt idx="95">
                  <c:v>86.199962600000006</c:v>
                </c:pt>
                <c:pt idx="96">
                  <c:v>87.915213519999995</c:v>
                </c:pt>
                <c:pt idx="97">
                  <c:v>84.460540300000005</c:v>
                </c:pt>
                <c:pt idx="98">
                  <c:v>88.350109630000006</c:v>
                </c:pt>
                <c:pt idx="99">
                  <c:v>84.891986889999998</c:v>
                </c:pt>
                <c:pt idx="100">
                  <c:v>84.891986889999998</c:v>
                </c:pt>
                <c:pt idx="101">
                  <c:v>83.586986100000004</c:v>
                </c:pt>
                <c:pt idx="102">
                  <c:v>84.891986889999998</c:v>
                </c:pt>
                <c:pt idx="103">
                  <c:v>84.460540300000005</c:v>
                </c:pt>
                <c:pt idx="104">
                  <c:v>82.711152870000006</c:v>
                </c:pt>
                <c:pt idx="105">
                  <c:v>89.635700749999998</c:v>
                </c:pt>
                <c:pt idx="106">
                  <c:v>85.762083380000007</c:v>
                </c:pt>
                <c:pt idx="107">
                  <c:v>85.762083380000007</c:v>
                </c:pt>
                <c:pt idx="108">
                  <c:v>84.891986889999998</c:v>
                </c:pt>
                <c:pt idx="109">
                  <c:v>85.762083380000007</c:v>
                </c:pt>
                <c:pt idx="110">
                  <c:v>80.079324720000002</c:v>
                </c:pt>
                <c:pt idx="111">
                  <c:v>85.762083380000007</c:v>
                </c:pt>
                <c:pt idx="112">
                  <c:v>84.899432570000002</c:v>
                </c:pt>
                <c:pt idx="113">
                  <c:v>83.594462070000006</c:v>
                </c:pt>
                <c:pt idx="114">
                  <c:v>80.086877509999994</c:v>
                </c:pt>
                <c:pt idx="115">
                  <c:v>85.762083380000007</c:v>
                </c:pt>
                <c:pt idx="116">
                  <c:v>80.086877509999994</c:v>
                </c:pt>
                <c:pt idx="117">
                  <c:v>81.405228940000001</c:v>
                </c:pt>
                <c:pt idx="118">
                  <c:v>79.202259850000004</c:v>
                </c:pt>
                <c:pt idx="119">
                  <c:v>81.405228940000001</c:v>
                </c:pt>
                <c:pt idx="120">
                  <c:v>83.594462070000006</c:v>
                </c:pt>
                <c:pt idx="121">
                  <c:v>83.586986100000004</c:v>
                </c:pt>
                <c:pt idx="122">
                  <c:v>84.020316870000002</c:v>
                </c:pt>
                <c:pt idx="123">
                  <c:v>80.079324720000002</c:v>
                </c:pt>
                <c:pt idx="124">
                  <c:v>81.397704649999994</c:v>
                </c:pt>
                <c:pt idx="125">
                  <c:v>85.762083380000007</c:v>
                </c:pt>
                <c:pt idx="126">
                  <c:v>81.405228940000001</c:v>
                </c:pt>
                <c:pt idx="127">
                  <c:v>81.405228940000001</c:v>
                </c:pt>
                <c:pt idx="128">
                  <c:v>86.192545629999998</c:v>
                </c:pt>
                <c:pt idx="129">
                  <c:v>83.586986100000004</c:v>
                </c:pt>
                <c:pt idx="130">
                  <c:v>84.891986889999998</c:v>
                </c:pt>
                <c:pt idx="131">
                  <c:v>80.523852189999999</c:v>
                </c:pt>
                <c:pt idx="132">
                  <c:v>84.027783200000002</c:v>
                </c:pt>
                <c:pt idx="133">
                  <c:v>93.884261949999996</c:v>
                </c:pt>
                <c:pt idx="134">
                  <c:v>89.635700749999998</c:v>
                </c:pt>
                <c:pt idx="135">
                  <c:v>86.199962600000006</c:v>
                </c:pt>
                <c:pt idx="136">
                  <c:v>90.915794009999999</c:v>
                </c:pt>
                <c:pt idx="137">
                  <c:v>88.350109630000006</c:v>
                </c:pt>
                <c:pt idx="138">
                  <c:v>91.767774239999994</c:v>
                </c:pt>
                <c:pt idx="139">
                  <c:v>96.393321510000007</c:v>
                </c:pt>
                <c:pt idx="140">
                  <c:v>102.9873886</c:v>
                </c:pt>
                <c:pt idx="141">
                  <c:v>99.297599469999994</c:v>
                </c:pt>
                <c:pt idx="142">
                  <c:v>110.9974619</c:v>
                </c:pt>
                <c:pt idx="143">
                  <c:v>122.1341827</c:v>
                </c:pt>
                <c:pt idx="144">
                  <c:v>113.3544048</c:v>
                </c:pt>
                <c:pt idx="145">
                  <c:v>118.36070239999999</c:v>
                </c:pt>
                <c:pt idx="146">
                  <c:v>114.9053189</c:v>
                </c:pt>
                <c:pt idx="147">
                  <c:v>119.12362779999999</c:v>
                </c:pt>
                <c:pt idx="148">
                  <c:v>116.4455014</c:v>
                </c:pt>
                <c:pt idx="149">
                  <c:v>112.18199679999999</c:v>
                </c:pt>
                <c:pt idx="150">
                  <c:v>129.48707379999999</c:v>
                </c:pt>
                <c:pt idx="151">
                  <c:v>125.108964</c:v>
                </c:pt>
                <c:pt idx="152">
                  <c:v>117.9749527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3F-4B34-BDA2-7D0D7A8CC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series'!$CC$3:$CC$155</c:f>
              <c:numCache>
                <c:formatCode>m/d/yyyy\ h:mm</c:formatCode>
                <c:ptCount val="153"/>
                <c:pt idx="0">
                  <c:v>45047.208333333336</c:v>
                </c:pt>
                <c:pt idx="1">
                  <c:v>45047.21875</c:v>
                </c:pt>
                <c:pt idx="2">
                  <c:v>45047.229166666664</c:v>
                </c:pt>
                <c:pt idx="3">
                  <c:v>45047.239583333336</c:v>
                </c:pt>
                <c:pt idx="4">
                  <c:v>45047.25</c:v>
                </c:pt>
                <c:pt idx="5">
                  <c:v>45047.260416666664</c:v>
                </c:pt>
                <c:pt idx="6">
                  <c:v>45047.270833333336</c:v>
                </c:pt>
                <c:pt idx="7">
                  <c:v>45047.28125</c:v>
                </c:pt>
                <c:pt idx="8">
                  <c:v>45047.291666666664</c:v>
                </c:pt>
                <c:pt idx="9">
                  <c:v>45047.302083333336</c:v>
                </c:pt>
                <c:pt idx="10">
                  <c:v>45047.3125</c:v>
                </c:pt>
                <c:pt idx="11">
                  <c:v>45047.322916666664</c:v>
                </c:pt>
                <c:pt idx="12">
                  <c:v>45047.333333333336</c:v>
                </c:pt>
                <c:pt idx="13">
                  <c:v>45047.34375</c:v>
                </c:pt>
                <c:pt idx="14">
                  <c:v>45047.354166666664</c:v>
                </c:pt>
                <c:pt idx="15">
                  <c:v>45047.364583333336</c:v>
                </c:pt>
                <c:pt idx="16">
                  <c:v>45047.375</c:v>
                </c:pt>
                <c:pt idx="17">
                  <c:v>45047.385416666664</c:v>
                </c:pt>
                <c:pt idx="18">
                  <c:v>45047.395833333336</c:v>
                </c:pt>
                <c:pt idx="19">
                  <c:v>45047.40625</c:v>
                </c:pt>
                <c:pt idx="20">
                  <c:v>45047.416666666664</c:v>
                </c:pt>
                <c:pt idx="21">
                  <c:v>45047.427083333336</c:v>
                </c:pt>
                <c:pt idx="22">
                  <c:v>45047.4375</c:v>
                </c:pt>
                <c:pt idx="23">
                  <c:v>45047.447916666664</c:v>
                </c:pt>
                <c:pt idx="24">
                  <c:v>45047.458333333336</c:v>
                </c:pt>
                <c:pt idx="25">
                  <c:v>45047.46875</c:v>
                </c:pt>
                <c:pt idx="26">
                  <c:v>45047.479166666664</c:v>
                </c:pt>
                <c:pt idx="27">
                  <c:v>45047.489583333336</c:v>
                </c:pt>
                <c:pt idx="28">
                  <c:v>45047.5</c:v>
                </c:pt>
                <c:pt idx="29">
                  <c:v>45047.510416666664</c:v>
                </c:pt>
                <c:pt idx="30">
                  <c:v>45047.520833333336</c:v>
                </c:pt>
                <c:pt idx="31">
                  <c:v>45047.53125</c:v>
                </c:pt>
                <c:pt idx="32">
                  <c:v>45047.541666666664</c:v>
                </c:pt>
                <c:pt idx="33">
                  <c:v>45047.552083333336</c:v>
                </c:pt>
                <c:pt idx="34">
                  <c:v>45047.5625</c:v>
                </c:pt>
                <c:pt idx="35">
                  <c:v>45047.572916666664</c:v>
                </c:pt>
                <c:pt idx="36">
                  <c:v>45047.583333333336</c:v>
                </c:pt>
                <c:pt idx="37">
                  <c:v>45047.59375</c:v>
                </c:pt>
                <c:pt idx="38">
                  <c:v>45047.604166666664</c:v>
                </c:pt>
                <c:pt idx="39">
                  <c:v>45047.614583333336</c:v>
                </c:pt>
                <c:pt idx="40">
                  <c:v>45047.625</c:v>
                </c:pt>
                <c:pt idx="41">
                  <c:v>45047.635416666664</c:v>
                </c:pt>
                <c:pt idx="42">
                  <c:v>45047.645833333336</c:v>
                </c:pt>
                <c:pt idx="43">
                  <c:v>45047.65625</c:v>
                </c:pt>
                <c:pt idx="44">
                  <c:v>45047.708333333336</c:v>
                </c:pt>
                <c:pt idx="45">
                  <c:v>45047.71875</c:v>
                </c:pt>
                <c:pt idx="46">
                  <c:v>45047.729166666664</c:v>
                </c:pt>
                <c:pt idx="47">
                  <c:v>45047.739583333336</c:v>
                </c:pt>
                <c:pt idx="48">
                  <c:v>45047.75</c:v>
                </c:pt>
                <c:pt idx="49">
                  <c:v>45047.760416666664</c:v>
                </c:pt>
                <c:pt idx="50">
                  <c:v>45047.770833333336</c:v>
                </c:pt>
                <c:pt idx="51">
                  <c:v>45047.78125</c:v>
                </c:pt>
                <c:pt idx="52">
                  <c:v>45047.791666666664</c:v>
                </c:pt>
                <c:pt idx="53">
                  <c:v>45047.802083333336</c:v>
                </c:pt>
                <c:pt idx="54">
                  <c:v>45047.8125</c:v>
                </c:pt>
                <c:pt idx="55">
                  <c:v>45047.822916666664</c:v>
                </c:pt>
                <c:pt idx="56">
                  <c:v>45047.833333333336</c:v>
                </c:pt>
                <c:pt idx="57">
                  <c:v>45047.84375</c:v>
                </c:pt>
                <c:pt idx="58">
                  <c:v>45047.854166666664</c:v>
                </c:pt>
                <c:pt idx="59">
                  <c:v>45047.864583333336</c:v>
                </c:pt>
                <c:pt idx="60">
                  <c:v>45047.875</c:v>
                </c:pt>
                <c:pt idx="61">
                  <c:v>45047.885416666664</c:v>
                </c:pt>
                <c:pt idx="62">
                  <c:v>45047.895833333336</c:v>
                </c:pt>
                <c:pt idx="63">
                  <c:v>45047.90625</c:v>
                </c:pt>
                <c:pt idx="64">
                  <c:v>45047.916666666664</c:v>
                </c:pt>
                <c:pt idx="65">
                  <c:v>45047.927083333336</c:v>
                </c:pt>
                <c:pt idx="66">
                  <c:v>45047.9375</c:v>
                </c:pt>
                <c:pt idx="67">
                  <c:v>45047.947916666664</c:v>
                </c:pt>
                <c:pt idx="68">
                  <c:v>45047.958333333336</c:v>
                </c:pt>
                <c:pt idx="69">
                  <c:v>45047.96875</c:v>
                </c:pt>
                <c:pt idx="70">
                  <c:v>45047.979166666664</c:v>
                </c:pt>
                <c:pt idx="71">
                  <c:v>45047.989583333336</c:v>
                </c:pt>
                <c:pt idx="72">
                  <c:v>45048</c:v>
                </c:pt>
                <c:pt idx="73">
                  <c:v>45048.010416666664</c:v>
                </c:pt>
                <c:pt idx="74">
                  <c:v>45048.020833333336</c:v>
                </c:pt>
                <c:pt idx="75">
                  <c:v>45048.03125</c:v>
                </c:pt>
                <c:pt idx="76">
                  <c:v>45048.041666666664</c:v>
                </c:pt>
                <c:pt idx="77">
                  <c:v>45048.052083333336</c:v>
                </c:pt>
                <c:pt idx="78">
                  <c:v>45048.0625</c:v>
                </c:pt>
                <c:pt idx="79">
                  <c:v>45048.072916666664</c:v>
                </c:pt>
                <c:pt idx="80">
                  <c:v>45048.083333333336</c:v>
                </c:pt>
                <c:pt idx="81">
                  <c:v>45048.09375</c:v>
                </c:pt>
                <c:pt idx="82">
                  <c:v>45048.104166666664</c:v>
                </c:pt>
                <c:pt idx="83">
                  <c:v>45048.114583333336</c:v>
                </c:pt>
                <c:pt idx="84">
                  <c:v>45048.125</c:v>
                </c:pt>
                <c:pt idx="85">
                  <c:v>45048.135416666664</c:v>
                </c:pt>
                <c:pt idx="86">
                  <c:v>45048.145833333336</c:v>
                </c:pt>
                <c:pt idx="87">
                  <c:v>45048.15625</c:v>
                </c:pt>
                <c:pt idx="88">
                  <c:v>45048.166666666664</c:v>
                </c:pt>
                <c:pt idx="89">
                  <c:v>45048.177083333336</c:v>
                </c:pt>
                <c:pt idx="90">
                  <c:v>45048.1875</c:v>
                </c:pt>
                <c:pt idx="91">
                  <c:v>45048.197916666664</c:v>
                </c:pt>
                <c:pt idx="92">
                  <c:v>45048.208333333336</c:v>
                </c:pt>
                <c:pt idx="93">
                  <c:v>45048.21875</c:v>
                </c:pt>
                <c:pt idx="94">
                  <c:v>45048.229166666664</c:v>
                </c:pt>
                <c:pt idx="95">
                  <c:v>45048.239583333336</c:v>
                </c:pt>
                <c:pt idx="96">
                  <c:v>45048.25</c:v>
                </c:pt>
                <c:pt idx="97">
                  <c:v>45048.260416666664</c:v>
                </c:pt>
                <c:pt idx="98">
                  <c:v>45048.270833333336</c:v>
                </c:pt>
                <c:pt idx="99">
                  <c:v>45048.28125</c:v>
                </c:pt>
                <c:pt idx="100">
                  <c:v>45048.291666666664</c:v>
                </c:pt>
                <c:pt idx="101">
                  <c:v>45048.302083333336</c:v>
                </c:pt>
                <c:pt idx="102">
                  <c:v>45048.3125</c:v>
                </c:pt>
                <c:pt idx="103">
                  <c:v>45048.322916666664</c:v>
                </c:pt>
                <c:pt idx="104">
                  <c:v>45048.333333333336</c:v>
                </c:pt>
                <c:pt idx="105">
                  <c:v>45048.34375</c:v>
                </c:pt>
                <c:pt idx="106">
                  <c:v>45048.354166666664</c:v>
                </c:pt>
                <c:pt idx="107">
                  <c:v>45048.364583333336</c:v>
                </c:pt>
                <c:pt idx="108">
                  <c:v>45048.375</c:v>
                </c:pt>
                <c:pt idx="109">
                  <c:v>45048.385416666664</c:v>
                </c:pt>
                <c:pt idx="110">
                  <c:v>45048.395833333336</c:v>
                </c:pt>
                <c:pt idx="111">
                  <c:v>45048.40625</c:v>
                </c:pt>
                <c:pt idx="112">
                  <c:v>45048.416666666664</c:v>
                </c:pt>
                <c:pt idx="113">
                  <c:v>45048.427083333336</c:v>
                </c:pt>
                <c:pt idx="114">
                  <c:v>45048.4375</c:v>
                </c:pt>
                <c:pt idx="115">
                  <c:v>45048.447916666664</c:v>
                </c:pt>
                <c:pt idx="116">
                  <c:v>45048.458333333336</c:v>
                </c:pt>
                <c:pt idx="117">
                  <c:v>45048.46875</c:v>
                </c:pt>
                <c:pt idx="118">
                  <c:v>45048.479166666664</c:v>
                </c:pt>
                <c:pt idx="119">
                  <c:v>45048.489583333336</c:v>
                </c:pt>
                <c:pt idx="120">
                  <c:v>45048.5</c:v>
                </c:pt>
                <c:pt idx="121">
                  <c:v>45048.510416666664</c:v>
                </c:pt>
                <c:pt idx="122">
                  <c:v>45048.520833333336</c:v>
                </c:pt>
                <c:pt idx="123">
                  <c:v>45048.53125</c:v>
                </c:pt>
                <c:pt idx="124">
                  <c:v>45048.541666666664</c:v>
                </c:pt>
                <c:pt idx="125">
                  <c:v>45048.552083333336</c:v>
                </c:pt>
                <c:pt idx="126">
                  <c:v>45048.5625</c:v>
                </c:pt>
                <c:pt idx="127">
                  <c:v>45048.572916666664</c:v>
                </c:pt>
                <c:pt idx="128">
                  <c:v>45048.583333333336</c:v>
                </c:pt>
                <c:pt idx="129">
                  <c:v>45048.59375</c:v>
                </c:pt>
                <c:pt idx="130">
                  <c:v>45048.604166666664</c:v>
                </c:pt>
                <c:pt idx="131">
                  <c:v>45048.614583333336</c:v>
                </c:pt>
                <c:pt idx="132">
                  <c:v>45048.625</c:v>
                </c:pt>
                <c:pt idx="133">
                  <c:v>45048.635416666664</c:v>
                </c:pt>
                <c:pt idx="134">
                  <c:v>45048.645833333336</c:v>
                </c:pt>
                <c:pt idx="135">
                  <c:v>45048.65625</c:v>
                </c:pt>
                <c:pt idx="136">
                  <c:v>45048.666666666664</c:v>
                </c:pt>
                <c:pt idx="137">
                  <c:v>45048.677083333336</c:v>
                </c:pt>
                <c:pt idx="138">
                  <c:v>45048.6875</c:v>
                </c:pt>
                <c:pt idx="139">
                  <c:v>45048.697916666664</c:v>
                </c:pt>
                <c:pt idx="140">
                  <c:v>45048.708333333336</c:v>
                </c:pt>
                <c:pt idx="141">
                  <c:v>45048.71875</c:v>
                </c:pt>
                <c:pt idx="142">
                  <c:v>45048.729166666664</c:v>
                </c:pt>
                <c:pt idx="143">
                  <c:v>45048.739583333336</c:v>
                </c:pt>
                <c:pt idx="144">
                  <c:v>45048.75</c:v>
                </c:pt>
                <c:pt idx="145">
                  <c:v>45048.760416666664</c:v>
                </c:pt>
                <c:pt idx="146">
                  <c:v>45048.770833333336</c:v>
                </c:pt>
                <c:pt idx="147">
                  <c:v>45048.78125</c:v>
                </c:pt>
                <c:pt idx="148">
                  <c:v>45048.791666666664</c:v>
                </c:pt>
                <c:pt idx="149">
                  <c:v>45048.802083333336</c:v>
                </c:pt>
                <c:pt idx="150">
                  <c:v>45048.8125</c:v>
                </c:pt>
                <c:pt idx="151">
                  <c:v>45048.822916666664</c:v>
                </c:pt>
                <c:pt idx="152">
                  <c:v>45048.833333333336</c:v>
                </c:pt>
              </c:numCache>
            </c:numRef>
          </c:xVal>
          <c:yVal>
            <c:numRef>
              <c:f>'time series'!$CI$3:$CI$155</c:f>
              <c:numCache>
                <c:formatCode>0.000</c:formatCode>
                <c:ptCount val="153"/>
                <c:pt idx="0">
                  <c:v>77.362288004399332</c:v>
                </c:pt>
                <c:pt idx="1">
                  <c:v>77.81666415726292</c:v>
                </c:pt>
                <c:pt idx="2">
                  <c:v>75.776610972721528</c:v>
                </c:pt>
                <c:pt idx="3">
                  <c:v>76.574542920371201</c:v>
                </c:pt>
                <c:pt idx="4">
                  <c:v>74.118849769232312</c:v>
                </c:pt>
                <c:pt idx="5">
                  <c:v>76.739091393463653</c:v>
                </c:pt>
                <c:pt idx="6">
                  <c:v>75.756498835522578</c:v>
                </c:pt>
                <c:pt idx="7">
                  <c:v>78.08124505381646</c:v>
                </c:pt>
                <c:pt idx="8">
                  <c:v>75.928936726700002</c:v>
                </c:pt>
                <c:pt idx="9">
                  <c:v>77.490905212998626</c:v>
                </c:pt>
                <c:pt idx="10">
                  <c:v>74.675623016160287</c:v>
                </c:pt>
                <c:pt idx="11">
                  <c:v>76.058886788717572</c:v>
                </c:pt>
                <c:pt idx="12">
                  <c:v>78.915723136234604</c:v>
                </c:pt>
                <c:pt idx="13">
                  <c:v>79.537808239607671</c:v>
                </c:pt>
                <c:pt idx="14">
                  <c:v>74.341449568317927</c:v>
                </c:pt>
                <c:pt idx="15">
                  <c:v>78.144134670978204</c:v>
                </c:pt>
                <c:pt idx="16">
                  <c:v>82.031152042436332</c:v>
                </c:pt>
                <c:pt idx="17">
                  <c:v>78.740945511937539</c:v>
                </c:pt>
                <c:pt idx="18">
                  <c:v>75.728106483527228</c:v>
                </c:pt>
                <c:pt idx="19">
                  <c:v>80.868951261887133</c:v>
                </c:pt>
                <c:pt idx="20">
                  <c:v>76.593865601946831</c:v>
                </c:pt>
                <c:pt idx="21">
                  <c:v>75.370341479567273</c:v>
                </c:pt>
                <c:pt idx="22">
                  <c:v>74.891640603794414</c:v>
                </c:pt>
                <c:pt idx="23">
                  <c:v>76.319996669366716</c:v>
                </c:pt>
                <c:pt idx="24">
                  <c:v>77.525901478841334</c:v>
                </c:pt>
                <c:pt idx="25">
                  <c:v>78.30667744433417</c:v>
                </c:pt>
                <c:pt idx="26">
                  <c:v>77.449019286407179</c:v>
                </c:pt>
                <c:pt idx="27">
                  <c:v>79.27159371671226</c:v>
                </c:pt>
                <c:pt idx="28">
                  <c:v>77.036911333946151</c:v>
                </c:pt>
                <c:pt idx="29">
                  <c:v>76.216103103536071</c:v>
                </c:pt>
                <c:pt idx="30">
                  <c:v>81.345636039838126</c:v>
                </c:pt>
                <c:pt idx="31">
                  <c:v>78.422827658869721</c:v>
                </c:pt>
                <c:pt idx="32">
                  <c:v>76.5997774199719</c:v>
                </c:pt>
                <c:pt idx="33">
                  <c:v>78.164397664858541</c:v>
                </c:pt>
                <c:pt idx="34">
                  <c:v>76.067618111558048</c:v>
                </c:pt>
                <c:pt idx="35">
                  <c:v>76.800840016251428</c:v>
                </c:pt>
                <c:pt idx="36">
                  <c:v>76.301465955937488</c:v>
                </c:pt>
                <c:pt idx="37">
                  <c:v>78.224228579029855</c:v>
                </c:pt>
                <c:pt idx="38">
                  <c:v>75.602655643266957</c:v>
                </c:pt>
                <c:pt idx="39">
                  <c:v>79.014510302123043</c:v>
                </c:pt>
                <c:pt idx="40">
                  <c:v>79.275196969160135</c:v>
                </c:pt>
                <c:pt idx="41">
                  <c:v>76.977547572329826</c:v>
                </c:pt>
                <c:pt idx="42">
                  <c:v>80.573075096478703</c:v>
                </c:pt>
                <c:pt idx="43">
                  <c:v>77.572378438807007</c:v>
                </c:pt>
                <c:pt idx="44">
                  <c:v>76.260126646499643</c:v>
                </c:pt>
                <c:pt idx="45">
                  <c:v>76.479765477308888</c:v>
                </c:pt>
                <c:pt idx="46">
                  <c:v>75.899748061847362</c:v>
                </c:pt>
                <c:pt idx="47">
                  <c:v>78.322629276989787</c:v>
                </c:pt>
                <c:pt idx="48">
                  <c:v>79.130770975385673</c:v>
                </c:pt>
                <c:pt idx="49">
                  <c:v>81.481192405152612</c:v>
                </c:pt>
                <c:pt idx="50">
                  <c:v>81.29201136279157</c:v>
                </c:pt>
                <c:pt idx="51">
                  <c:v>80.734776585821564</c:v>
                </c:pt>
                <c:pt idx="52">
                  <c:v>80.282695824136809</c:v>
                </c:pt>
                <c:pt idx="53">
                  <c:v>81.90455301712359</c:v>
                </c:pt>
                <c:pt idx="54">
                  <c:v>79.476386803231208</c:v>
                </c:pt>
                <c:pt idx="55">
                  <c:v>77.607108657677202</c:v>
                </c:pt>
                <c:pt idx="56">
                  <c:v>80.971530922935756</c:v>
                </c:pt>
                <c:pt idx="57">
                  <c:v>81.866259363796459</c:v>
                </c:pt>
                <c:pt idx="58">
                  <c:v>81.019158027383341</c:v>
                </c:pt>
                <c:pt idx="59">
                  <c:v>83.15943300506575</c:v>
                </c:pt>
                <c:pt idx="60">
                  <c:v>81.6768206745962</c:v>
                </c:pt>
                <c:pt idx="61">
                  <c:v>83.278131465126677</c:v>
                </c:pt>
                <c:pt idx="62">
                  <c:v>84.380016860651793</c:v>
                </c:pt>
                <c:pt idx="63">
                  <c:v>81.380013330349172</c:v>
                </c:pt>
                <c:pt idx="64">
                  <c:v>78.612875640169861</c:v>
                </c:pt>
                <c:pt idx="65">
                  <c:v>78.457764374320973</c:v>
                </c:pt>
                <c:pt idx="66">
                  <c:v>81.623016985582112</c:v>
                </c:pt>
                <c:pt idx="67">
                  <c:v>77.852238312480338</c:v>
                </c:pt>
                <c:pt idx="68">
                  <c:v>77.581012434678129</c:v>
                </c:pt>
                <c:pt idx="69">
                  <c:v>79.872538524599534</c:v>
                </c:pt>
                <c:pt idx="70">
                  <c:v>79.646819543558891</c:v>
                </c:pt>
                <c:pt idx="71">
                  <c:v>79.147958798796736</c:v>
                </c:pt>
                <c:pt idx="72">
                  <c:v>82.579047989145138</c:v>
                </c:pt>
                <c:pt idx="73">
                  <c:v>80.182234881948659</c:v>
                </c:pt>
                <c:pt idx="74">
                  <c:v>82.099600303622864</c:v>
                </c:pt>
                <c:pt idx="75">
                  <c:v>77.220822457558285</c:v>
                </c:pt>
                <c:pt idx="76">
                  <c:v>75.474654751181305</c:v>
                </c:pt>
                <c:pt idx="77">
                  <c:v>80.410840220652446</c:v>
                </c:pt>
                <c:pt idx="78">
                  <c:v>77.392452143555744</c:v>
                </c:pt>
                <c:pt idx="79">
                  <c:v>77.01692194125107</c:v>
                </c:pt>
                <c:pt idx="80">
                  <c:v>78.055203213157398</c:v>
                </c:pt>
                <c:pt idx="81">
                  <c:v>80.133876550003379</c:v>
                </c:pt>
                <c:pt idx="82">
                  <c:v>79.858763426916852</c:v>
                </c:pt>
                <c:pt idx="83">
                  <c:v>78.13325204597966</c:v>
                </c:pt>
                <c:pt idx="84">
                  <c:v>78.907733024783937</c:v>
                </c:pt>
                <c:pt idx="85">
                  <c:v>79.778116732782578</c:v>
                </c:pt>
                <c:pt idx="86">
                  <c:v>76.127223006168265</c:v>
                </c:pt>
                <c:pt idx="87">
                  <c:v>78.533950668749554</c:v>
                </c:pt>
                <c:pt idx="88">
                  <c:v>78.994227973071261</c:v>
                </c:pt>
                <c:pt idx="89">
                  <c:v>81.306713600455609</c:v>
                </c:pt>
                <c:pt idx="90">
                  <c:v>80.223053105084546</c:v>
                </c:pt>
                <c:pt idx="91">
                  <c:v>78.35201385928282</c:v>
                </c:pt>
                <c:pt idx="92">
                  <c:v>80.700216501286377</c:v>
                </c:pt>
                <c:pt idx="93">
                  <c:v>78.710509537231189</c:v>
                </c:pt>
                <c:pt idx="94">
                  <c:v>78.794981175166939</c:v>
                </c:pt>
                <c:pt idx="95">
                  <c:v>79.036559311057331</c:v>
                </c:pt>
                <c:pt idx="96">
                  <c:v>78.944891685831678</c:v>
                </c:pt>
                <c:pt idx="97">
                  <c:v>78.487303157563844</c:v>
                </c:pt>
                <c:pt idx="98">
                  <c:v>79.400281975333314</c:v>
                </c:pt>
                <c:pt idx="99">
                  <c:v>76.223214833757211</c:v>
                </c:pt>
                <c:pt idx="100">
                  <c:v>81.192234018365667</c:v>
                </c:pt>
                <c:pt idx="101">
                  <c:v>76.513228277851653</c:v>
                </c:pt>
                <c:pt idx="102">
                  <c:v>79.209584438192763</c:v>
                </c:pt>
                <c:pt idx="103">
                  <c:v>78.907111612121881</c:v>
                </c:pt>
                <c:pt idx="104">
                  <c:v>79.236092799347745</c:v>
                </c:pt>
                <c:pt idx="105">
                  <c:v>77.93298510424863</c:v>
                </c:pt>
                <c:pt idx="106">
                  <c:v>80.681103801374221</c:v>
                </c:pt>
                <c:pt idx="107">
                  <c:v>79.131884238344639</c:v>
                </c:pt>
                <c:pt idx="108">
                  <c:v>79.295600112456114</c:v>
                </c:pt>
                <c:pt idx="109">
                  <c:v>81.01951852367381</c:v>
                </c:pt>
                <c:pt idx="110">
                  <c:v>81.272440002759069</c:v>
                </c:pt>
                <c:pt idx="111">
                  <c:v>78.556225608728454</c:v>
                </c:pt>
                <c:pt idx="112">
                  <c:v>80.462302313523097</c:v>
                </c:pt>
                <c:pt idx="113">
                  <c:v>80.097522299310597</c:v>
                </c:pt>
                <c:pt idx="114">
                  <c:v>76.264584343618679</c:v>
                </c:pt>
                <c:pt idx="115">
                  <c:v>80.484380013445275</c:v>
                </c:pt>
                <c:pt idx="116">
                  <c:v>79.336542938701925</c:v>
                </c:pt>
                <c:pt idx="117">
                  <c:v>77.315252809523471</c:v>
                </c:pt>
                <c:pt idx="118">
                  <c:v>77.134020271730336</c:v>
                </c:pt>
                <c:pt idx="119">
                  <c:v>80.719568628470725</c:v>
                </c:pt>
                <c:pt idx="120">
                  <c:v>80.3854123564292</c:v>
                </c:pt>
                <c:pt idx="121">
                  <c:v>77.338359726276551</c:v>
                </c:pt>
                <c:pt idx="122">
                  <c:v>80.453615980148953</c:v>
                </c:pt>
                <c:pt idx="123">
                  <c:v>79.313299300559237</c:v>
                </c:pt>
                <c:pt idx="124">
                  <c:v>81.101788635018096</c:v>
                </c:pt>
                <c:pt idx="125">
                  <c:v>76.383342595868754</c:v>
                </c:pt>
                <c:pt idx="126">
                  <c:v>80.19146718886941</c:v>
                </c:pt>
                <c:pt idx="127">
                  <c:v>80.300852192324996</c:v>
                </c:pt>
                <c:pt idx="128">
                  <c:v>78.957829720424073</c:v>
                </c:pt>
                <c:pt idx="129">
                  <c:v>80.973547646278249</c:v>
                </c:pt>
                <c:pt idx="130">
                  <c:v>78.056494279066953</c:v>
                </c:pt>
                <c:pt idx="131">
                  <c:v>80.940741296693048</c:v>
                </c:pt>
                <c:pt idx="132">
                  <c:v>77.103596670484791</c:v>
                </c:pt>
                <c:pt idx="133">
                  <c:v>81.239698396323718</c:v>
                </c:pt>
                <c:pt idx="134">
                  <c:v>81.912457625915266</c:v>
                </c:pt>
                <c:pt idx="135">
                  <c:v>79.545017979875212</c:v>
                </c:pt>
                <c:pt idx="136">
                  <c:v>81.9668563640315</c:v>
                </c:pt>
                <c:pt idx="137">
                  <c:v>80.513282529111677</c:v>
                </c:pt>
                <c:pt idx="138">
                  <c:v>80.284065066797666</c:v>
                </c:pt>
                <c:pt idx="139">
                  <c:v>80.501031981386177</c:v>
                </c:pt>
                <c:pt idx="140">
                  <c:v>79.528071830499584</c:v>
                </c:pt>
                <c:pt idx="141">
                  <c:v>78.673564473892895</c:v>
                </c:pt>
                <c:pt idx="142">
                  <c:v>80.335824803024266</c:v>
                </c:pt>
                <c:pt idx="143">
                  <c:v>81.823036247756932</c:v>
                </c:pt>
                <c:pt idx="144">
                  <c:v>79.332706662424229</c:v>
                </c:pt>
                <c:pt idx="145">
                  <c:v>84.084828007221162</c:v>
                </c:pt>
                <c:pt idx="146">
                  <c:v>79.840845333413483</c:v>
                </c:pt>
                <c:pt idx="147">
                  <c:v>83.220175387400374</c:v>
                </c:pt>
                <c:pt idx="148">
                  <c:v>81.908426654665263</c:v>
                </c:pt>
                <c:pt idx="149">
                  <c:v>79.485122134372787</c:v>
                </c:pt>
                <c:pt idx="150">
                  <c:v>79.844454981822423</c:v>
                </c:pt>
                <c:pt idx="151">
                  <c:v>80.071897614404079</c:v>
                </c:pt>
                <c:pt idx="152">
                  <c:v>77.920324241039069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3F-4B34-BDA2-7D0D7A8CC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3 -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series'!$CK$3:$CK$123</c:f>
              <c:numCache>
                <c:formatCode>m/d/yyyy\ h:mm</c:formatCode>
                <c:ptCount val="121"/>
                <c:pt idx="0">
                  <c:v>45049.25</c:v>
                </c:pt>
                <c:pt idx="1">
                  <c:v>45049.260416666664</c:v>
                </c:pt>
                <c:pt idx="2">
                  <c:v>45049.270833333336</c:v>
                </c:pt>
                <c:pt idx="3">
                  <c:v>45049.28125</c:v>
                </c:pt>
                <c:pt idx="4">
                  <c:v>45049.291666666664</c:v>
                </c:pt>
                <c:pt idx="5">
                  <c:v>45049.302083333336</c:v>
                </c:pt>
                <c:pt idx="6">
                  <c:v>45049.3125</c:v>
                </c:pt>
                <c:pt idx="7">
                  <c:v>45049.322916666664</c:v>
                </c:pt>
                <c:pt idx="8">
                  <c:v>45049.333333333336</c:v>
                </c:pt>
                <c:pt idx="9">
                  <c:v>45049.34375</c:v>
                </c:pt>
                <c:pt idx="10">
                  <c:v>45049.354166666664</c:v>
                </c:pt>
                <c:pt idx="11">
                  <c:v>45049.364583333336</c:v>
                </c:pt>
                <c:pt idx="12">
                  <c:v>45049.375</c:v>
                </c:pt>
                <c:pt idx="13">
                  <c:v>45049.385416666664</c:v>
                </c:pt>
                <c:pt idx="14">
                  <c:v>45049.395833333336</c:v>
                </c:pt>
                <c:pt idx="15">
                  <c:v>45049.40625</c:v>
                </c:pt>
                <c:pt idx="16">
                  <c:v>45049.416666666664</c:v>
                </c:pt>
                <c:pt idx="17">
                  <c:v>45049.427083333336</c:v>
                </c:pt>
                <c:pt idx="18">
                  <c:v>45049.4375</c:v>
                </c:pt>
                <c:pt idx="19">
                  <c:v>45049.447916666664</c:v>
                </c:pt>
                <c:pt idx="20">
                  <c:v>45049.458333333336</c:v>
                </c:pt>
                <c:pt idx="21">
                  <c:v>45049.46875</c:v>
                </c:pt>
                <c:pt idx="22">
                  <c:v>45049.479166666664</c:v>
                </c:pt>
                <c:pt idx="23">
                  <c:v>45049.489583333336</c:v>
                </c:pt>
                <c:pt idx="24">
                  <c:v>45049.5</c:v>
                </c:pt>
                <c:pt idx="25">
                  <c:v>45049.510416666664</c:v>
                </c:pt>
                <c:pt idx="26">
                  <c:v>45049.520833333336</c:v>
                </c:pt>
                <c:pt idx="27">
                  <c:v>45049.53125</c:v>
                </c:pt>
                <c:pt idx="28">
                  <c:v>45049.541666666664</c:v>
                </c:pt>
                <c:pt idx="29">
                  <c:v>45049.552083333336</c:v>
                </c:pt>
                <c:pt idx="30">
                  <c:v>45049.5625</c:v>
                </c:pt>
                <c:pt idx="31">
                  <c:v>45049.572916666664</c:v>
                </c:pt>
                <c:pt idx="32">
                  <c:v>45049.583333333336</c:v>
                </c:pt>
                <c:pt idx="33">
                  <c:v>45049.59375</c:v>
                </c:pt>
                <c:pt idx="34">
                  <c:v>45049.604166666664</c:v>
                </c:pt>
                <c:pt idx="35">
                  <c:v>45049.614583333336</c:v>
                </c:pt>
                <c:pt idx="36">
                  <c:v>45049.625</c:v>
                </c:pt>
                <c:pt idx="37">
                  <c:v>45049.635416666664</c:v>
                </c:pt>
                <c:pt idx="38">
                  <c:v>45049.645833333336</c:v>
                </c:pt>
                <c:pt idx="39">
                  <c:v>45049.65625</c:v>
                </c:pt>
                <c:pt idx="40">
                  <c:v>45049.666666666664</c:v>
                </c:pt>
                <c:pt idx="41">
                  <c:v>45049.677083333336</c:v>
                </c:pt>
                <c:pt idx="42">
                  <c:v>45049.6875</c:v>
                </c:pt>
                <c:pt idx="43">
                  <c:v>45049.697916666664</c:v>
                </c:pt>
                <c:pt idx="44">
                  <c:v>45049.708333333336</c:v>
                </c:pt>
                <c:pt idx="45">
                  <c:v>45049.71875</c:v>
                </c:pt>
                <c:pt idx="46">
                  <c:v>45049.729166666664</c:v>
                </c:pt>
                <c:pt idx="47">
                  <c:v>45049.739583333336</c:v>
                </c:pt>
                <c:pt idx="48">
                  <c:v>45049.75</c:v>
                </c:pt>
                <c:pt idx="49">
                  <c:v>45049.760416666664</c:v>
                </c:pt>
                <c:pt idx="50">
                  <c:v>45049.770833333336</c:v>
                </c:pt>
                <c:pt idx="51">
                  <c:v>45049.78125</c:v>
                </c:pt>
                <c:pt idx="52">
                  <c:v>45049.791666666664</c:v>
                </c:pt>
                <c:pt idx="53">
                  <c:v>45049.802083333336</c:v>
                </c:pt>
                <c:pt idx="54">
                  <c:v>45049.8125</c:v>
                </c:pt>
                <c:pt idx="55">
                  <c:v>45049.822916666664</c:v>
                </c:pt>
                <c:pt idx="56">
                  <c:v>45049.833333333336</c:v>
                </c:pt>
                <c:pt idx="57">
                  <c:v>45049.84375</c:v>
                </c:pt>
                <c:pt idx="58">
                  <c:v>45049.854166666664</c:v>
                </c:pt>
                <c:pt idx="59">
                  <c:v>45049.864583333336</c:v>
                </c:pt>
                <c:pt idx="60">
                  <c:v>45049.875</c:v>
                </c:pt>
                <c:pt idx="61">
                  <c:v>45049.885416666664</c:v>
                </c:pt>
                <c:pt idx="62">
                  <c:v>45049.895833333336</c:v>
                </c:pt>
                <c:pt idx="63">
                  <c:v>45049.90625</c:v>
                </c:pt>
                <c:pt idx="64">
                  <c:v>45049.916666666664</c:v>
                </c:pt>
                <c:pt idx="65">
                  <c:v>45049.927083333336</c:v>
                </c:pt>
                <c:pt idx="66">
                  <c:v>45049.9375</c:v>
                </c:pt>
                <c:pt idx="67">
                  <c:v>45049.947916666664</c:v>
                </c:pt>
                <c:pt idx="68">
                  <c:v>45049.958333333336</c:v>
                </c:pt>
                <c:pt idx="69">
                  <c:v>45049.96875</c:v>
                </c:pt>
                <c:pt idx="70">
                  <c:v>45049.979166666664</c:v>
                </c:pt>
                <c:pt idx="71">
                  <c:v>45049.989583333336</c:v>
                </c:pt>
                <c:pt idx="72">
                  <c:v>45050</c:v>
                </c:pt>
                <c:pt idx="73">
                  <c:v>45050.010416666664</c:v>
                </c:pt>
                <c:pt idx="74">
                  <c:v>45050.020833333336</c:v>
                </c:pt>
                <c:pt idx="75">
                  <c:v>45050.03125</c:v>
                </c:pt>
                <c:pt idx="76">
                  <c:v>45050.041666666664</c:v>
                </c:pt>
                <c:pt idx="77">
                  <c:v>45050.052083333336</c:v>
                </c:pt>
                <c:pt idx="78">
                  <c:v>45050.0625</c:v>
                </c:pt>
                <c:pt idx="79">
                  <c:v>45050.072916666664</c:v>
                </c:pt>
                <c:pt idx="80">
                  <c:v>45050.083333333336</c:v>
                </c:pt>
                <c:pt idx="81">
                  <c:v>45050.09375</c:v>
                </c:pt>
                <c:pt idx="82">
                  <c:v>45050.104166666664</c:v>
                </c:pt>
                <c:pt idx="83">
                  <c:v>45050.114583333336</c:v>
                </c:pt>
                <c:pt idx="84">
                  <c:v>45050.125</c:v>
                </c:pt>
                <c:pt idx="85">
                  <c:v>45050.135416666664</c:v>
                </c:pt>
                <c:pt idx="86">
                  <c:v>45050.145833333336</c:v>
                </c:pt>
                <c:pt idx="87">
                  <c:v>45050.15625</c:v>
                </c:pt>
                <c:pt idx="88">
                  <c:v>45050.166666666664</c:v>
                </c:pt>
                <c:pt idx="89">
                  <c:v>45050.177083333336</c:v>
                </c:pt>
                <c:pt idx="90">
                  <c:v>45050.1875</c:v>
                </c:pt>
                <c:pt idx="91">
                  <c:v>45050.197916666664</c:v>
                </c:pt>
                <c:pt idx="92">
                  <c:v>45050.208333333336</c:v>
                </c:pt>
                <c:pt idx="93">
                  <c:v>45050.21875</c:v>
                </c:pt>
                <c:pt idx="94">
                  <c:v>45050.229166666664</c:v>
                </c:pt>
                <c:pt idx="95">
                  <c:v>45050.239583333336</c:v>
                </c:pt>
                <c:pt idx="96">
                  <c:v>45050.25</c:v>
                </c:pt>
                <c:pt idx="97">
                  <c:v>45050.260416666664</c:v>
                </c:pt>
                <c:pt idx="98">
                  <c:v>45050.270833333336</c:v>
                </c:pt>
                <c:pt idx="99">
                  <c:v>45050.28125</c:v>
                </c:pt>
                <c:pt idx="100">
                  <c:v>45050.291666666664</c:v>
                </c:pt>
                <c:pt idx="101">
                  <c:v>45050.302083333336</c:v>
                </c:pt>
                <c:pt idx="102">
                  <c:v>45050.3125</c:v>
                </c:pt>
                <c:pt idx="103">
                  <c:v>45050.322916666664</c:v>
                </c:pt>
                <c:pt idx="104">
                  <c:v>45050.333333333336</c:v>
                </c:pt>
                <c:pt idx="105">
                  <c:v>45050.34375</c:v>
                </c:pt>
                <c:pt idx="106">
                  <c:v>45050.354166666664</c:v>
                </c:pt>
                <c:pt idx="107">
                  <c:v>45050.364583333336</c:v>
                </c:pt>
                <c:pt idx="108">
                  <c:v>45050.375</c:v>
                </c:pt>
                <c:pt idx="109">
                  <c:v>45050.385416666664</c:v>
                </c:pt>
                <c:pt idx="110">
                  <c:v>45050.395833333336</c:v>
                </c:pt>
                <c:pt idx="111">
                  <c:v>45050.40625</c:v>
                </c:pt>
                <c:pt idx="112">
                  <c:v>45050.416666666664</c:v>
                </c:pt>
                <c:pt idx="113">
                  <c:v>45050.427083333336</c:v>
                </c:pt>
                <c:pt idx="114">
                  <c:v>45050.4375</c:v>
                </c:pt>
                <c:pt idx="115">
                  <c:v>45050.447916666664</c:v>
                </c:pt>
                <c:pt idx="116">
                  <c:v>45050.458333333336</c:v>
                </c:pt>
                <c:pt idx="117">
                  <c:v>45050.46875</c:v>
                </c:pt>
                <c:pt idx="118">
                  <c:v>45050.479166666664</c:v>
                </c:pt>
                <c:pt idx="119">
                  <c:v>45050.489583333336</c:v>
                </c:pt>
                <c:pt idx="120">
                  <c:v>45050.5</c:v>
                </c:pt>
              </c:numCache>
            </c:numRef>
          </c:xVal>
          <c:yVal>
            <c:numRef>
              <c:f>'time series'!$CM$3:$CM$123</c:f>
              <c:numCache>
                <c:formatCode>0.000</c:formatCode>
                <c:ptCount val="121"/>
                <c:pt idx="0">
                  <c:v>98.886564129999996</c:v>
                </c:pt>
                <c:pt idx="1">
                  <c:v>94.720978599999995</c:v>
                </c:pt>
                <c:pt idx="2">
                  <c:v>100.9486689</c:v>
                </c:pt>
                <c:pt idx="3">
                  <c:v>103.3988808</c:v>
                </c:pt>
                <c:pt idx="4">
                  <c:v>108.62303609999999</c:v>
                </c:pt>
                <c:pt idx="5">
                  <c:v>93.457733590000004</c:v>
                </c:pt>
                <c:pt idx="6">
                  <c:v>98.893656829999998</c:v>
                </c:pt>
                <c:pt idx="7">
                  <c:v>91.345373739999999</c:v>
                </c:pt>
                <c:pt idx="8">
                  <c:v>94.720978599999995</c:v>
                </c:pt>
                <c:pt idx="9">
                  <c:v>97.229596529999995</c:v>
                </c:pt>
                <c:pt idx="10">
                  <c:v>91.338086169999997</c:v>
                </c:pt>
                <c:pt idx="11">
                  <c:v>90.492164919999993</c:v>
                </c:pt>
                <c:pt idx="12">
                  <c:v>92.610732819999996</c:v>
                </c:pt>
                <c:pt idx="13">
                  <c:v>87.058386479999996</c:v>
                </c:pt>
                <c:pt idx="14">
                  <c:v>90.492164919999993</c:v>
                </c:pt>
                <c:pt idx="15">
                  <c:v>90.492164919999993</c:v>
                </c:pt>
                <c:pt idx="16">
                  <c:v>90.060609240000005</c:v>
                </c:pt>
                <c:pt idx="17">
                  <c:v>91.338086169999997</c:v>
                </c:pt>
                <c:pt idx="18">
                  <c:v>87.058386479999996</c:v>
                </c:pt>
                <c:pt idx="19">
                  <c:v>93.877037450000003</c:v>
                </c:pt>
                <c:pt idx="20">
                  <c:v>89.209976960000006</c:v>
                </c:pt>
                <c:pt idx="21">
                  <c:v>91.338086169999997</c:v>
                </c:pt>
                <c:pt idx="22">
                  <c:v>84.891986889999998</c:v>
                </c:pt>
                <c:pt idx="23">
                  <c:v>87.058386479999996</c:v>
                </c:pt>
                <c:pt idx="24">
                  <c:v>87.922589900000006</c:v>
                </c:pt>
                <c:pt idx="25">
                  <c:v>95.977802339999997</c:v>
                </c:pt>
                <c:pt idx="26">
                  <c:v>92.617989059999999</c:v>
                </c:pt>
                <c:pt idx="27">
                  <c:v>91.767774239999994</c:v>
                </c:pt>
                <c:pt idx="28">
                  <c:v>97.229596529999995</c:v>
                </c:pt>
                <c:pt idx="29">
                  <c:v>93.877037450000003</c:v>
                </c:pt>
                <c:pt idx="30">
                  <c:v>95.138397370000007</c:v>
                </c:pt>
                <c:pt idx="31">
                  <c:v>93.877037450000003</c:v>
                </c:pt>
                <c:pt idx="32">
                  <c:v>95.977802339999997</c:v>
                </c:pt>
                <c:pt idx="33">
                  <c:v>97.229596529999995</c:v>
                </c:pt>
                <c:pt idx="34">
                  <c:v>101.36348099999999</c:v>
                </c:pt>
                <c:pt idx="35">
                  <c:v>99.714355679999997</c:v>
                </c:pt>
                <c:pt idx="36">
                  <c:v>103.8090014</c:v>
                </c:pt>
                <c:pt idx="37">
                  <c:v>103.8090014</c:v>
                </c:pt>
                <c:pt idx="38">
                  <c:v>103.80204430000001</c:v>
                </c:pt>
                <c:pt idx="39">
                  <c:v>102.9873886</c:v>
                </c:pt>
                <c:pt idx="40">
                  <c:v>104.61473460000001</c:v>
                </c:pt>
                <c:pt idx="41">
                  <c:v>106.2245245</c:v>
                </c:pt>
                <c:pt idx="42">
                  <c:v>101.7699069</c:v>
                </c:pt>
                <c:pt idx="43">
                  <c:v>106.2245245</c:v>
                </c:pt>
                <c:pt idx="44">
                  <c:v>109.0251016</c:v>
                </c:pt>
                <c:pt idx="45">
                  <c:v>112.18199679999999</c:v>
                </c:pt>
                <c:pt idx="46">
                  <c:v>105.0166174</c:v>
                </c:pt>
                <c:pt idx="47">
                  <c:v>105.0166174</c:v>
                </c:pt>
                <c:pt idx="48">
                  <c:v>109.0251016</c:v>
                </c:pt>
                <c:pt idx="49">
                  <c:v>123.998997</c:v>
                </c:pt>
                <c:pt idx="50">
                  <c:v>126.9470365</c:v>
                </c:pt>
                <c:pt idx="51">
                  <c:v>130.92322350000001</c:v>
                </c:pt>
                <c:pt idx="52">
                  <c:v>129.12778700000001</c:v>
                </c:pt>
                <c:pt idx="53">
                  <c:v>133.7707528</c:v>
                </c:pt>
                <c:pt idx="54">
                  <c:v>131.64072830000001</c:v>
                </c:pt>
                <c:pt idx="55">
                  <c:v>126.9470365</c:v>
                </c:pt>
                <c:pt idx="56">
                  <c:v>126.9470365</c:v>
                </c:pt>
                <c:pt idx="57">
                  <c:v>119.87671349999999</c:v>
                </c:pt>
                <c:pt idx="58">
                  <c:v>132.70838019999999</c:v>
                </c:pt>
                <c:pt idx="59">
                  <c:v>133.7707528</c:v>
                </c:pt>
                <c:pt idx="60">
                  <c:v>135.52973059999999</c:v>
                </c:pt>
                <c:pt idx="61">
                  <c:v>129.12778700000001</c:v>
                </c:pt>
                <c:pt idx="62">
                  <c:v>119.87671349999999</c:v>
                </c:pt>
                <c:pt idx="63">
                  <c:v>130.567172</c:v>
                </c:pt>
                <c:pt idx="64">
                  <c:v>122.1341827</c:v>
                </c:pt>
                <c:pt idx="65">
                  <c:v>136.5531871</c:v>
                </c:pt>
                <c:pt idx="66">
                  <c:v>131.9954343</c:v>
                </c:pt>
                <c:pt idx="67">
                  <c:v>124.3675379</c:v>
                </c:pt>
                <c:pt idx="68">
                  <c:v>124.3675379</c:v>
                </c:pt>
                <c:pt idx="69">
                  <c:v>129.12158679999999</c:v>
                </c:pt>
                <c:pt idx="70">
                  <c:v>124.3675379</c:v>
                </c:pt>
                <c:pt idx="71">
                  <c:v>124.3675379</c:v>
                </c:pt>
                <c:pt idx="72">
                  <c:v>118.36070239999999</c:v>
                </c:pt>
                <c:pt idx="73">
                  <c:v>120.2525852</c:v>
                </c:pt>
                <c:pt idx="74">
                  <c:v>119.11711819999999</c:v>
                </c:pt>
                <c:pt idx="75">
                  <c:v>117.21518</c:v>
                </c:pt>
                <c:pt idx="76">
                  <c:v>114.1275401</c:v>
                </c:pt>
                <c:pt idx="77">
                  <c:v>126.9470365</c:v>
                </c:pt>
                <c:pt idx="78">
                  <c:v>109.0251016</c:v>
                </c:pt>
                <c:pt idx="79">
                  <c:v>121.00878899999999</c:v>
                </c:pt>
                <c:pt idx="80">
                  <c:v>121.00878899999999</c:v>
                </c:pt>
                <c:pt idx="81">
                  <c:v>115.2898797</c:v>
                </c:pt>
                <c:pt idx="82">
                  <c:v>116.4455014</c:v>
                </c:pt>
                <c:pt idx="83">
                  <c:v>121.00878899999999</c:v>
                </c:pt>
                <c:pt idx="84">
                  <c:v>107.0292163</c:v>
                </c:pt>
                <c:pt idx="85">
                  <c:v>126.9407683</c:v>
                </c:pt>
                <c:pt idx="86">
                  <c:v>110.21295859999999</c:v>
                </c:pt>
                <c:pt idx="87">
                  <c:v>112.1752807</c:v>
                </c:pt>
                <c:pt idx="88">
                  <c:v>112.1752807</c:v>
                </c:pt>
                <c:pt idx="89">
                  <c:v>110.9974619</c:v>
                </c:pt>
                <c:pt idx="90">
                  <c:v>119.87671349999999</c:v>
                </c:pt>
                <c:pt idx="91">
                  <c:v>114.8986831</c:v>
                </c:pt>
                <c:pt idx="92">
                  <c:v>110.9974619</c:v>
                </c:pt>
                <c:pt idx="93">
                  <c:v>109.01829240000001</c:v>
                </c:pt>
                <c:pt idx="94">
                  <c:v>107.8236938</c:v>
                </c:pt>
                <c:pt idx="95">
                  <c:v>113.3477233</c:v>
                </c:pt>
                <c:pt idx="96">
                  <c:v>116.4455014</c:v>
                </c:pt>
                <c:pt idx="97">
                  <c:v>111.7853645</c:v>
                </c:pt>
                <c:pt idx="98">
                  <c:v>109.0251016</c:v>
                </c:pt>
                <c:pt idx="99">
                  <c:v>103.3988808</c:v>
                </c:pt>
                <c:pt idx="100">
                  <c:v>107.0292163</c:v>
                </c:pt>
                <c:pt idx="101">
                  <c:v>110.60554279999999</c:v>
                </c:pt>
                <c:pt idx="102">
                  <c:v>104.61473460000001</c:v>
                </c:pt>
                <c:pt idx="103">
                  <c:v>107.8305381</c:v>
                </c:pt>
                <c:pt idx="104">
                  <c:v>99.304680700000006</c:v>
                </c:pt>
                <c:pt idx="105">
                  <c:v>104.61473460000001</c:v>
                </c:pt>
                <c:pt idx="106">
                  <c:v>104.61473460000001</c:v>
                </c:pt>
                <c:pt idx="107">
                  <c:v>102.5822131</c:v>
                </c:pt>
                <c:pt idx="108">
                  <c:v>110.9974619</c:v>
                </c:pt>
                <c:pt idx="109">
                  <c:v>105.0166174</c:v>
                </c:pt>
                <c:pt idx="110">
                  <c:v>98.474887140000007</c:v>
                </c:pt>
                <c:pt idx="111">
                  <c:v>102.5822131</c:v>
                </c:pt>
                <c:pt idx="112">
                  <c:v>98.062569339999996</c:v>
                </c:pt>
                <c:pt idx="113">
                  <c:v>98.474887140000007</c:v>
                </c:pt>
                <c:pt idx="114">
                  <c:v>98.474887140000007</c:v>
                </c:pt>
                <c:pt idx="115">
                  <c:v>93.038532979999999</c:v>
                </c:pt>
                <c:pt idx="116">
                  <c:v>91.767774239999994</c:v>
                </c:pt>
                <c:pt idx="117">
                  <c:v>96.393321510000007</c:v>
                </c:pt>
                <c:pt idx="118">
                  <c:v>105.0166174</c:v>
                </c:pt>
                <c:pt idx="119">
                  <c:v>108.2271172</c:v>
                </c:pt>
                <c:pt idx="120">
                  <c:v>97.229596529999995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AA-49E3-87E9-CE54213DC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series'!$CK$3:$CK$123</c:f>
              <c:numCache>
                <c:formatCode>m/d/yyyy\ h:mm</c:formatCode>
                <c:ptCount val="121"/>
                <c:pt idx="0">
                  <c:v>45049.25</c:v>
                </c:pt>
                <c:pt idx="1">
                  <c:v>45049.260416666664</c:v>
                </c:pt>
                <c:pt idx="2">
                  <c:v>45049.270833333336</c:v>
                </c:pt>
                <c:pt idx="3">
                  <c:v>45049.28125</c:v>
                </c:pt>
                <c:pt idx="4">
                  <c:v>45049.291666666664</c:v>
                </c:pt>
                <c:pt idx="5">
                  <c:v>45049.302083333336</c:v>
                </c:pt>
                <c:pt idx="6">
                  <c:v>45049.3125</c:v>
                </c:pt>
                <c:pt idx="7">
                  <c:v>45049.322916666664</c:v>
                </c:pt>
                <c:pt idx="8">
                  <c:v>45049.333333333336</c:v>
                </c:pt>
                <c:pt idx="9">
                  <c:v>45049.34375</c:v>
                </c:pt>
                <c:pt idx="10">
                  <c:v>45049.354166666664</c:v>
                </c:pt>
                <c:pt idx="11">
                  <c:v>45049.364583333336</c:v>
                </c:pt>
                <c:pt idx="12">
                  <c:v>45049.375</c:v>
                </c:pt>
                <c:pt idx="13">
                  <c:v>45049.385416666664</c:v>
                </c:pt>
                <c:pt idx="14">
                  <c:v>45049.395833333336</c:v>
                </c:pt>
                <c:pt idx="15">
                  <c:v>45049.40625</c:v>
                </c:pt>
                <c:pt idx="16">
                  <c:v>45049.416666666664</c:v>
                </c:pt>
                <c:pt idx="17">
                  <c:v>45049.427083333336</c:v>
                </c:pt>
                <c:pt idx="18">
                  <c:v>45049.4375</c:v>
                </c:pt>
                <c:pt idx="19">
                  <c:v>45049.447916666664</c:v>
                </c:pt>
                <c:pt idx="20">
                  <c:v>45049.458333333336</c:v>
                </c:pt>
                <c:pt idx="21">
                  <c:v>45049.46875</c:v>
                </c:pt>
                <c:pt idx="22">
                  <c:v>45049.479166666664</c:v>
                </c:pt>
                <c:pt idx="23">
                  <c:v>45049.489583333336</c:v>
                </c:pt>
                <c:pt idx="24">
                  <c:v>45049.5</c:v>
                </c:pt>
                <c:pt idx="25">
                  <c:v>45049.510416666664</c:v>
                </c:pt>
                <c:pt idx="26">
                  <c:v>45049.520833333336</c:v>
                </c:pt>
                <c:pt idx="27">
                  <c:v>45049.53125</c:v>
                </c:pt>
                <c:pt idx="28">
                  <c:v>45049.541666666664</c:v>
                </c:pt>
                <c:pt idx="29">
                  <c:v>45049.552083333336</c:v>
                </c:pt>
                <c:pt idx="30">
                  <c:v>45049.5625</c:v>
                </c:pt>
                <c:pt idx="31">
                  <c:v>45049.572916666664</c:v>
                </c:pt>
                <c:pt idx="32">
                  <c:v>45049.583333333336</c:v>
                </c:pt>
                <c:pt idx="33">
                  <c:v>45049.59375</c:v>
                </c:pt>
                <c:pt idx="34">
                  <c:v>45049.604166666664</c:v>
                </c:pt>
                <c:pt idx="35">
                  <c:v>45049.614583333336</c:v>
                </c:pt>
                <c:pt idx="36">
                  <c:v>45049.625</c:v>
                </c:pt>
                <c:pt idx="37">
                  <c:v>45049.635416666664</c:v>
                </c:pt>
                <c:pt idx="38">
                  <c:v>45049.645833333336</c:v>
                </c:pt>
                <c:pt idx="39">
                  <c:v>45049.65625</c:v>
                </c:pt>
                <c:pt idx="40">
                  <c:v>45049.666666666664</c:v>
                </c:pt>
                <c:pt idx="41">
                  <c:v>45049.677083333336</c:v>
                </c:pt>
                <c:pt idx="42">
                  <c:v>45049.6875</c:v>
                </c:pt>
                <c:pt idx="43">
                  <c:v>45049.697916666664</c:v>
                </c:pt>
                <c:pt idx="44">
                  <c:v>45049.708333333336</c:v>
                </c:pt>
                <c:pt idx="45">
                  <c:v>45049.71875</c:v>
                </c:pt>
                <c:pt idx="46">
                  <c:v>45049.729166666664</c:v>
                </c:pt>
                <c:pt idx="47">
                  <c:v>45049.739583333336</c:v>
                </c:pt>
                <c:pt idx="48">
                  <c:v>45049.75</c:v>
                </c:pt>
                <c:pt idx="49">
                  <c:v>45049.760416666664</c:v>
                </c:pt>
                <c:pt idx="50">
                  <c:v>45049.770833333336</c:v>
                </c:pt>
                <c:pt idx="51">
                  <c:v>45049.78125</c:v>
                </c:pt>
                <c:pt idx="52">
                  <c:v>45049.791666666664</c:v>
                </c:pt>
                <c:pt idx="53">
                  <c:v>45049.802083333336</c:v>
                </c:pt>
                <c:pt idx="54">
                  <c:v>45049.8125</c:v>
                </c:pt>
                <c:pt idx="55">
                  <c:v>45049.822916666664</c:v>
                </c:pt>
                <c:pt idx="56">
                  <c:v>45049.833333333336</c:v>
                </c:pt>
                <c:pt idx="57">
                  <c:v>45049.84375</c:v>
                </c:pt>
                <c:pt idx="58">
                  <c:v>45049.854166666664</c:v>
                </c:pt>
                <c:pt idx="59">
                  <c:v>45049.864583333336</c:v>
                </c:pt>
                <c:pt idx="60">
                  <c:v>45049.875</c:v>
                </c:pt>
                <c:pt idx="61">
                  <c:v>45049.885416666664</c:v>
                </c:pt>
                <c:pt idx="62">
                  <c:v>45049.895833333336</c:v>
                </c:pt>
                <c:pt idx="63">
                  <c:v>45049.90625</c:v>
                </c:pt>
                <c:pt idx="64">
                  <c:v>45049.916666666664</c:v>
                </c:pt>
                <c:pt idx="65">
                  <c:v>45049.927083333336</c:v>
                </c:pt>
                <c:pt idx="66">
                  <c:v>45049.9375</c:v>
                </c:pt>
                <c:pt idx="67">
                  <c:v>45049.947916666664</c:v>
                </c:pt>
                <c:pt idx="68">
                  <c:v>45049.958333333336</c:v>
                </c:pt>
                <c:pt idx="69">
                  <c:v>45049.96875</c:v>
                </c:pt>
                <c:pt idx="70">
                  <c:v>45049.979166666664</c:v>
                </c:pt>
                <c:pt idx="71">
                  <c:v>45049.989583333336</c:v>
                </c:pt>
                <c:pt idx="72">
                  <c:v>45050</c:v>
                </c:pt>
                <c:pt idx="73">
                  <c:v>45050.010416666664</c:v>
                </c:pt>
                <c:pt idx="74">
                  <c:v>45050.020833333336</c:v>
                </c:pt>
                <c:pt idx="75">
                  <c:v>45050.03125</c:v>
                </c:pt>
                <c:pt idx="76">
                  <c:v>45050.041666666664</c:v>
                </c:pt>
                <c:pt idx="77">
                  <c:v>45050.052083333336</c:v>
                </c:pt>
                <c:pt idx="78">
                  <c:v>45050.0625</c:v>
                </c:pt>
                <c:pt idx="79">
                  <c:v>45050.072916666664</c:v>
                </c:pt>
                <c:pt idx="80">
                  <c:v>45050.083333333336</c:v>
                </c:pt>
                <c:pt idx="81">
                  <c:v>45050.09375</c:v>
                </c:pt>
                <c:pt idx="82">
                  <c:v>45050.104166666664</c:v>
                </c:pt>
                <c:pt idx="83">
                  <c:v>45050.114583333336</c:v>
                </c:pt>
                <c:pt idx="84">
                  <c:v>45050.125</c:v>
                </c:pt>
                <c:pt idx="85">
                  <c:v>45050.135416666664</c:v>
                </c:pt>
                <c:pt idx="86">
                  <c:v>45050.145833333336</c:v>
                </c:pt>
                <c:pt idx="87">
                  <c:v>45050.15625</c:v>
                </c:pt>
                <c:pt idx="88">
                  <c:v>45050.166666666664</c:v>
                </c:pt>
                <c:pt idx="89">
                  <c:v>45050.177083333336</c:v>
                </c:pt>
                <c:pt idx="90">
                  <c:v>45050.1875</c:v>
                </c:pt>
                <c:pt idx="91">
                  <c:v>45050.197916666664</c:v>
                </c:pt>
                <c:pt idx="92">
                  <c:v>45050.208333333336</c:v>
                </c:pt>
                <c:pt idx="93">
                  <c:v>45050.21875</c:v>
                </c:pt>
                <c:pt idx="94">
                  <c:v>45050.229166666664</c:v>
                </c:pt>
                <c:pt idx="95">
                  <c:v>45050.239583333336</c:v>
                </c:pt>
                <c:pt idx="96">
                  <c:v>45050.25</c:v>
                </c:pt>
                <c:pt idx="97">
                  <c:v>45050.260416666664</c:v>
                </c:pt>
                <c:pt idx="98">
                  <c:v>45050.270833333336</c:v>
                </c:pt>
                <c:pt idx="99">
                  <c:v>45050.28125</c:v>
                </c:pt>
                <c:pt idx="100">
                  <c:v>45050.291666666664</c:v>
                </c:pt>
                <c:pt idx="101">
                  <c:v>45050.302083333336</c:v>
                </c:pt>
                <c:pt idx="102">
                  <c:v>45050.3125</c:v>
                </c:pt>
                <c:pt idx="103">
                  <c:v>45050.322916666664</c:v>
                </c:pt>
                <c:pt idx="104">
                  <c:v>45050.333333333336</c:v>
                </c:pt>
                <c:pt idx="105">
                  <c:v>45050.34375</c:v>
                </c:pt>
                <c:pt idx="106">
                  <c:v>45050.354166666664</c:v>
                </c:pt>
                <c:pt idx="107">
                  <c:v>45050.364583333336</c:v>
                </c:pt>
                <c:pt idx="108">
                  <c:v>45050.375</c:v>
                </c:pt>
                <c:pt idx="109">
                  <c:v>45050.385416666664</c:v>
                </c:pt>
                <c:pt idx="110">
                  <c:v>45050.395833333336</c:v>
                </c:pt>
                <c:pt idx="111">
                  <c:v>45050.40625</c:v>
                </c:pt>
                <c:pt idx="112">
                  <c:v>45050.416666666664</c:v>
                </c:pt>
                <c:pt idx="113">
                  <c:v>45050.427083333336</c:v>
                </c:pt>
                <c:pt idx="114">
                  <c:v>45050.4375</c:v>
                </c:pt>
                <c:pt idx="115">
                  <c:v>45050.447916666664</c:v>
                </c:pt>
                <c:pt idx="116">
                  <c:v>45050.458333333336</c:v>
                </c:pt>
                <c:pt idx="117">
                  <c:v>45050.46875</c:v>
                </c:pt>
                <c:pt idx="118">
                  <c:v>45050.479166666664</c:v>
                </c:pt>
                <c:pt idx="119">
                  <c:v>45050.489583333336</c:v>
                </c:pt>
                <c:pt idx="120">
                  <c:v>45050.5</c:v>
                </c:pt>
              </c:numCache>
            </c:numRef>
          </c:xVal>
          <c:yVal>
            <c:numRef>
              <c:f>'time series'!$CQ$5:$CQ$123</c:f>
              <c:numCache>
                <c:formatCode>0.00</c:formatCode>
                <c:ptCount val="119"/>
                <c:pt idx="0">
                  <c:v>83.523005505687152</c:v>
                </c:pt>
                <c:pt idx="1">
                  <c:v>82.954527517052853</c:v>
                </c:pt>
                <c:pt idx="2">
                  <c:v>86.924342915009575</c:v>
                </c:pt>
                <c:pt idx="3">
                  <c:v>84.623799863901397</c:v>
                </c:pt>
                <c:pt idx="4">
                  <c:v>84.036829210087575</c:v>
                </c:pt>
                <c:pt idx="5">
                  <c:v>88.279772023546002</c:v>
                </c:pt>
                <c:pt idx="6">
                  <c:v>84.964427348275436</c:v>
                </c:pt>
                <c:pt idx="7">
                  <c:v>84.932677515374522</c:v>
                </c:pt>
                <c:pt idx="8">
                  <c:v>86.733453598336567</c:v>
                </c:pt>
                <c:pt idx="9">
                  <c:v>86.574117555919557</c:v>
                </c:pt>
                <c:pt idx="10">
                  <c:v>88.937734804526301</c:v>
                </c:pt>
                <c:pt idx="11">
                  <c:v>83.11655176203422</c:v>
                </c:pt>
                <c:pt idx="12">
                  <c:v>86.87387478800278</c:v>
                </c:pt>
                <c:pt idx="13">
                  <c:v>83.751907285775872</c:v>
                </c:pt>
                <c:pt idx="14">
                  <c:v>91.866079568496914</c:v>
                </c:pt>
                <c:pt idx="15">
                  <c:v>88.971741236145789</c:v>
                </c:pt>
                <c:pt idx="16">
                  <c:v>85.692227206089811</c:v>
                </c:pt>
                <c:pt idx="17">
                  <c:v>86.883313214061388</c:v>
                </c:pt>
                <c:pt idx="18">
                  <c:v>86.317909340186262</c:v>
                </c:pt>
                <c:pt idx="19">
                  <c:v>84.5992452289033</c:v>
                </c:pt>
                <c:pt idx="20">
                  <c:v>82.983317404170393</c:v>
                </c:pt>
                <c:pt idx="21">
                  <c:v>85.562727323064166</c:v>
                </c:pt>
                <c:pt idx="22">
                  <c:v>88.245923622620822</c:v>
                </c:pt>
                <c:pt idx="23">
                  <c:v>84.878020705486136</c:v>
                </c:pt>
                <c:pt idx="24">
                  <c:v>84.461416497852568</c:v>
                </c:pt>
                <c:pt idx="25">
                  <c:v>85.360661814628742</c:v>
                </c:pt>
                <c:pt idx="26">
                  <c:v>83.134167282996387</c:v>
                </c:pt>
                <c:pt idx="27">
                  <c:v>86.774959029769491</c:v>
                </c:pt>
                <c:pt idx="28">
                  <c:v>84.573887832164203</c:v>
                </c:pt>
                <c:pt idx="29">
                  <c:v>84.848765407419762</c:v>
                </c:pt>
                <c:pt idx="30">
                  <c:v>86.285521859634741</c:v>
                </c:pt>
                <c:pt idx="31">
                  <c:v>86.128698986913051</c:v>
                </c:pt>
                <c:pt idx="32">
                  <c:v>85.697232722978967</c:v>
                </c:pt>
                <c:pt idx="33">
                  <c:v>86.230439195638269</c:v>
                </c:pt>
                <c:pt idx="34">
                  <c:v>84.782077882760689</c:v>
                </c:pt>
                <c:pt idx="35">
                  <c:v>84.440930421910934</c:v>
                </c:pt>
                <c:pt idx="36">
                  <c:v>87.998057215811713</c:v>
                </c:pt>
                <c:pt idx="37">
                  <c:v>84.258224306674776</c:v>
                </c:pt>
                <c:pt idx="38">
                  <c:v>82.879583620842681</c:v>
                </c:pt>
                <c:pt idx="39">
                  <c:v>83.462807818498561</c:v>
                </c:pt>
                <c:pt idx="40">
                  <c:v>103.70112832820597</c:v>
                </c:pt>
                <c:pt idx="41">
                  <c:v>87.413343389784544</c:v>
                </c:pt>
                <c:pt idx="42">
                  <c:v>88.659819687119949</c:v>
                </c:pt>
                <c:pt idx="43">
                  <c:v>92.738042042116604</c:v>
                </c:pt>
                <c:pt idx="44">
                  <c:v>88.085287232976739</c:v>
                </c:pt>
                <c:pt idx="45">
                  <c:v>85.186496090273181</c:v>
                </c:pt>
                <c:pt idx="46">
                  <c:v>92.289265097919056</c:v>
                </c:pt>
                <c:pt idx="47">
                  <c:v>85.557095819920633</c:v>
                </c:pt>
                <c:pt idx="48">
                  <c:v>89.512327251925768</c:v>
                </c:pt>
                <c:pt idx="49">
                  <c:v>87.081786271634414</c:v>
                </c:pt>
                <c:pt idx="50">
                  <c:v>88.187648190619555</c:v>
                </c:pt>
                <c:pt idx="51">
                  <c:v>90.716046352012157</c:v>
                </c:pt>
                <c:pt idx="52">
                  <c:v>87.047536303459367</c:v>
                </c:pt>
                <c:pt idx="53">
                  <c:v>87.451273510574211</c:v>
                </c:pt>
                <c:pt idx="54">
                  <c:v>89.105049150463373</c:v>
                </c:pt>
                <c:pt idx="55">
                  <c:v>89.231906494615046</c:v>
                </c:pt>
                <c:pt idx="56">
                  <c:v>86.555065178774925</c:v>
                </c:pt>
                <c:pt idx="57">
                  <c:v>85.489516476400496</c:v>
                </c:pt>
                <c:pt idx="58">
                  <c:v>95.8079973303809</c:v>
                </c:pt>
                <c:pt idx="59">
                  <c:v>87.783796153347112</c:v>
                </c:pt>
                <c:pt idx="60">
                  <c:v>85.216566503490611</c:v>
                </c:pt>
                <c:pt idx="61">
                  <c:v>92.624998581066876</c:v>
                </c:pt>
                <c:pt idx="62">
                  <c:v>87.920299972711945</c:v>
                </c:pt>
                <c:pt idx="63">
                  <c:v>88.120223356293181</c:v>
                </c:pt>
                <c:pt idx="64">
                  <c:v>90.57936026552936</c:v>
                </c:pt>
                <c:pt idx="65">
                  <c:v>90.063124525809016</c:v>
                </c:pt>
                <c:pt idx="66">
                  <c:v>92.040017565469995</c:v>
                </c:pt>
                <c:pt idx="67">
                  <c:v>91.073940073060001</c:v>
                </c:pt>
                <c:pt idx="68">
                  <c:v>94.392825777035952</c:v>
                </c:pt>
                <c:pt idx="69">
                  <c:v>93.551180427614469</c:v>
                </c:pt>
                <c:pt idx="70">
                  <c:v>87.92030913959195</c:v>
                </c:pt>
                <c:pt idx="71">
                  <c:v>87.853163050649044</c:v>
                </c:pt>
                <c:pt idx="72">
                  <c:v>86.777725968269067</c:v>
                </c:pt>
                <c:pt idx="73">
                  <c:v>96.052853776553491</c:v>
                </c:pt>
                <c:pt idx="74">
                  <c:v>88.194344517051206</c:v>
                </c:pt>
                <c:pt idx="75">
                  <c:v>88.267561423481752</c:v>
                </c:pt>
                <c:pt idx="76">
                  <c:v>95.420102740724602</c:v>
                </c:pt>
                <c:pt idx="77">
                  <c:v>96.877885704632021</c:v>
                </c:pt>
                <c:pt idx="78">
                  <c:v>94.212988019585723</c:v>
                </c:pt>
                <c:pt idx="79">
                  <c:v>91.173411789432905</c:v>
                </c:pt>
                <c:pt idx="80">
                  <c:v>89.268768119002431</c:v>
                </c:pt>
                <c:pt idx="81">
                  <c:v>93.300735956107616</c:v>
                </c:pt>
                <c:pt idx="82">
                  <c:v>95.060410526419005</c:v>
                </c:pt>
                <c:pt idx="83">
                  <c:v>91.763460173469042</c:v>
                </c:pt>
                <c:pt idx="84">
                  <c:v>93.264473810135769</c:v>
                </c:pt>
                <c:pt idx="85">
                  <c:v>91.291577840830925</c:v>
                </c:pt>
                <c:pt idx="86">
                  <c:v>86.959201589168842</c:v>
                </c:pt>
                <c:pt idx="87">
                  <c:v>89.762699997201636</c:v>
                </c:pt>
                <c:pt idx="88">
                  <c:v>100.2984509805308</c:v>
                </c:pt>
                <c:pt idx="89">
                  <c:v>93.952978659316784</c:v>
                </c:pt>
                <c:pt idx="90">
                  <c:v>101.1268328041553</c:v>
                </c:pt>
                <c:pt idx="91">
                  <c:v>88.616836602522028</c:v>
                </c:pt>
                <c:pt idx="92">
                  <c:v>89.705357283736475</c:v>
                </c:pt>
                <c:pt idx="93">
                  <c:v>93.074359240155488</c:v>
                </c:pt>
                <c:pt idx="94">
                  <c:v>91.746897928617159</c:v>
                </c:pt>
                <c:pt idx="95">
                  <c:v>97.30775138187532</c:v>
                </c:pt>
                <c:pt idx="96">
                  <c:v>90.085040933887186</c:v>
                </c:pt>
                <c:pt idx="97">
                  <c:v>97.607096808186895</c:v>
                </c:pt>
                <c:pt idx="98">
                  <c:v>97.846410091869757</c:v>
                </c:pt>
                <c:pt idx="99">
                  <c:v>91.094451698623004</c:v>
                </c:pt>
                <c:pt idx="100">
                  <c:v>93.28518052938378</c:v>
                </c:pt>
                <c:pt idx="101">
                  <c:v>92.786252654080201</c:v>
                </c:pt>
                <c:pt idx="102">
                  <c:v>88.621318548832164</c:v>
                </c:pt>
                <c:pt idx="103">
                  <c:v>103.09708548977393</c:v>
                </c:pt>
                <c:pt idx="104">
                  <c:v>92.615651468621266</c:v>
                </c:pt>
                <c:pt idx="105">
                  <c:v>91.747886877796134</c:v>
                </c:pt>
                <c:pt idx="106">
                  <c:v>96.127745698223791</c:v>
                </c:pt>
                <c:pt idx="107">
                  <c:v>98.353244881638545</c:v>
                </c:pt>
                <c:pt idx="108">
                  <c:v>103.82288506491871</c:v>
                </c:pt>
                <c:pt idx="109">
                  <c:v>98.873955801959596</c:v>
                </c:pt>
                <c:pt idx="110">
                  <c:v>109.984122680624</c:v>
                </c:pt>
                <c:pt idx="111">
                  <c:v>102.02483127705305</c:v>
                </c:pt>
                <c:pt idx="112">
                  <c:v>95.183479650137087</c:v>
                </c:pt>
                <c:pt idx="113">
                  <c:v>105.90439703700785</c:v>
                </c:pt>
                <c:pt idx="114">
                  <c:v>100.72020683221007</c:v>
                </c:pt>
                <c:pt idx="115">
                  <c:v>99.501033529171536</c:v>
                </c:pt>
                <c:pt idx="116">
                  <c:v>95.033244496914804</c:v>
                </c:pt>
                <c:pt idx="117">
                  <c:v>94.158482374515629</c:v>
                </c:pt>
                <c:pt idx="118">
                  <c:v>104.23689686956476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AA-49E3-87E9-CE54213DC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'time series'!$CS$3:$CS$120</c:f>
              <c:numCache>
                <c:formatCode>m/d/yyyy\ h:mm</c:formatCode>
                <c:ptCount val="118"/>
                <c:pt idx="0">
                  <c:v>45050.510416666664</c:v>
                </c:pt>
                <c:pt idx="1">
                  <c:v>45050.520833333336</c:v>
                </c:pt>
                <c:pt idx="2">
                  <c:v>45050.53125</c:v>
                </c:pt>
                <c:pt idx="3">
                  <c:v>45050.541666666664</c:v>
                </c:pt>
                <c:pt idx="4">
                  <c:v>45050.552083333336</c:v>
                </c:pt>
                <c:pt idx="5">
                  <c:v>45050.5625</c:v>
                </c:pt>
                <c:pt idx="6">
                  <c:v>45050.572916666664</c:v>
                </c:pt>
                <c:pt idx="7">
                  <c:v>45050.583333333336</c:v>
                </c:pt>
                <c:pt idx="8">
                  <c:v>45050.59375</c:v>
                </c:pt>
                <c:pt idx="9">
                  <c:v>45050.604166666664</c:v>
                </c:pt>
                <c:pt idx="10">
                  <c:v>45050.614583333336</c:v>
                </c:pt>
                <c:pt idx="11">
                  <c:v>45050.625</c:v>
                </c:pt>
                <c:pt idx="12">
                  <c:v>45050.635416666664</c:v>
                </c:pt>
                <c:pt idx="13">
                  <c:v>45050.645833333336</c:v>
                </c:pt>
                <c:pt idx="14">
                  <c:v>45050.65625</c:v>
                </c:pt>
                <c:pt idx="15">
                  <c:v>45050.666666666664</c:v>
                </c:pt>
                <c:pt idx="16">
                  <c:v>45050.677083333336</c:v>
                </c:pt>
                <c:pt idx="17">
                  <c:v>45050.6875</c:v>
                </c:pt>
                <c:pt idx="18">
                  <c:v>45050.697916666664</c:v>
                </c:pt>
                <c:pt idx="19">
                  <c:v>45050.708333333336</c:v>
                </c:pt>
                <c:pt idx="20">
                  <c:v>45050.71875</c:v>
                </c:pt>
                <c:pt idx="21">
                  <c:v>45050.729166666664</c:v>
                </c:pt>
                <c:pt idx="22">
                  <c:v>45050.739583333336</c:v>
                </c:pt>
                <c:pt idx="23">
                  <c:v>45050.75</c:v>
                </c:pt>
                <c:pt idx="24">
                  <c:v>45050.760416666664</c:v>
                </c:pt>
                <c:pt idx="25">
                  <c:v>45050.770833333336</c:v>
                </c:pt>
                <c:pt idx="26">
                  <c:v>45050.78125</c:v>
                </c:pt>
                <c:pt idx="27">
                  <c:v>45050.791666666664</c:v>
                </c:pt>
                <c:pt idx="28">
                  <c:v>45050.802083333336</c:v>
                </c:pt>
                <c:pt idx="29">
                  <c:v>45050.8125</c:v>
                </c:pt>
                <c:pt idx="30">
                  <c:v>45050.822916666664</c:v>
                </c:pt>
                <c:pt idx="31">
                  <c:v>45050.833333333336</c:v>
                </c:pt>
                <c:pt idx="32">
                  <c:v>45050.84375</c:v>
                </c:pt>
                <c:pt idx="33">
                  <c:v>45050.854166666664</c:v>
                </c:pt>
                <c:pt idx="34">
                  <c:v>45050.864583333336</c:v>
                </c:pt>
                <c:pt idx="35">
                  <c:v>45050.875</c:v>
                </c:pt>
                <c:pt idx="36">
                  <c:v>45050.885416666664</c:v>
                </c:pt>
                <c:pt idx="37">
                  <c:v>45050.895833333336</c:v>
                </c:pt>
                <c:pt idx="38">
                  <c:v>45050.90625</c:v>
                </c:pt>
                <c:pt idx="39">
                  <c:v>45050.916666666664</c:v>
                </c:pt>
                <c:pt idx="40">
                  <c:v>45050.927083333336</c:v>
                </c:pt>
                <c:pt idx="41">
                  <c:v>45050.9375</c:v>
                </c:pt>
                <c:pt idx="42">
                  <c:v>45050.947916666664</c:v>
                </c:pt>
                <c:pt idx="43">
                  <c:v>45050.958333333336</c:v>
                </c:pt>
                <c:pt idx="44">
                  <c:v>45050.96875</c:v>
                </c:pt>
                <c:pt idx="45">
                  <c:v>45050.979166666664</c:v>
                </c:pt>
                <c:pt idx="46">
                  <c:v>45050.989583333336</c:v>
                </c:pt>
                <c:pt idx="47">
                  <c:v>45051</c:v>
                </c:pt>
                <c:pt idx="48">
                  <c:v>45051.010416666664</c:v>
                </c:pt>
                <c:pt idx="49">
                  <c:v>45051.020833333336</c:v>
                </c:pt>
                <c:pt idx="50">
                  <c:v>45051.03125</c:v>
                </c:pt>
                <c:pt idx="51">
                  <c:v>45051.041666666664</c:v>
                </c:pt>
                <c:pt idx="52">
                  <c:v>45051.052083333336</c:v>
                </c:pt>
                <c:pt idx="53">
                  <c:v>45051.0625</c:v>
                </c:pt>
                <c:pt idx="54">
                  <c:v>45051.072916666664</c:v>
                </c:pt>
                <c:pt idx="55">
                  <c:v>45051.083333333336</c:v>
                </c:pt>
                <c:pt idx="56">
                  <c:v>45051.09375</c:v>
                </c:pt>
                <c:pt idx="57">
                  <c:v>45051.104166666664</c:v>
                </c:pt>
                <c:pt idx="58">
                  <c:v>45051.114583333336</c:v>
                </c:pt>
                <c:pt idx="59">
                  <c:v>45051.125</c:v>
                </c:pt>
                <c:pt idx="60">
                  <c:v>45051.135416666664</c:v>
                </c:pt>
                <c:pt idx="61">
                  <c:v>45051.145833333336</c:v>
                </c:pt>
                <c:pt idx="62">
                  <c:v>45051.15625</c:v>
                </c:pt>
                <c:pt idx="63">
                  <c:v>45051.166666666664</c:v>
                </c:pt>
                <c:pt idx="64">
                  <c:v>45051.177083333336</c:v>
                </c:pt>
                <c:pt idx="65">
                  <c:v>45051.1875</c:v>
                </c:pt>
                <c:pt idx="66">
                  <c:v>45051.197916666664</c:v>
                </c:pt>
                <c:pt idx="67">
                  <c:v>45051.208333333336</c:v>
                </c:pt>
                <c:pt idx="68">
                  <c:v>45051.21875</c:v>
                </c:pt>
                <c:pt idx="69">
                  <c:v>45051.229166666664</c:v>
                </c:pt>
                <c:pt idx="70">
                  <c:v>45051.239583333336</c:v>
                </c:pt>
                <c:pt idx="71">
                  <c:v>45051.25</c:v>
                </c:pt>
                <c:pt idx="72">
                  <c:v>45051.260416666664</c:v>
                </c:pt>
                <c:pt idx="73">
                  <c:v>45051.270833333336</c:v>
                </c:pt>
                <c:pt idx="74">
                  <c:v>45051.28125</c:v>
                </c:pt>
                <c:pt idx="75">
                  <c:v>45051.291666666664</c:v>
                </c:pt>
                <c:pt idx="76">
                  <c:v>45051.302083333336</c:v>
                </c:pt>
                <c:pt idx="77">
                  <c:v>45051.3125</c:v>
                </c:pt>
                <c:pt idx="78">
                  <c:v>45051.322916666664</c:v>
                </c:pt>
                <c:pt idx="79">
                  <c:v>45051.333333333336</c:v>
                </c:pt>
                <c:pt idx="80">
                  <c:v>45051.34375</c:v>
                </c:pt>
                <c:pt idx="81">
                  <c:v>45051.354166666664</c:v>
                </c:pt>
                <c:pt idx="82">
                  <c:v>45051.364583333336</c:v>
                </c:pt>
                <c:pt idx="83">
                  <c:v>45051.375</c:v>
                </c:pt>
                <c:pt idx="84">
                  <c:v>45051.385416666664</c:v>
                </c:pt>
                <c:pt idx="85">
                  <c:v>45051.395833333336</c:v>
                </c:pt>
                <c:pt idx="86">
                  <c:v>45051.40625</c:v>
                </c:pt>
                <c:pt idx="87">
                  <c:v>45051.416666666664</c:v>
                </c:pt>
                <c:pt idx="88">
                  <c:v>45051.427083333336</c:v>
                </c:pt>
                <c:pt idx="89">
                  <c:v>45051.4375</c:v>
                </c:pt>
                <c:pt idx="90">
                  <c:v>45051.447916666664</c:v>
                </c:pt>
                <c:pt idx="91">
                  <c:v>45051.458333333336</c:v>
                </c:pt>
                <c:pt idx="92">
                  <c:v>45051.46875</c:v>
                </c:pt>
                <c:pt idx="93">
                  <c:v>45051.479166666664</c:v>
                </c:pt>
                <c:pt idx="94">
                  <c:v>45051.489583333336</c:v>
                </c:pt>
                <c:pt idx="95">
                  <c:v>45051.5</c:v>
                </c:pt>
                <c:pt idx="96">
                  <c:v>45051.510416666664</c:v>
                </c:pt>
                <c:pt idx="97">
                  <c:v>45051.520833333336</c:v>
                </c:pt>
                <c:pt idx="98">
                  <c:v>45051.53125</c:v>
                </c:pt>
                <c:pt idx="99">
                  <c:v>45051.541666666664</c:v>
                </c:pt>
                <c:pt idx="100">
                  <c:v>45051.552083333336</c:v>
                </c:pt>
                <c:pt idx="101">
                  <c:v>45051.5625</c:v>
                </c:pt>
                <c:pt idx="102">
                  <c:v>45051.572916666664</c:v>
                </c:pt>
                <c:pt idx="103">
                  <c:v>45051.583333333336</c:v>
                </c:pt>
                <c:pt idx="104">
                  <c:v>45051.59375</c:v>
                </c:pt>
                <c:pt idx="105">
                  <c:v>45051.604166666664</c:v>
                </c:pt>
                <c:pt idx="106">
                  <c:v>45051.614583333336</c:v>
                </c:pt>
                <c:pt idx="107">
                  <c:v>45051.625</c:v>
                </c:pt>
                <c:pt idx="108">
                  <c:v>45051.635416666664</c:v>
                </c:pt>
                <c:pt idx="109">
                  <c:v>45051.645833333336</c:v>
                </c:pt>
                <c:pt idx="110">
                  <c:v>45051.65625</c:v>
                </c:pt>
                <c:pt idx="111">
                  <c:v>45051.666666666664</c:v>
                </c:pt>
                <c:pt idx="112">
                  <c:v>45051.677083333336</c:v>
                </c:pt>
                <c:pt idx="113">
                  <c:v>45051.6875</c:v>
                </c:pt>
                <c:pt idx="114">
                  <c:v>45051.697916666664</c:v>
                </c:pt>
                <c:pt idx="115">
                  <c:v>45051.708333333336</c:v>
                </c:pt>
                <c:pt idx="116">
                  <c:v>45051.71875</c:v>
                </c:pt>
                <c:pt idx="117">
                  <c:v>45051.729166666664</c:v>
                </c:pt>
              </c:numCache>
            </c:numRef>
          </c:xVal>
          <c:yVal>
            <c:numRef>
              <c:f>'time series'!$CU$3:$CU$120</c:f>
              <c:numCache>
                <c:formatCode>0.000</c:formatCode>
                <c:ptCount val="118"/>
                <c:pt idx="0">
                  <c:v>100.5402337</c:v>
                </c:pt>
                <c:pt idx="1">
                  <c:v>96.393321510000007</c:v>
                </c:pt>
                <c:pt idx="2">
                  <c:v>96.400480259999995</c:v>
                </c:pt>
                <c:pt idx="3">
                  <c:v>100.9486689</c:v>
                </c:pt>
                <c:pt idx="4">
                  <c:v>97.649612750000003</c:v>
                </c:pt>
                <c:pt idx="5">
                  <c:v>96.400480259999995</c:v>
                </c:pt>
                <c:pt idx="6">
                  <c:v>97.229596529999995</c:v>
                </c:pt>
                <c:pt idx="7">
                  <c:v>105.42475589999999</c:v>
                </c:pt>
                <c:pt idx="8">
                  <c:v>99.714355679999997</c:v>
                </c:pt>
                <c:pt idx="9">
                  <c:v>97.642487979999999</c:v>
                </c:pt>
                <c:pt idx="10">
                  <c:v>102.9873886</c:v>
                </c:pt>
                <c:pt idx="11">
                  <c:v>103.80204430000001</c:v>
                </c:pt>
                <c:pt idx="12">
                  <c:v>102.9873886</c:v>
                </c:pt>
                <c:pt idx="13">
                  <c:v>104.2121959</c:v>
                </c:pt>
                <c:pt idx="14">
                  <c:v>106.2245245</c:v>
                </c:pt>
                <c:pt idx="15">
                  <c:v>109.4196846</c:v>
                </c:pt>
                <c:pt idx="16">
                  <c:v>102.17638460000001</c:v>
                </c:pt>
                <c:pt idx="17">
                  <c:v>105.0235411</c:v>
                </c:pt>
                <c:pt idx="18">
                  <c:v>109.0251016</c:v>
                </c:pt>
                <c:pt idx="19">
                  <c:v>110.21295859999999</c:v>
                </c:pt>
                <c:pt idx="20">
                  <c:v>118.36070239999999</c:v>
                </c:pt>
                <c:pt idx="21">
                  <c:v>114.1275401</c:v>
                </c:pt>
                <c:pt idx="22">
                  <c:v>108.2271172</c:v>
                </c:pt>
                <c:pt idx="23">
                  <c:v>122.51245830000001</c:v>
                </c:pt>
                <c:pt idx="24">
                  <c:v>123.6297958</c:v>
                </c:pt>
                <c:pt idx="25">
                  <c:v>130.92322350000001</c:v>
                </c:pt>
                <c:pt idx="26">
                  <c:v>126.21229889999999</c:v>
                </c:pt>
                <c:pt idx="27">
                  <c:v>129.12778700000001</c:v>
                </c:pt>
                <c:pt idx="28">
                  <c:v>115.673114</c:v>
                </c:pt>
                <c:pt idx="29">
                  <c:v>129.12778700000001</c:v>
                </c:pt>
                <c:pt idx="30">
                  <c:v>124.3675379</c:v>
                </c:pt>
                <c:pt idx="31">
                  <c:v>114.5134446</c:v>
                </c:pt>
                <c:pt idx="32">
                  <c:v>124.3675379</c:v>
                </c:pt>
                <c:pt idx="33">
                  <c:v>113.3477233</c:v>
                </c:pt>
                <c:pt idx="34">
                  <c:v>114.1275401</c:v>
                </c:pt>
                <c:pt idx="35">
                  <c:v>120.2525852</c:v>
                </c:pt>
                <c:pt idx="36">
                  <c:v>114.8986831</c:v>
                </c:pt>
                <c:pt idx="37">
                  <c:v>114.1275401</c:v>
                </c:pt>
                <c:pt idx="38">
                  <c:v>112.9598134</c:v>
                </c:pt>
                <c:pt idx="39">
                  <c:v>114.1275401</c:v>
                </c:pt>
                <c:pt idx="40">
                  <c:v>113.74097140000001</c:v>
                </c:pt>
                <c:pt idx="41">
                  <c:v>114.1275401</c:v>
                </c:pt>
                <c:pt idx="42">
                  <c:v>107.0292163</c:v>
                </c:pt>
                <c:pt idx="43">
                  <c:v>112.9598134</c:v>
                </c:pt>
                <c:pt idx="44">
                  <c:v>110.9974619</c:v>
                </c:pt>
                <c:pt idx="45">
                  <c:v>107.8305381</c:v>
                </c:pt>
                <c:pt idx="46">
                  <c:v>109.0251016</c:v>
                </c:pt>
                <c:pt idx="47">
                  <c:v>115.2898797</c:v>
                </c:pt>
                <c:pt idx="48">
                  <c:v>104.61473460000001</c:v>
                </c:pt>
                <c:pt idx="49">
                  <c:v>110.9974619</c:v>
                </c:pt>
                <c:pt idx="50">
                  <c:v>103.80204430000001</c:v>
                </c:pt>
                <c:pt idx="51">
                  <c:v>109.0251016</c:v>
                </c:pt>
                <c:pt idx="52">
                  <c:v>109.8129265</c:v>
                </c:pt>
                <c:pt idx="53">
                  <c:v>111.0042136</c:v>
                </c:pt>
                <c:pt idx="54">
                  <c:v>112.9598134</c:v>
                </c:pt>
                <c:pt idx="55">
                  <c:v>109.0251016</c:v>
                </c:pt>
                <c:pt idx="56">
                  <c:v>107.8305381</c:v>
                </c:pt>
                <c:pt idx="57">
                  <c:v>122.1341827</c:v>
                </c:pt>
                <c:pt idx="58">
                  <c:v>105.42475589999999</c:v>
                </c:pt>
                <c:pt idx="59">
                  <c:v>109.8197124</c:v>
                </c:pt>
                <c:pt idx="60">
                  <c:v>99.304680700000006</c:v>
                </c:pt>
                <c:pt idx="61">
                  <c:v>98.474887140000007</c:v>
                </c:pt>
                <c:pt idx="62">
                  <c:v>109.0251016</c:v>
                </c:pt>
                <c:pt idx="63">
                  <c:v>107.0292163</c:v>
                </c:pt>
                <c:pt idx="64">
                  <c:v>101.7699069</c:v>
                </c:pt>
                <c:pt idx="65">
                  <c:v>104.61473460000001</c:v>
                </c:pt>
                <c:pt idx="66">
                  <c:v>107.0292163</c:v>
                </c:pt>
                <c:pt idx="67">
                  <c:v>98.055454810000001</c:v>
                </c:pt>
                <c:pt idx="68">
                  <c:v>100.5402337</c:v>
                </c:pt>
                <c:pt idx="69">
                  <c:v>101.7699069</c:v>
                </c:pt>
                <c:pt idx="70">
                  <c:v>96.808208239999999</c:v>
                </c:pt>
                <c:pt idx="71">
                  <c:v>103.3988808</c:v>
                </c:pt>
                <c:pt idx="72">
                  <c:v>103.3988808</c:v>
                </c:pt>
                <c:pt idx="73">
                  <c:v>105.0235411</c:v>
                </c:pt>
                <c:pt idx="74">
                  <c:v>104.61473460000001</c:v>
                </c:pt>
                <c:pt idx="75">
                  <c:v>94.720978599999995</c:v>
                </c:pt>
                <c:pt idx="76">
                  <c:v>95.138397370000007</c:v>
                </c:pt>
                <c:pt idx="77">
                  <c:v>99.304680700000006</c:v>
                </c:pt>
                <c:pt idx="78">
                  <c:v>95.138397370000007</c:v>
                </c:pt>
                <c:pt idx="79">
                  <c:v>100.5402337</c:v>
                </c:pt>
                <c:pt idx="80">
                  <c:v>107.0292163</c:v>
                </c:pt>
                <c:pt idx="81">
                  <c:v>87.058386479999996</c:v>
                </c:pt>
                <c:pt idx="82">
                  <c:v>97.229596529999995</c:v>
                </c:pt>
                <c:pt idx="83">
                  <c:v>85.762083380000007</c:v>
                </c:pt>
                <c:pt idx="84">
                  <c:v>91.338086169999997</c:v>
                </c:pt>
                <c:pt idx="85">
                  <c:v>90.484855949999996</c:v>
                </c:pt>
                <c:pt idx="86">
                  <c:v>89.635700749999998</c:v>
                </c:pt>
                <c:pt idx="87">
                  <c:v>98.474887140000007</c:v>
                </c:pt>
                <c:pt idx="88">
                  <c:v>93.877037450000003</c:v>
                </c:pt>
                <c:pt idx="89">
                  <c:v>95.977802339999997</c:v>
                </c:pt>
                <c:pt idx="90">
                  <c:v>95.138397370000007</c:v>
                </c:pt>
                <c:pt idx="91">
                  <c:v>97.229596529999995</c:v>
                </c:pt>
                <c:pt idx="92">
                  <c:v>95.138397370000007</c:v>
                </c:pt>
                <c:pt idx="93">
                  <c:v>98.474887140000007</c:v>
                </c:pt>
                <c:pt idx="94">
                  <c:v>90.915794009999999</c:v>
                </c:pt>
                <c:pt idx="95">
                  <c:v>101.3564556</c:v>
                </c:pt>
                <c:pt idx="96">
                  <c:v>95.977802339999997</c:v>
                </c:pt>
                <c:pt idx="97">
                  <c:v>101.3564556</c:v>
                </c:pt>
                <c:pt idx="98">
                  <c:v>89.635700749999998</c:v>
                </c:pt>
                <c:pt idx="99">
                  <c:v>99.714355679999997</c:v>
                </c:pt>
                <c:pt idx="100">
                  <c:v>86.192545629999998</c:v>
                </c:pt>
                <c:pt idx="101">
                  <c:v>100.5402337</c:v>
                </c:pt>
                <c:pt idx="102">
                  <c:v>93.877037450000003</c:v>
                </c:pt>
                <c:pt idx="103">
                  <c:v>95.145588619999998</c:v>
                </c:pt>
                <c:pt idx="104">
                  <c:v>100.9486689</c:v>
                </c:pt>
                <c:pt idx="105">
                  <c:v>94.302932269999999</c:v>
                </c:pt>
                <c:pt idx="106">
                  <c:v>100.5402337</c:v>
                </c:pt>
                <c:pt idx="107">
                  <c:v>98.474887140000007</c:v>
                </c:pt>
                <c:pt idx="108">
                  <c:v>102.5822131</c:v>
                </c:pt>
                <c:pt idx="109">
                  <c:v>101.7628931</c:v>
                </c:pt>
                <c:pt idx="110">
                  <c:v>93.031286489999999</c:v>
                </c:pt>
                <c:pt idx="111">
                  <c:v>99.297599469999994</c:v>
                </c:pt>
                <c:pt idx="112">
                  <c:v>106.2245245</c:v>
                </c:pt>
                <c:pt idx="113">
                  <c:v>100.9486689</c:v>
                </c:pt>
                <c:pt idx="114">
                  <c:v>105.0166174</c:v>
                </c:pt>
                <c:pt idx="115">
                  <c:v>106.2245245</c:v>
                </c:pt>
                <c:pt idx="116">
                  <c:v>102.9873886</c:v>
                </c:pt>
                <c:pt idx="117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5A-4A15-8143-2109423A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series'!$CS$3:$CS$120</c:f>
              <c:numCache>
                <c:formatCode>m/d/yyyy\ h:mm</c:formatCode>
                <c:ptCount val="118"/>
                <c:pt idx="0">
                  <c:v>45050.510416666664</c:v>
                </c:pt>
                <c:pt idx="1">
                  <c:v>45050.520833333336</c:v>
                </c:pt>
                <c:pt idx="2">
                  <c:v>45050.53125</c:v>
                </c:pt>
                <c:pt idx="3">
                  <c:v>45050.541666666664</c:v>
                </c:pt>
                <c:pt idx="4">
                  <c:v>45050.552083333336</c:v>
                </c:pt>
                <c:pt idx="5">
                  <c:v>45050.5625</c:v>
                </c:pt>
                <c:pt idx="6">
                  <c:v>45050.572916666664</c:v>
                </c:pt>
                <c:pt idx="7">
                  <c:v>45050.583333333336</c:v>
                </c:pt>
                <c:pt idx="8">
                  <c:v>45050.59375</c:v>
                </c:pt>
                <c:pt idx="9">
                  <c:v>45050.604166666664</c:v>
                </c:pt>
                <c:pt idx="10">
                  <c:v>45050.614583333336</c:v>
                </c:pt>
                <c:pt idx="11">
                  <c:v>45050.625</c:v>
                </c:pt>
                <c:pt idx="12">
                  <c:v>45050.635416666664</c:v>
                </c:pt>
                <c:pt idx="13">
                  <c:v>45050.645833333336</c:v>
                </c:pt>
                <c:pt idx="14">
                  <c:v>45050.65625</c:v>
                </c:pt>
                <c:pt idx="15">
                  <c:v>45050.666666666664</c:v>
                </c:pt>
                <c:pt idx="16">
                  <c:v>45050.677083333336</c:v>
                </c:pt>
                <c:pt idx="17">
                  <c:v>45050.6875</c:v>
                </c:pt>
                <c:pt idx="18">
                  <c:v>45050.697916666664</c:v>
                </c:pt>
                <c:pt idx="19">
                  <c:v>45050.708333333336</c:v>
                </c:pt>
                <c:pt idx="20">
                  <c:v>45050.71875</c:v>
                </c:pt>
                <c:pt idx="21">
                  <c:v>45050.729166666664</c:v>
                </c:pt>
                <c:pt idx="22">
                  <c:v>45050.739583333336</c:v>
                </c:pt>
                <c:pt idx="23">
                  <c:v>45050.75</c:v>
                </c:pt>
                <c:pt idx="24">
                  <c:v>45050.760416666664</c:v>
                </c:pt>
                <c:pt idx="25">
                  <c:v>45050.770833333336</c:v>
                </c:pt>
                <c:pt idx="26">
                  <c:v>45050.78125</c:v>
                </c:pt>
                <c:pt idx="27">
                  <c:v>45050.791666666664</c:v>
                </c:pt>
                <c:pt idx="28">
                  <c:v>45050.802083333336</c:v>
                </c:pt>
                <c:pt idx="29">
                  <c:v>45050.8125</c:v>
                </c:pt>
                <c:pt idx="30">
                  <c:v>45050.822916666664</c:v>
                </c:pt>
                <c:pt idx="31">
                  <c:v>45050.833333333336</c:v>
                </c:pt>
                <c:pt idx="32">
                  <c:v>45050.84375</c:v>
                </c:pt>
                <c:pt idx="33">
                  <c:v>45050.854166666664</c:v>
                </c:pt>
                <c:pt idx="34">
                  <c:v>45050.864583333336</c:v>
                </c:pt>
                <c:pt idx="35">
                  <c:v>45050.875</c:v>
                </c:pt>
                <c:pt idx="36">
                  <c:v>45050.885416666664</c:v>
                </c:pt>
                <c:pt idx="37">
                  <c:v>45050.895833333336</c:v>
                </c:pt>
                <c:pt idx="38">
                  <c:v>45050.90625</c:v>
                </c:pt>
                <c:pt idx="39">
                  <c:v>45050.916666666664</c:v>
                </c:pt>
                <c:pt idx="40">
                  <c:v>45050.927083333336</c:v>
                </c:pt>
                <c:pt idx="41">
                  <c:v>45050.9375</c:v>
                </c:pt>
                <c:pt idx="42">
                  <c:v>45050.947916666664</c:v>
                </c:pt>
                <c:pt idx="43">
                  <c:v>45050.958333333336</c:v>
                </c:pt>
                <c:pt idx="44">
                  <c:v>45050.96875</c:v>
                </c:pt>
                <c:pt idx="45">
                  <c:v>45050.979166666664</c:v>
                </c:pt>
                <c:pt idx="46">
                  <c:v>45050.989583333336</c:v>
                </c:pt>
                <c:pt idx="47">
                  <c:v>45051</c:v>
                </c:pt>
                <c:pt idx="48">
                  <c:v>45051.010416666664</c:v>
                </c:pt>
                <c:pt idx="49">
                  <c:v>45051.020833333336</c:v>
                </c:pt>
                <c:pt idx="50">
                  <c:v>45051.03125</c:v>
                </c:pt>
                <c:pt idx="51">
                  <c:v>45051.041666666664</c:v>
                </c:pt>
                <c:pt idx="52">
                  <c:v>45051.052083333336</c:v>
                </c:pt>
                <c:pt idx="53">
                  <c:v>45051.0625</c:v>
                </c:pt>
                <c:pt idx="54">
                  <c:v>45051.072916666664</c:v>
                </c:pt>
                <c:pt idx="55">
                  <c:v>45051.083333333336</c:v>
                </c:pt>
                <c:pt idx="56">
                  <c:v>45051.09375</c:v>
                </c:pt>
                <c:pt idx="57">
                  <c:v>45051.104166666664</c:v>
                </c:pt>
                <c:pt idx="58">
                  <c:v>45051.114583333336</c:v>
                </c:pt>
                <c:pt idx="59">
                  <c:v>45051.125</c:v>
                </c:pt>
                <c:pt idx="60">
                  <c:v>45051.135416666664</c:v>
                </c:pt>
                <c:pt idx="61">
                  <c:v>45051.145833333336</c:v>
                </c:pt>
                <c:pt idx="62">
                  <c:v>45051.15625</c:v>
                </c:pt>
                <c:pt idx="63">
                  <c:v>45051.166666666664</c:v>
                </c:pt>
                <c:pt idx="64">
                  <c:v>45051.177083333336</c:v>
                </c:pt>
                <c:pt idx="65">
                  <c:v>45051.1875</c:v>
                </c:pt>
                <c:pt idx="66">
                  <c:v>45051.197916666664</c:v>
                </c:pt>
                <c:pt idx="67">
                  <c:v>45051.208333333336</c:v>
                </c:pt>
                <c:pt idx="68">
                  <c:v>45051.21875</c:v>
                </c:pt>
                <c:pt idx="69">
                  <c:v>45051.229166666664</c:v>
                </c:pt>
                <c:pt idx="70">
                  <c:v>45051.239583333336</c:v>
                </c:pt>
                <c:pt idx="71">
                  <c:v>45051.25</c:v>
                </c:pt>
                <c:pt idx="72">
                  <c:v>45051.260416666664</c:v>
                </c:pt>
                <c:pt idx="73">
                  <c:v>45051.270833333336</c:v>
                </c:pt>
                <c:pt idx="74">
                  <c:v>45051.28125</c:v>
                </c:pt>
                <c:pt idx="75">
                  <c:v>45051.291666666664</c:v>
                </c:pt>
                <c:pt idx="76">
                  <c:v>45051.302083333336</c:v>
                </c:pt>
                <c:pt idx="77">
                  <c:v>45051.3125</c:v>
                </c:pt>
                <c:pt idx="78">
                  <c:v>45051.322916666664</c:v>
                </c:pt>
                <c:pt idx="79">
                  <c:v>45051.333333333336</c:v>
                </c:pt>
                <c:pt idx="80">
                  <c:v>45051.34375</c:v>
                </c:pt>
                <c:pt idx="81">
                  <c:v>45051.354166666664</c:v>
                </c:pt>
                <c:pt idx="82">
                  <c:v>45051.364583333336</c:v>
                </c:pt>
                <c:pt idx="83">
                  <c:v>45051.375</c:v>
                </c:pt>
                <c:pt idx="84">
                  <c:v>45051.385416666664</c:v>
                </c:pt>
                <c:pt idx="85">
                  <c:v>45051.395833333336</c:v>
                </c:pt>
                <c:pt idx="86">
                  <c:v>45051.40625</c:v>
                </c:pt>
                <c:pt idx="87">
                  <c:v>45051.416666666664</c:v>
                </c:pt>
                <c:pt idx="88">
                  <c:v>45051.427083333336</c:v>
                </c:pt>
                <c:pt idx="89">
                  <c:v>45051.4375</c:v>
                </c:pt>
                <c:pt idx="90">
                  <c:v>45051.447916666664</c:v>
                </c:pt>
                <c:pt idx="91">
                  <c:v>45051.458333333336</c:v>
                </c:pt>
                <c:pt idx="92">
                  <c:v>45051.46875</c:v>
                </c:pt>
                <c:pt idx="93">
                  <c:v>45051.479166666664</c:v>
                </c:pt>
                <c:pt idx="94">
                  <c:v>45051.489583333336</c:v>
                </c:pt>
                <c:pt idx="95">
                  <c:v>45051.5</c:v>
                </c:pt>
                <c:pt idx="96">
                  <c:v>45051.510416666664</c:v>
                </c:pt>
                <c:pt idx="97">
                  <c:v>45051.520833333336</c:v>
                </c:pt>
                <c:pt idx="98">
                  <c:v>45051.53125</c:v>
                </c:pt>
                <c:pt idx="99">
                  <c:v>45051.541666666664</c:v>
                </c:pt>
                <c:pt idx="100">
                  <c:v>45051.552083333336</c:v>
                </c:pt>
                <c:pt idx="101">
                  <c:v>45051.5625</c:v>
                </c:pt>
                <c:pt idx="102">
                  <c:v>45051.572916666664</c:v>
                </c:pt>
                <c:pt idx="103">
                  <c:v>45051.583333333336</c:v>
                </c:pt>
                <c:pt idx="104">
                  <c:v>45051.59375</c:v>
                </c:pt>
                <c:pt idx="105">
                  <c:v>45051.604166666664</c:v>
                </c:pt>
                <c:pt idx="106">
                  <c:v>45051.614583333336</c:v>
                </c:pt>
                <c:pt idx="107">
                  <c:v>45051.625</c:v>
                </c:pt>
                <c:pt idx="108">
                  <c:v>45051.635416666664</c:v>
                </c:pt>
                <c:pt idx="109">
                  <c:v>45051.645833333336</c:v>
                </c:pt>
                <c:pt idx="110">
                  <c:v>45051.65625</c:v>
                </c:pt>
                <c:pt idx="111">
                  <c:v>45051.666666666664</c:v>
                </c:pt>
                <c:pt idx="112">
                  <c:v>45051.677083333336</c:v>
                </c:pt>
                <c:pt idx="113">
                  <c:v>45051.6875</c:v>
                </c:pt>
                <c:pt idx="114">
                  <c:v>45051.697916666664</c:v>
                </c:pt>
                <c:pt idx="115">
                  <c:v>45051.708333333336</c:v>
                </c:pt>
                <c:pt idx="116">
                  <c:v>45051.71875</c:v>
                </c:pt>
                <c:pt idx="117">
                  <c:v>45051.729166666664</c:v>
                </c:pt>
              </c:numCache>
            </c:numRef>
          </c:xVal>
          <c:yVal>
            <c:numRef>
              <c:f>'time series'!$CY$3:$CY$120</c:f>
              <c:numCache>
                <c:formatCode>0.000</c:formatCode>
                <c:ptCount val="118"/>
                <c:pt idx="0">
                  <c:v>90.571966624080133</c:v>
                </c:pt>
                <c:pt idx="1">
                  <c:v>97.880659249697544</c:v>
                </c:pt>
                <c:pt idx="2">
                  <c:v>91.64036085817429</c:v>
                </c:pt>
                <c:pt idx="3">
                  <c:v>92.540276268151132</c:v>
                </c:pt>
                <c:pt idx="4">
                  <c:v>93.998195275073385</c:v>
                </c:pt>
                <c:pt idx="5">
                  <c:v>90.999790681567461</c:v>
                </c:pt>
                <c:pt idx="6">
                  <c:v>92.151979388979882</c:v>
                </c:pt>
                <c:pt idx="7">
                  <c:v>91.698727955316642</c:v>
                </c:pt>
                <c:pt idx="8">
                  <c:v>89.529896267971509</c:v>
                </c:pt>
                <c:pt idx="9">
                  <c:v>92.456248594811271</c:v>
                </c:pt>
                <c:pt idx="10">
                  <c:v>91.243422981009516</c:v>
                </c:pt>
                <c:pt idx="11">
                  <c:v>89.45091732537901</c:v>
                </c:pt>
                <c:pt idx="12">
                  <c:v>90.830744619970289</c:v>
                </c:pt>
                <c:pt idx="13">
                  <c:v>91.379231172516413</c:v>
                </c:pt>
                <c:pt idx="14">
                  <c:v>89.462011409702811</c:v>
                </c:pt>
                <c:pt idx="15">
                  <c:v>91.587445031301101</c:v>
                </c:pt>
                <c:pt idx="16">
                  <c:v>88.144440596080628</c:v>
                </c:pt>
                <c:pt idx="17">
                  <c:v>90.528655761461692</c:v>
                </c:pt>
                <c:pt idx="18">
                  <c:v>88.854272881494097</c:v>
                </c:pt>
                <c:pt idx="19">
                  <c:v>95.723654903072273</c:v>
                </c:pt>
                <c:pt idx="20">
                  <c:v>91.450742086367043</c:v>
                </c:pt>
                <c:pt idx="21">
                  <c:v>90.477692281217742</c:v>
                </c:pt>
                <c:pt idx="22">
                  <c:v>91.403990769948379</c:v>
                </c:pt>
                <c:pt idx="23">
                  <c:v>92.398335523246857</c:v>
                </c:pt>
                <c:pt idx="24">
                  <c:v>88.889091060108953</c:v>
                </c:pt>
                <c:pt idx="25">
                  <c:v>86.376301085233735</c:v>
                </c:pt>
                <c:pt idx="26">
                  <c:v>92.01739074775621</c:v>
                </c:pt>
                <c:pt idx="27">
                  <c:v>88.427049316954836</c:v>
                </c:pt>
                <c:pt idx="28">
                  <c:v>90.571410772429346</c:v>
                </c:pt>
                <c:pt idx="29">
                  <c:v>91.51804292328832</c:v>
                </c:pt>
                <c:pt idx="30">
                  <c:v>95.642265602762691</c:v>
                </c:pt>
                <c:pt idx="31">
                  <c:v>94.138540866410821</c:v>
                </c:pt>
                <c:pt idx="32">
                  <c:v>92.241396612746883</c:v>
                </c:pt>
                <c:pt idx="33">
                  <c:v>95.186196533147893</c:v>
                </c:pt>
                <c:pt idx="34">
                  <c:v>90.859626091240912</c:v>
                </c:pt>
                <c:pt idx="35">
                  <c:v>87.935647120621866</c:v>
                </c:pt>
                <c:pt idx="36">
                  <c:v>90.304347094054023</c:v>
                </c:pt>
                <c:pt idx="37">
                  <c:v>93.042798337528467</c:v>
                </c:pt>
                <c:pt idx="38">
                  <c:v>92.491543564485895</c:v>
                </c:pt>
                <c:pt idx="39">
                  <c:v>88.467290071766357</c:v>
                </c:pt>
                <c:pt idx="40">
                  <c:v>93.013325496445361</c:v>
                </c:pt>
                <c:pt idx="41">
                  <c:v>89.709659716083408</c:v>
                </c:pt>
                <c:pt idx="42">
                  <c:v>90.998330165609516</c:v>
                </c:pt>
                <c:pt idx="43">
                  <c:v>92.09308581435441</c:v>
                </c:pt>
                <c:pt idx="44">
                  <c:v>92.144554997418936</c:v>
                </c:pt>
                <c:pt idx="45">
                  <c:v>89.872361534852587</c:v>
                </c:pt>
                <c:pt idx="46">
                  <c:v>94.300166620277253</c:v>
                </c:pt>
                <c:pt idx="47">
                  <c:v>92.865724924964567</c:v>
                </c:pt>
                <c:pt idx="48">
                  <c:v>95.672442518428866</c:v>
                </c:pt>
                <c:pt idx="49">
                  <c:v>88.310222285266121</c:v>
                </c:pt>
                <c:pt idx="50">
                  <c:v>89.189142578424537</c:v>
                </c:pt>
                <c:pt idx="51">
                  <c:v>91.685244261298976</c:v>
                </c:pt>
                <c:pt idx="52">
                  <c:v>89.937152426769686</c:v>
                </c:pt>
                <c:pt idx="53">
                  <c:v>91.983962136406006</c:v>
                </c:pt>
                <c:pt idx="54">
                  <c:v>93.365712669876572</c:v>
                </c:pt>
                <c:pt idx="55">
                  <c:v>90.864512726148405</c:v>
                </c:pt>
                <c:pt idx="56">
                  <c:v>91.898519219011916</c:v>
                </c:pt>
                <c:pt idx="57">
                  <c:v>94.717466433600109</c:v>
                </c:pt>
                <c:pt idx="58">
                  <c:v>92.086876467994969</c:v>
                </c:pt>
                <c:pt idx="59">
                  <c:v>92.737438741561135</c:v>
                </c:pt>
                <c:pt idx="60">
                  <c:v>94.067532064514893</c:v>
                </c:pt>
                <c:pt idx="61">
                  <c:v>89.938927080289218</c:v>
                </c:pt>
                <c:pt idx="62">
                  <c:v>90.504280063681136</c:v>
                </c:pt>
                <c:pt idx="63">
                  <c:v>96.570600212764106</c:v>
                </c:pt>
                <c:pt idx="64">
                  <c:v>89.103080911235722</c:v>
                </c:pt>
                <c:pt idx="65">
                  <c:v>94.667319827379231</c:v>
                </c:pt>
                <c:pt idx="66">
                  <c:v>88.94283680685696</c:v>
                </c:pt>
                <c:pt idx="67">
                  <c:v>88.37475898204616</c:v>
                </c:pt>
                <c:pt idx="68">
                  <c:v>92.331441083147766</c:v>
                </c:pt>
                <c:pt idx="69">
                  <c:v>94.968793118970709</c:v>
                </c:pt>
                <c:pt idx="70">
                  <c:v>91.752943890695192</c:v>
                </c:pt>
                <c:pt idx="71">
                  <c:v>92.068869006679719</c:v>
                </c:pt>
                <c:pt idx="72">
                  <c:v>90.648258877612705</c:v>
                </c:pt>
                <c:pt idx="73">
                  <c:v>91.596693336624867</c:v>
                </c:pt>
                <c:pt idx="74">
                  <c:v>92.132333702217664</c:v>
                </c:pt>
                <c:pt idx="75">
                  <c:v>90.369213034180092</c:v>
                </c:pt>
                <c:pt idx="76">
                  <c:v>93.105799087843891</c:v>
                </c:pt>
                <c:pt idx="77">
                  <c:v>94.763493912601461</c:v>
                </c:pt>
                <c:pt idx="78">
                  <c:v>93.292521306352398</c:v>
                </c:pt>
                <c:pt idx="79">
                  <c:v>98.244491373540129</c:v>
                </c:pt>
                <c:pt idx="80">
                  <c:v>100.48581784079515</c:v>
                </c:pt>
                <c:pt idx="81">
                  <c:v>98.101698114581566</c:v>
                </c:pt>
                <c:pt idx="82">
                  <c:v>94.412949730629705</c:v>
                </c:pt>
                <c:pt idx="83">
                  <c:v>95.909685276681742</c:v>
                </c:pt>
                <c:pt idx="84">
                  <c:v>98.59563437148374</c:v>
                </c:pt>
                <c:pt idx="85">
                  <c:v>100.7429093206339</c:v>
                </c:pt>
                <c:pt idx="86">
                  <c:v>92.302480389177589</c:v>
                </c:pt>
                <c:pt idx="87">
                  <c:v>93.844036952069828</c:v>
                </c:pt>
                <c:pt idx="88">
                  <c:v>98.802043522025343</c:v>
                </c:pt>
                <c:pt idx="89">
                  <c:v>91.969525388156953</c:v>
                </c:pt>
                <c:pt idx="90">
                  <c:v>93.839354383232575</c:v>
                </c:pt>
                <c:pt idx="91">
                  <c:v>95.26381323322326</c:v>
                </c:pt>
                <c:pt idx="92">
                  <c:v>89.504682601837686</c:v>
                </c:pt>
                <c:pt idx="93">
                  <c:v>93.853408017893173</c:v>
                </c:pt>
                <c:pt idx="94">
                  <c:v>98.067651810767472</c:v>
                </c:pt>
                <c:pt idx="95">
                  <c:v>95.688597969416961</c:v>
                </c:pt>
                <c:pt idx="96">
                  <c:v>103.02241841356445</c:v>
                </c:pt>
                <c:pt idx="97">
                  <c:v>96.891969528525919</c:v>
                </c:pt>
                <c:pt idx="98">
                  <c:v>94.430206681554665</c:v>
                </c:pt>
                <c:pt idx="99">
                  <c:v>90.027221368255411</c:v>
                </c:pt>
                <c:pt idx="100">
                  <c:v>90.701889658746708</c:v>
                </c:pt>
                <c:pt idx="101">
                  <c:v>94.323098662623849</c:v>
                </c:pt>
                <c:pt idx="102">
                  <c:v>91.652409747644924</c:v>
                </c:pt>
                <c:pt idx="103">
                  <c:v>90.848346252519647</c:v>
                </c:pt>
                <c:pt idx="104">
                  <c:v>89.267297574637794</c:v>
                </c:pt>
                <c:pt idx="105">
                  <c:v>94.465272140632621</c:v>
                </c:pt>
                <c:pt idx="106">
                  <c:v>93.603034769550433</c:v>
                </c:pt>
                <c:pt idx="107">
                  <c:v>96.057525729159664</c:v>
                </c:pt>
                <c:pt idx="108">
                  <c:v>92.399687369307429</c:v>
                </c:pt>
                <c:pt idx="109">
                  <c:v>93.74413787365657</c:v>
                </c:pt>
                <c:pt idx="110">
                  <c:v>89.265320502678847</c:v>
                </c:pt>
                <c:pt idx="111">
                  <c:v>91.422403775360976</c:v>
                </c:pt>
                <c:pt idx="112">
                  <c:v>93.45601585593019</c:v>
                </c:pt>
                <c:pt idx="113">
                  <c:v>90.431144002205158</c:v>
                </c:pt>
                <c:pt idx="114">
                  <c:v>94.928171638108026</c:v>
                </c:pt>
                <c:pt idx="115">
                  <c:v>91.738164541057742</c:v>
                </c:pt>
                <c:pt idx="116">
                  <c:v>94.976341408145316</c:v>
                </c:pt>
                <c:pt idx="117">
                  <c:v>91.724383317280882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A-4A15-8143-2109423A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548613470245001"/>
                  <c:y val="0.258556118636266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series'!$F$3:$F$94</c:f>
              <c:numCache>
                <c:formatCode>0.00000</c:formatCode>
                <c:ptCount val="92"/>
                <c:pt idx="0">
                  <c:v>3.9133827116062158E-3</c:v>
                </c:pt>
                <c:pt idx="1">
                  <c:v>5.0656962847708551E-3</c:v>
                </c:pt>
                <c:pt idx="2">
                  <c:v>4.9684304237495982E-3</c:v>
                </c:pt>
                <c:pt idx="3">
                  <c:v>3.9373420131113366E-3</c:v>
                </c:pt>
                <c:pt idx="4">
                  <c:v>4.5408843627231174E-3</c:v>
                </c:pt>
                <c:pt idx="5">
                  <c:v>3.5046110161618266E-3</c:v>
                </c:pt>
                <c:pt idx="6">
                  <c:v>4.1107265238599358E-3</c:v>
                </c:pt>
                <c:pt idx="7">
                  <c:v>4.8571933445886572E-3</c:v>
                </c:pt>
                <c:pt idx="8">
                  <c:v>4.3776653554623342E-3</c:v>
                </c:pt>
                <c:pt idx="9">
                  <c:v>4.1033057295688799E-3</c:v>
                </c:pt>
                <c:pt idx="10">
                  <c:v>4.0475866213365973E-3</c:v>
                </c:pt>
                <c:pt idx="11">
                  <c:v>4.4304609322024218E-3</c:v>
                </c:pt>
                <c:pt idx="12">
                  <c:v>4.8721049608502348E-3</c:v>
                </c:pt>
                <c:pt idx="13">
                  <c:v>4.0209128479885559E-3</c:v>
                </c:pt>
                <c:pt idx="14">
                  <c:v>2.44826282844934E-3</c:v>
                </c:pt>
                <c:pt idx="15">
                  <c:v>2.3344448507229324E-3</c:v>
                </c:pt>
                <c:pt idx="16">
                  <c:v>3.5947759025068853E-3</c:v>
                </c:pt>
                <c:pt idx="17">
                  <c:v>3.2976888439928348E-3</c:v>
                </c:pt>
                <c:pt idx="18">
                  <c:v>3.0824915951735837E-3</c:v>
                </c:pt>
                <c:pt idx="19">
                  <c:v>2.7532480278757306E-3</c:v>
                </c:pt>
                <c:pt idx="20">
                  <c:v>3.1745311903218199E-3</c:v>
                </c:pt>
                <c:pt idx="21">
                  <c:v>2.9770921838997732E-3</c:v>
                </c:pt>
                <c:pt idx="22">
                  <c:v>5.1384183661048171E-3</c:v>
                </c:pt>
                <c:pt idx="23">
                  <c:v>3.4029800336726986E-3</c:v>
                </c:pt>
                <c:pt idx="24">
                  <c:v>2.5307795083471889E-3</c:v>
                </c:pt>
                <c:pt idx="25">
                  <c:v>3.6314291601306672E-3</c:v>
                </c:pt>
                <c:pt idx="26">
                  <c:v>3.0918184850090998E-3</c:v>
                </c:pt>
                <c:pt idx="27">
                  <c:v>2.8205971838716911E-3</c:v>
                </c:pt>
                <c:pt idx="28">
                  <c:v>2.7149444610931068E-3</c:v>
                </c:pt>
                <c:pt idx="29">
                  <c:v>2.8372857135455531E-3</c:v>
                </c:pt>
                <c:pt idx="30">
                  <c:v>2.2765050612910402E-3</c:v>
                </c:pt>
                <c:pt idx="31">
                  <c:v>2.7624306292193478E-3</c:v>
                </c:pt>
                <c:pt idx="32">
                  <c:v>4.2446643881877081E-3</c:v>
                </c:pt>
                <c:pt idx="33">
                  <c:v>5.097946263823986E-3</c:v>
                </c:pt>
                <c:pt idx="34">
                  <c:v>3.1520494315775784E-3</c:v>
                </c:pt>
                <c:pt idx="35">
                  <c:v>3.7411207462004674E-3</c:v>
                </c:pt>
                <c:pt idx="36">
                  <c:v>4.0463502081167502E-3</c:v>
                </c:pt>
                <c:pt idx="37">
                  <c:v>5.0562118545212894E-3</c:v>
                </c:pt>
                <c:pt idx="38">
                  <c:v>3.2183972715271844E-3</c:v>
                </c:pt>
                <c:pt idx="39">
                  <c:v>2.945165554367303E-3</c:v>
                </c:pt>
                <c:pt idx="40">
                  <c:v>4.0947866309655623E-3</c:v>
                </c:pt>
                <c:pt idx="41">
                  <c:v>3.2567797147781698E-3</c:v>
                </c:pt>
                <c:pt idx="42">
                  <c:v>2.5539119317508001E-3</c:v>
                </c:pt>
                <c:pt idx="43">
                  <c:v>3.7003921337866704E-3</c:v>
                </c:pt>
                <c:pt idx="44">
                  <c:v>2.1156699328010258E-3</c:v>
                </c:pt>
                <c:pt idx="45">
                  <c:v>2.3399449608516218E-3</c:v>
                </c:pt>
                <c:pt idx="46">
                  <c:v>3.9808640160950296E-3</c:v>
                </c:pt>
                <c:pt idx="47">
                  <c:v>2.7456831428888215E-3</c:v>
                </c:pt>
                <c:pt idx="48">
                  <c:v>3.0931361687444904E-3</c:v>
                </c:pt>
                <c:pt idx="49">
                  <c:v>3.5906083453237985E-3</c:v>
                </c:pt>
                <c:pt idx="50">
                  <c:v>3.646345246022776E-3</c:v>
                </c:pt>
                <c:pt idx="51">
                  <c:v>2.9504205064830712E-3</c:v>
                </c:pt>
                <c:pt idx="52">
                  <c:v>3.6994629292366782E-3</c:v>
                </c:pt>
                <c:pt idx="53">
                  <c:v>2.3828965445448079E-3</c:v>
                </c:pt>
                <c:pt idx="54">
                  <c:v>2.0135599758475645E-3</c:v>
                </c:pt>
                <c:pt idx="55">
                  <c:v>2.5120373171316109E-3</c:v>
                </c:pt>
                <c:pt idx="56">
                  <c:v>2.5255434904317168E-3</c:v>
                </c:pt>
                <c:pt idx="57">
                  <c:v>4.6247200438349892E-3</c:v>
                </c:pt>
                <c:pt idx="58">
                  <c:v>7.7571641382806079E-3</c:v>
                </c:pt>
                <c:pt idx="59">
                  <c:v>0.19240383089299312</c:v>
                </c:pt>
                <c:pt idx="60">
                  <c:v>4.8252724833329532</c:v>
                </c:pt>
                <c:pt idx="61">
                  <c:v>2.4621689492952754</c:v>
                </c:pt>
                <c:pt idx="62">
                  <c:v>1.6574388940185496</c:v>
                </c:pt>
                <c:pt idx="63">
                  <c:v>1.036768065100762</c:v>
                </c:pt>
                <c:pt idx="64">
                  <c:v>1.1779930094244508</c:v>
                </c:pt>
                <c:pt idx="65">
                  <c:v>1.3317654792033575</c:v>
                </c:pt>
                <c:pt idx="66">
                  <c:v>1.3885452595130416</c:v>
                </c:pt>
                <c:pt idx="67">
                  <c:v>1.1593722717000319</c:v>
                </c:pt>
                <c:pt idx="68">
                  <c:v>1.2900142723560228</c:v>
                </c:pt>
                <c:pt idx="69">
                  <c:v>1.0177966280449335</c:v>
                </c:pt>
                <c:pt idx="70">
                  <c:v>0.74518247860970277</c:v>
                </c:pt>
                <c:pt idx="71">
                  <c:v>0.65617966650023729</c:v>
                </c:pt>
                <c:pt idx="72">
                  <c:v>0.45579957213297989</c:v>
                </c:pt>
                <c:pt idx="73">
                  <c:v>0.40091021067984606</c:v>
                </c:pt>
                <c:pt idx="74">
                  <c:v>0.30577115356829154</c:v>
                </c:pt>
                <c:pt idx="75">
                  <c:v>0.20109340607214066</c:v>
                </c:pt>
                <c:pt idx="76">
                  <c:v>0.20240044900171872</c:v>
                </c:pt>
                <c:pt idx="77">
                  <c:v>0.18947121633143948</c:v>
                </c:pt>
                <c:pt idx="78">
                  <c:v>0.17247208778819584</c:v>
                </c:pt>
                <c:pt idx="79">
                  <c:v>0.19049439804106516</c:v>
                </c:pt>
                <c:pt idx="80">
                  <c:v>0.25766971673267414</c:v>
                </c:pt>
                <c:pt idx="81">
                  <c:v>0.27325253613960027</c:v>
                </c:pt>
                <c:pt idx="82">
                  <c:v>0.25839844296529829</c:v>
                </c:pt>
                <c:pt idx="83">
                  <c:v>0.2754934976492619</c:v>
                </c:pt>
                <c:pt idx="84">
                  <c:v>0.26522850591399999</c:v>
                </c:pt>
                <c:pt idx="85">
                  <c:v>0.41474684976191101</c:v>
                </c:pt>
                <c:pt idx="86">
                  <c:v>0.43395482648628775</c:v>
                </c:pt>
                <c:pt idx="87">
                  <c:v>0.49518033756245655</c:v>
                </c:pt>
                <c:pt idx="88">
                  <c:v>0.39588639524566882</c:v>
                </c:pt>
                <c:pt idx="89">
                  <c:v>0.35854399452912622</c:v>
                </c:pt>
                <c:pt idx="90">
                  <c:v>0.49920974771152804</c:v>
                </c:pt>
                <c:pt idx="91">
                  <c:v>0.37640719175591025</c:v>
                </c:pt>
              </c:numCache>
            </c:numRef>
          </c:xVal>
          <c:yVal>
            <c:numRef>
              <c:f>'time series'!$G$3:$G$94</c:f>
              <c:numCache>
                <c:formatCode>0.00</c:formatCode>
                <c:ptCount val="92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52-4CB3-A0AE-836AE143757E}"/>
            </c:ext>
          </c:extLst>
        </c:ser>
        <c:ser>
          <c:idx val="4"/>
          <c:order val="1"/>
          <c:tx>
            <c:strRef>
              <c:f>'time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8016242842406606"/>
                  <c:y val="0.32926426411564708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series'!$F$62:$F$94</c:f>
              <c:numCache>
                <c:formatCode>0.00000</c:formatCode>
                <c:ptCount val="33"/>
                <c:pt idx="0">
                  <c:v>0.19240383089299312</c:v>
                </c:pt>
                <c:pt idx="1">
                  <c:v>4.8252724833329532</c:v>
                </c:pt>
                <c:pt idx="2">
                  <c:v>2.4621689492952754</c:v>
                </c:pt>
                <c:pt idx="3">
                  <c:v>1.6574388940185496</c:v>
                </c:pt>
                <c:pt idx="4">
                  <c:v>1.036768065100762</c:v>
                </c:pt>
                <c:pt idx="5">
                  <c:v>1.1779930094244508</c:v>
                </c:pt>
                <c:pt idx="6">
                  <c:v>1.3317654792033575</c:v>
                </c:pt>
                <c:pt idx="7">
                  <c:v>1.3885452595130416</c:v>
                </c:pt>
                <c:pt idx="8">
                  <c:v>1.1593722717000319</c:v>
                </c:pt>
                <c:pt idx="9">
                  <c:v>1.2900142723560228</c:v>
                </c:pt>
                <c:pt idx="10">
                  <c:v>1.0177966280449335</c:v>
                </c:pt>
                <c:pt idx="11">
                  <c:v>0.74518247860970277</c:v>
                </c:pt>
                <c:pt idx="12">
                  <c:v>0.65617966650023729</c:v>
                </c:pt>
                <c:pt idx="13">
                  <c:v>0.45579957213297989</c:v>
                </c:pt>
                <c:pt idx="14">
                  <c:v>0.40091021067984606</c:v>
                </c:pt>
                <c:pt idx="15">
                  <c:v>0.30577115356829154</c:v>
                </c:pt>
                <c:pt idx="16">
                  <c:v>0.20109340607214066</c:v>
                </c:pt>
                <c:pt idx="17">
                  <c:v>0.20240044900171872</c:v>
                </c:pt>
                <c:pt idx="18">
                  <c:v>0.18947121633143948</c:v>
                </c:pt>
                <c:pt idx="19">
                  <c:v>0.17247208778819584</c:v>
                </c:pt>
                <c:pt idx="20">
                  <c:v>0.19049439804106516</c:v>
                </c:pt>
                <c:pt idx="21">
                  <c:v>0.25766971673267414</c:v>
                </c:pt>
                <c:pt idx="22">
                  <c:v>0.27325253613960027</c:v>
                </c:pt>
                <c:pt idx="23">
                  <c:v>0.25839844296529829</c:v>
                </c:pt>
                <c:pt idx="24">
                  <c:v>0.2754934976492619</c:v>
                </c:pt>
                <c:pt idx="25">
                  <c:v>0.26522850591399999</c:v>
                </c:pt>
                <c:pt idx="26">
                  <c:v>0.41474684976191101</c:v>
                </c:pt>
                <c:pt idx="27">
                  <c:v>0.43395482648628775</c:v>
                </c:pt>
                <c:pt idx="28">
                  <c:v>0.49518033756245655</c:v>
                </c:pt>
                <c:pt idx="29">
                  <c:v>0.39588639524566882</c:v>
                </c:pt>
                <c:pt idx="30">
                  <c:v>0.35854399452912622</c:v>
                </c:pt>
                <c:pt idx="31">
                  <c:v>0.49920974771152804</c:v>
                </c:pt>
                <c:pt idx="32">
                  <c:v>0.37640719175591025</c:v>
                </c:pt>
              </c:numCache>
            </c:numRef>
          </c:xVal>
          <c:yVal>
            <c:numRef>
              <c:f>'time series'!$K$62:$K$94</c:f>
              <c:numCache>
                <c:formatCode>0.0</c:formatCode>
                <c:ptCount val="33"/>
                <c:pt idx="0">
                  <c:v>0.64918586310711357</c:v>
                </c:pt>
                <c:pt idx="1">
                  <c:v>80.273877098790663</c:v>
                </c:pt>
                <c:pt idx="2">
                  <c:v>29.442546033579191</c:v>
                </c:pt>
                <c:pt idx="3">
                  <c:v>16.31642645306794</c:v>
                </c:pt>
                <c:pt idx="4">
                  <c:v>8.1010154920267254</c:v>
                </c:pt>
                <c:pt idx="5">
                  <c:v>9.8024841500616429</c:v>
                </c:pt>
                <c:pt idx="6">
                  <c:v>11.772379250304057</c:v>
                </c:pt>
                <c:pt idx="7">
                  <c:v>12.5291812819928</c:v>
                </c:pt>
                <c:pt idx="8">
                  <c:v>9.5720935711056221</c:v>
                </c:pt>
                <c:pt idx="9">
                  <c:v>11.225865643469508</c:v>
                </c:pt>
                <c:pt idx="10">
                  <c:v>7.8806811190426371</c:v>
                </c:pt>
                <c:pt idx="11">
                  <c:v>4.9466632750487243</c:v>
                </c:pt>
                <c:pt idx="12">
                  <c:v>4.0901903528495991</c:v>
                </c:pt>
                <c:pt idx="13">
                  <c:v>2.3712394427249568</c:v>
                </c:pt>
                <c:pt idx="14">
                  <c:v>1.9565860828258177</c:v>
                </c:pt>
                <c:pt idx="15">
                  <c:v>1.3032971480398352</c:v>
                </c:pt>
                <c:pt idx="16">
                  <c:v>0.69389715674520147</c:v>
                </c:pt>
                <c:pt idx="17">
                  <c:v>0.7007066696823504</c:v>
                </c:pt>
                <c:pt idx="18">
                  <c:v>0.63431871081042923</c:v>
                </c:pt>
                <c:pt idx="19">
                  <c:v>0.55040864798435074</c:v>
                </c:pt>
                <c:pt idx="20">
                  <c:v>0.63949295872696432</c:v>
                </c:pt>
                <c:pt idx="21">
                  <c:v>1.0077895536687496</c:v>
                </c:pt>
                <c:pt idx="22">
                  <c:v>1.1007767520050482</c:v>
                </c:pt>
                <c:pt idx="23">
                  <c:v>1.0120776837806971</c:v>
                </c:pt>
                <c:pt idx="24">
                  <c:v>1.1143696165032715</c:v>
                </c:pt>
                <c:pt idx="25">
                  <c:v>1.0525581634831525</c:v>
                </c:pt>
                <c:pt idx="26">
                  <c:v>2.0586319048115302</c:v>
                </c:pt>
                <c:pt idx="27">
                  <c:v>2.2030880555184837</c:v>
                </c:pt>
                <c:pt idx="28">
                  <c:v>2.6844545415187167</c:v>
                </c:pt>
                <c:pt idx="29">
                  <c:v>1.9199593365540897</c:v>
                </c:pt>
                <c:pt idx="30">
                  <c:v>1.6549675813216762</c:v>
                </c:pt>
                <c:pt idx="31">
                  <c:v>2.7172165163989765</c:v>
                </c:pt>
                <c:pt idx="32">
                  <c:v>1.7801158529898038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52-4CB3-A0AE-836AE1437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6371261302064994"/>
                  <c:y val="6.21446034157663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series'!$R$3:$R$99</c:f>
              <c:numCache>
                <c:formatCode>0.0000</c:formatCode>
                <c:ptCount val="97"/>
                <c:pt idx="0">
                  <c:v>7.9571341198971121E-2</c:v>
                </c:pt>
                <c:pt idx="1">
                  <c:v>9.044007968940844E-2</c:v>
                </c:pt>
                <c:pt idx="2">
                  <c:v>9.1703485083036732E-2</c:v>
                </c:pt>
                <c:pt idx="3">
                  <c:v>6.3181562655174883E-2</c:v>
                </c:pt>
                <c:pt idx="4">
                  <c:v>8.4038683777248546E-2</c:v>
                </c:pt>
                <c:pt idx="5">
                  <c:v>6.8725286711227643E-2</c:v>
                </c:pt>
                <c:pt idx="6">
                  <c:v>9.4565720461089603E-2</c:v>
                </c:pt>
                <c:pt idx="7">
                  <c:v>0.11050731497042873</c:v>
                </c:pt>
                <c:pt idx="8">
                  <c:v>0.10582106730688164</c:v>
                </c:pt>
                <c:pt idx="9">
                  <c:v>9.9758704693576006E-2</c:v>
                </c:pt>
                <c:pt idx="10">
                  <c:v>7.5023421598459206E-2</c:v>
                </c:pt>
                <c:pt idx="11">
                  <c:v>7.6845773716184493E-2</c:v>
                </c:pt>
                <c:pt idx="12">
                  <c:v>6.869044939397298E-2</c:v>
                </c:pt>
                <c:pt idx="13">
                  <c:v>8.0594005992338541E-2</c:v>
                </c:pt>
                <c:pt idx="14">
                  <c:v>7.5767119173336867E-2</c:v>
                </c:pt>
                <c:pt idx="15">
                  <c:v>7.0466656007488693E-2</c:v>
                </c:pt>
                <c:pt idx="16">
                  <c:v>5.6974825166575364E-2</c:v>
                </c:pt>
                <c:pt idx="17">
                  <c:v>6.4763730761990268E-2</c:v>
                </c:pt>
                <c:pt idx="18">
                  <c:v>7.0639327901249452E-2</c:v>
                </c:pt>
                <c:pt idx="19">
                  <c:v>6.0318094663786778E-2</c:v>
                </c:pt>
                <c:pt idx="20">
                  <c:v>5.9029242659879667E-2</c:v>
                </c:pt>
                <c:pt idx="21">
                  <c:v>6.8907699815565576E-2</c:v>
                </c:pt>
                <c:pt idx="22">
                  <c:v>5.5904139684612157E-2</c:v>
                </c:pt>
                <c:pt idx="23">
                  <c:v>6.54443238271534E-2</c:v>
                </c:pt>
                <c:pt idx="24">
                  <c:v>6.1540698840747116E-2</c:v>
                </c:pt>
                <c:pt idx="25">
                  <c:v>4.7263719096074235E-2</c:v>
                </c:pt>
                <c:pt idx="26">
                  <c:v>5.1538595993292788E-2</c:v>
                </c:pt>
                <c:pt idx="27">
                  <c:v>4.5336300061017673E-2</c:v>
                </c:pt>
                <c:pt idx="28">
                  <c:v>4.8734861668615612E-2</c:v>
                </c:pt>
                <c:pt idx="29">
                  <c:v>4.6624242303552936E-2</c:v>
                </c:pt>
                <c:pt idx="30">
                  <c:v>4.9765209513819804E-2</c:v>
                </c:pt>
                <c:pt idx="31">
                  <c:v>5.3083983779389395E-2</c:v>
                </c:pt>
                <c:pt idx="32">
                  <c:v>5.7935985140056129E-2</c:v>
                </c:pt>
                <c:pt idx="33">
                  <c:v>6.5005292164718426E-2</c:v>
                </c:pt>
                <c:pt idx="34">
                  <c:v>5.5215430810571724E-2</c:v>
                </c:pt>
                <c:pt idx="35">
                  <c:v>4.4885853962679266E-2</c:v>
                </c:pt>
                <c:pt idx="36">
                  <c:v>4.6077718248991352E-2</c:v>
                </c:pt>
                <c:pt idx="37">
                  <c:v>5.3861550304055192E-2</c:v>
                </c:pt>
                <c:pt idx="38">
                  <c:v>3.799531780656755E-2</c:v>
                </c:pt>
                <c:pt idx="39">
                  <c:v>3.9171289701945618E-2</c:v>
                </c:pt>
                <c:pt idx="40">
                  <c:v>4.6544577112504731E-2</c:v>
                </c:pt>
                <c:pt idx="41">
                  <c:v>4.3969559975053286E-2</c:v>
                </c:pt>
                <c:pt idx="42">
                  <c:v>5.0454513225989192E-2</c:v>
                </c:pt>
                <c:pt idx="43">
                  <c:v>3.8248266356804506E-2</c:v>
                </c:pt>
                <c:pt idx="44">
                  <c:v>5.1345445693433633E-2</c:v>
                </c:pt>
                <c:pt idx="45">
                  <c:v>4.2043482956417327E-2</c:v>
                </c:pt>
                <c:pt idx="46">
                  <c:v>4.6835150381338342E-2</c:v>
                </c:pt>
                <c:pt idx="47">
                  <c:v>4.9978747631808519E-2</c:v>
                </c:pt>
                <c:pt idx="48">
                  <c:v>4.2323489876525795E-2</c:v>
                </c:pt>
                <c:pt idx="49">
                  <c:v>4.5481511312462315E-2</c:v>
                </c:pt>
                <c:pt idx="50">
                  <c:v>4.4239586177288848E-2</c:v>
                </c:pt>
                <c:pt idx="51">
                  <c:v>5.1085075744257087E-2</c:v>
                </c:pt>
                <c:pt idx="52">
                  <c:v>0.11215398462143412</c:v>
                </c:pt>
                <c:pt idx="53">
                  <c:v>0.16269100918349094</c:v>
                </c:pt>
                <c:pt idx="54">
                  <c:v>0.13439968673314051</c:v>
                </c:pt>
                <c:pt idx="55">
                  <c:v>9.4358083930646847E-2</c:v>
                </c:pt>
                <c:pt idx="56">
                  <c:v>0.17044945191703223</c:v>
                </c:pt>
                <c:pt idx="57">
                  <c:v>0.72028173191820244</c:v>
                </c:pt>
                <c:pt idx="58">
                  <c:v>1.1352028175565894</c:v>
                </c:pt>
                <c:pt idx="59">
                  <c:v>1.703177699347588</c:v>
                </c:pt>
                <c:pt idx="60">
                  <c:v>2.0186022872812361</c:v>
                </c:pt>
                <c:pt idx="61">
                  <c:v>1.4677252306592123</c:v>
                </c:pt>
                <c:pt idx="62">
                  <c:v>1.361900360273641</c:v>
                </c:pt>
                <c:pt idx="63">
                  <c:v>1.3688843007990039</c:v>
                </c:pt>
                <c:pt idx="64">
                  <c:v>1.0196520634742881</c:v>
                </c:pt>
                <c:pt idx="65">
                  <c:v>0.89337150933333931</c:v>
                </c:pt>
                <c:pt idx="66">
                  <c:v>0.736583258626618</c:v>
                </c:pt>
                <c:pt idx="67">
                  <c:v>0.65287352241103969</c:v>
                </c:pt>
                <c:pt idx="68">
                  <c:v>0.57027213816158506</c:v>
                </c:pt>
                <c:pt idx="69">
                  <c:v>0.55978118609752037</c:v>
                </c:pt>
                <c:pt idx="70">
                  <c:v>0.48939152708769829</c:v>
                </c:pt>
                <c:pt idx="71">
                  <c:v>0.52575379423584356</c:v>
                </c:pt>
                <c:pt idx="72">
                  <c:v>0.63462780121004658</c:v>
                </c:pt>
                <c:pt idx="73">
                  <c:v>0.57513238771496977</c:v>
                </c:pt>
                <c:pt idx="74">
                  <c:v>0.40293308010500539</c:v>
                </c:pt>
                <c:pt idx="75">
                  <c:v>0.30797672155282924</c:v>
                </c:pt>
                <c:pt idx="76">
                  <c:v>0.22986925993038157</c:v>
                </c:pt>
                <c:pt idx="77">
                  <c:v>0.29437641266984071</c:v>
                </c:pt>
                <c:pt idx="78">
                  <c:v>0.27822435124033901</c:v>
                </c:pt>
                <c:pt idx="79">
                  <c:v>0.22725581873595388</c:v>
                </c:pt>
                <c:pt idx="80">
                  <c:v>0.20459054398482074</c:v>
                </c:pt>
                <c:pt idx="81">
                  <c:v>0.17409080430944579</c:v>
                </c:pt>
                <c:pt idx="82">
                  <c:v>0.17814972541063109</c:v>
                </c:pt>
                <c:pt idx="83">
                  <c:v>0.1183921096775194</c:v>
                </c:pt>
                <c:pt idx="84">
                  <c:v>0.1568817627832951</c:v>
                </c:pt>
                <c:pt idx="85">
                  <c:v>0.17759299026040237</c:v>
                </c:pt>
                <c:pt idx="86">
                  <c:v>0.11347537676341997</c:v>
                </c:pt>
                <c:pt idx="87">
                  <c:v>0.13918037224152899</c:v>
                </c:pt>
                <c:pt idx="88">
                  <c:v>0.14255794683103706</c:v>
                </c:pt>
                <c:pt idx="89">
                  <c:v>0.12153774975457293</c:v>
                </c:pt>
                <c:pt idx="90">
                  <c:v>0.10676677501096316</c:v>
                </c:pt>
                <c:pt idx="91">
                  <c:v>9.9548294556850367E-2</c:v>
                </c:pt>
                <c:pt idx="92">
                  <c:v>7.637354012359289E-2</c:v>
                </c:pt>
                <c:pt idx="93">
                  <c:v>9.3352147304565286E-2</c:v>
                </c:pt>
                <c:pt idx="94">
                  <c:v>8.6650153241568467E-2</c:v>
                </c:pt>
                <c:pt idx="95">
                  <c:v>9.1052782233583429E-2</c:v>
                </c:pt>
                <c:pt idx="96">
                  <c:v>0.11008326898793698</c:v>
                </c:pt>
              </c:numCache>
            </c:numRef>
          </c:xVal>
          <c:yVal>
            <c:numRef>
              <c:f>'time series'!$S$3:$S$99</c:f>
              <c:numCache>
                <c:formatCode>0.00</c:formatCode>
                <c:ptCount val="97"/>
                <c:pt idx="0">
                  <c:v>10.753606437639453</c:v>
                </c:pt>
                <c:pt idx="1">
                  <c:v>11.449421484108383</c:v>
                </c:pt>
                <c:pt idx="2">
                  <c:v>11.527468362180842</c:v>
                </c:pt>
                <c:pt idx="3">
                  <c:v>9.6051177537464021</c:v>
                </c:pt>
                <c:pt idx="4">
                  <c:v>11.045136245479773</c:v>
                </c:pt>
                <c:pt idx="5">
                  <c:v>10.008974257758966</c:v>
                </c:pt>
                <c:pt idx="6">
                  <c:v>11.70227778463963</c:v>
                </c:pt>
                <c:pt idx="7">
                  <c:v>12.629965915920756</c:v>
                </c:pt>
                <c:pt idx="8">
                  <c:v>12.364784977486735</c:v>
                </c:pt>
                <c:pt idx="9">
                  <c:v>12.012677009828534</c:v>
                </c:pt>
                <c:pt idx="10">
                  <c:v>10.448104279992853</c:v>
                </c:pt>
                <c:pt idx="11">
                  <c:v>10.571623815098866</c:v>
                </c:pt>
                <c:pt idx="12">
                  <c:v>10.006489385883089</c:v>
                </c:pt>
                <c:pt idx="13">
                  <c:v>10.821066004280896</c:v>
                </c:pt>
                <c:pt idx="14">
                  <c:v>10.498695217004803</c:v>
                </c:pt>
                <c:pt idx="15">
                  <c:v>10.132373543120504</c:v>
                </c:pt>
                <c:pt idx="16">
                  <c:v>9.1308573594191778</c:v>
                </c:pt>
                <c:pt idx="17">
                  <c:v>9.7221608905720132</c:v>
                </c:pt>
                <c:pt idx="18">
                  <c:v>10.144524430776944</c:v>
                </c:pt>
                <c:pt idx="19">
                  <c:v>9.3894205084169062</c:v>
                </c:pt>
                <c:pt idx="20">
                  <c:v>9.2906308866960661</c:v>
                </c:pt>
                <c:pt idx="21">
                  <c:v>10.021974915550905</c:v>
                </c:pt>
                <c:pt idx="22">
                  <c:v>9.0464232720722055</c:v>
                </c:pt>
                <c:pt idx="23">
                  <c:v>9.7720595240525299</c:v>
                </c:pt>
                <c:pt idx="24">
                  <c:v>9.4821414923295126</c:v>
                </c:pt>
                <c:pt idx="25">
                  <c:v>8.3323959976455857</c:v>
                </c:pt>
                <c:pt idx="26">
                  <c:v>8.6933050378684342</c:v>
                </c:pt>
                <c:pt idx="27">
                  <c:v>8.1642300776925687</c:v>
                </c:pt>
                <c:pt idx="28">
                  <c:v>8.4584096024010673</c:v>
                </c:pt>
                <c:pt idx="29">
                  <c:v>8.2769967530698683</c:v>
                </c:pt>
                <c:pt idx="30">
                  <c:v>8.5455137041248861</c:v>
                </c:pt>
                <c:pt idx="31">
                  <c:v>8.8199926345190907</c:v>
                </c:pt>
                <c:pt idx="32">
                  <c:v>9.2059671796596909</c:v>
                </c:pt>
                <c:pt idx="33">
                  <c:v>9.7399017992620589</c:v>
                </c:pt>
                <c:pt idx="34">
                  <c:v>8.9916750266202623</c:v>
                </c:pt>
                <c:pt idx="35">
                  <c:v>8.1244058647089226</c:v>
                </c:pt>
                <c:pt idx="36">
                  <c:v>8.2293421289185194</c:v>
                </c:pt>
                <c:pt idx="37">
                  <c:v>8.8830242017558998</c:v>
                </c:pt>
                <c:pt idx="38">
                  <c:v>7.4876823764861795</c:v>
                </c:pt>
                <c:pt idx="39">
                  <c:v>7.6002864174498352</c:v>
                </c:pt>
                <c:pt idx="40">
                  <c:v>8.2700680944641576</c:v>
                </c:pt>
                <c:pt idx="41">
                  <c:v>8.0427614120993436</c:v>
                </c:pt>
                <c:pt idx="42">
                  <c:v>8.6032735656642547</c:v>
                </c:pt>
                <c:pt idx="43">
                  <c:v>7.5120517164204665</c:v>
                </c:pt>
                <c:pt idx="44">
                  <c:v>8.6773354505305136</c:v>
                </c:pt>
                <c:pt idx="45">
                  <c:v>7.8682624843202937</c:v>
                </c:pt>
                <c:pt idx="46">
                  <c:v>8.2953107824859842</c:v>
                </c:pt>
                <c:pt idx="47">
                  <c:v>8.5634504287651811</c:v>
                </c:pt>
                <c:pt idx="48">
                  <c:v>7.8938803457987481</c:v>
                </c:pt>
                <c:pt idx="49">
                  <c:v>8.1770252175386684</c:v>
                </c:pt>
                <c:pt idx="50">
                  <c:v>8.066911022859431</c:v>
                </c:pt>
                <c:pt idx="51">
                  <c:v>8.6557595760042485</c:v>
                </c:pt>
                <c:pt idx="52">
                  <c:v>12.721779242976282</c:v>
                </c:pt>
                <c:pt idx="53">
                  <c:v>15.263647387955624</c:v>
                </c:pt>
                <c:pt idx="54">
                  <c:v>13.900493495878012</c:v>
                </c:pt>
                <c:pt idx="55">
                  <c:v>11.689688123522197</c:v>
                </c:pt>
                <c:pt idx="56">
                  <c:v>15.615862001903615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20.863194372065465</c:v>
                </c:pt>
                <c:pt idx="76">
                  <c:v>18.078849450748503</c:v>
                </c:pt>
                <c:pt idx="77">
                  <c:v>20.406822924107267</c:v>
                </c:pt>
                <c:pt idx="78">
                  <c:v>19.850611599526427</c:v>
                </c:pt>
                <c:pt idx="79">
                  <c:v>17.977901391426752</c:v>
                </c:pt>
                <c:pt idx="80">
                  <c:v>17.07631863833031</c:v>
                </c:pt>
                <c:pt idx="81">
                  <c:v>15.778347530235623</c:v>
                </c:pt>
                <c:pt idx="82">
                  <c:v>15.957435005051694</c:v>
                </c:pt>
                <c:pt idx="83">
                  <c:v>13.063505968143513</c:v>
                </c:pt>
                <c:pt idx="84">
                  <c:v>14.994273444610025</c:v>
                </c:pt>
                <c:pt idx="85">
                  <c:v>15.932994882849687</c:v>
                </c:pt>
                <c:pt idx="86">
                  <c:v>12.794959706299212</c:v>
                </c:pt>
                <c:pt idx="87">
                  <c:v>14.140466465617099</c:v>
                </c:pt>
                <c:pt idx="88">
                  <c:v>14.307481627007895</c:v>
                </c:pt>
                <c:pt idx="89">
                  <c:v>13.232340354745734</c:v>
                </c:pt>
                <c:pt idx="90">
                  <c:v>12.418775120350533</c:v>
                </c:pt>
                <c:pt idx="91">
                  <c:v>12.000262783276698</c:v>
                </c:pt>
                <c:pt idx="92">
                  <c:v>10.539760480415518</c:v>
                </c:pt>
                <c:pt idx="93">
                  <c:v>11.628493871820435</c:v>
                </c:pt>
                <c:pt idx="94">
                  <c:v>11.211900529191803</c:v>
                </c:pt>
                <c:pt idx="95">
                  <c:v>11.487340197684183</c:v>
                </c:pt>
                <c:pt idx="96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69-4407-909E-257E464199D2}"/>
            </c:ext>
          </c:extLst>
        </c:ser>
        <c:ser>
          <c:idx val="4"/>
          <c:order val="1"/>
          <c:tx>
            <c:strRef>
              <c:f>'time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5058769858164929E-2"/>
                  <c:y val="0.30569488228918701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series'!$R$54:$R$99</c:f>
              <c:numCache>
                <c:formatCode>0.0000</c:formatCode>
                <c:ptCount val="46"/>
                <c:pt idx="0">
                  <c:v>5.1085075744257087E-2</c:v>
                </c:pt>
                <c:pt idx="1">
                  <c:v>0.11215398462143412</c:v>
                </c:pt>
                <c:pt idx="2">
                  <c:v>0.16269100918349094</c:v>
                </c:pt>
                <c:pt idx="3">
                  <c:v>0.13439968673314051</c:v>
                </c:pt>
                <c:pt idx="4">
                  <c:v>9.4358083930646847E-2</c:v>
                </c:pt>
                <c:pt idx="5">
                  <c:v>0.17044945191703223</c:v>
                </c:pt>
                <c:pt idx="6">
                  <c:v>0.72028173191820244</c:v>
                </c:pt>
                <c:pt idx="7">
                  <c:v>1.1352028175565894</c:v>
                </c:pt>
                <c:pt idx="8">
                  <c:v>1.703177699347588</c:v>
                </c:pt>
                <c:pt idx="9">
                  <c:v>2.0186022872812361</c:v>
                </c:pt>
                <c:pt idx="10">
                  <c:v>1.4677252306592123</c:v>
                </c:pt>
                <c:pt idx="11">
                  <c:v>1.361900360273641</c:v>
                </c:pt>
                <c:pt idx="12">
                  <c:v>1.3688843007990039</c:v>
                </c:pt>
                <c:pt idx="13">
                  <c:v>1.0196520634742881</c:v>
                </c:pt>
                <c:pt idx="14">
                  <c:v>0.89337150933333931</c:v>
                </c:pt>
                <c:pt idx="15">
                  <c:v>0.736583258626618</c:v>
                </c:pt>
                <c:pt idx="16">
                  <c:v>0.65287352241103969</c:v>
                </c:pt>
                <c:pt idx="17">
                  <c:v>0.57027213816158506</c:v>
                </c:pt>
                <c:pt idx="18">
                  <c:v>0.55978118609752037</c:v>
                </c:pt>
                <c:pt idx="19">
                  <c:v>0.48939152708769829</c:v>
                </c:pt>
                <c:pt idx="20">
                  <c:v>0.52575379423584356</c:v>
                </c:pt>
                <c:pt idx="21">
                  <c:v>0.63462780121004658</c:v>
                </c:pt>
                <c:pt idx="22">
                  <c:v>0.57513238771496977</c:v>
                </c:pt>
                <c:pt idx="23">
                  <c:v>0.40293308010500539</c:v>
                </c:pt>
                <c:pt idx="24">
                  <c:v>0.30797672155282924</c:v>
                </c:pt>
                <c:pt idx="25">
                  <c:v>0.22986925993038157</c:v>
                </c:pt>
                <c:pt idx="26">
                  <c:v>0.29437641266984071</c:v>
                </c:pt>
                <c:pt idx="27">
                  <c:v>0.27822435124033901</c:v>
                </c:pt>
                <c:pt idx="28">
                  <c:v>0.22725581873595388</c:v>
                </c:pt>
                <c:pt idx="29">
                  <c:v>0.20459054398482074</c:v>
                </c:pt>
                <c:pt idx="30">
                  <c:v>0.17409080430944579</c:v>
                </c:pt>
                <c:pt idx="31">
                  <c:v>0.17814972541063109</c:v>
                </c:pt>
                <c:pt idx="32">
                  <c:v>0.1183921096775194</c:v>
                </c:pt>
                <c:pt idx="33">
                  <c:v>0.1568817627832951</c:v>
                </c:pt>
                <c:pt idx="34">
                  <c:v>0.17759299026040237</c:v>
                </c:pt>
                <c:pt idx="35">
                  <c:v>0.11347537676341997</c:v>
                </c:pt>
                <c:pt idx="36">
                  <c:v>0.13918037224152899</c:v>
                </c:pt>
                <c:pt idx="37">
                  <c:v>0.14255794683103706</c:v>
                </c:pt>
                <c:pt idx="38">
                  <c:v>0.12153774975457293</c:v>
                </c:pt>
                <c:pt idx="39">
                  <c:v>0.10676677501096316</c:v>
                </c:pt>
                <c:pt idx="40">
                  <c:v>9.9548294556850367E-2</c:v>
                </c:pt>
                <c:pt idx="41">
                  <c:v>7.637354012359289E-2</c:v>
                </c:pt>
                <c:pt idx="42">
                  <c:v>9.3352147304565286E-2</c:v>
                </c:pt>
                <c:pt idx="43">
                  <c:v>8.6650153241568467E-2</c:v>
                </c:pt>
                <c:pt idx="44">
                  <c:v>9.1052782233583429E-2</c:v>
                </c:pt>
                <c:pt idx="45">
                  <c:v>0.11008326898793698</c:v>
                </c:pt>
              </c:numCache>
            </c:numRef>
          </c:xVal>
          <c:yVal>
            <c:numRef>
              <c:f>'time series'!$W$54:$W$99</c:f>
              <c:numCache>
                <c:formatCode>0.0</c:formatCode>
                <c:ptCount val="46"/>
                <c:pt idx="0">
                  <c:v>2.301682004262575E-2</c:v>
                </c:pt>
                <c:pt idx="1">
                  <c:v>0.42764466742697926</c:v>
                </c:pt>
                <c:pt idx="2">
                  <c:v>0.90410466118547261</c:v>
                </c:pt>
                <c:pt idx="3">
                  <c:v>0.62401512213386201</c:v>
                </c:pt>
                <c:pt idx="4">
                  <c:v>0.28750042030984252</c:v>
                </c:pt>
                <c:pt idx="5">
                  <c:v>0.9863809757657177</c:v>
                </c:pt>
                <c:pt idx="6">
                  <c:v>10.812908300608651</c:v>
                </c:pt>
                <c:pt idx="7">
                  <c:v>21.823328669542274</c:v>
                </c:pt>
                <c:pt idx="8">
                  <c:v>40.498401383901985</c:v>
                </c:pt>
                <c:pt idx="9">
                  <c:v>52.388619007464662</c:v>
                </c:pt>
                <c:pt idx="10">
                  <c:v>32.303485376374532</c:v>
                </c:pt>
                <c:pt idx="11">
                  <c:v>28.823432499359861</c:v>
                </c:pt>
                <c:pt idx="12">
                  <c:v>29.049061001236321</c:v>
                </c:pt>
                <c:pt idx="13">
                  <c:v>18.509432528055576</c:v>
                </c:pt>
                <c:pt idx="14">
                  <c:v>15.099248436022899</c:v>
                </c:pt>
                <c:pt idx="15">
                  <c:v>11.196295187210989</c:v>
                </c:pt>
                <c:pt idx="16">
                  <c:v>9.2749948666787478</c:v>
                </c:pt>
                <c:pt idx="17">
                  <c:v>7.4993224824178188</c:v>
                </c:pt>
                <c:pt idx="18">
                  <c:v>7.282781769147272</c:v>
                </c:pt>
                <c:pt idx="19">
                  <c:v>5.8850242445094674</c:v>
                </c:pt>
                <c:pt idx="20">
                  <c:v>6.594923181443936</c:v>
                </c:pt>
                <c:pt idx="21">
                  <c:v>8.8722063639566624</c:v>
                </c:pt>
                <c:pt idx="22">
                  <c:v>7.6003439499819434</c:v>
                </c:pt>
                <c:pt idx="23">
                  <c:v>4.3076815904663652</c:v>
                </c:pt>
                <c:pt idx="24">
                  <c:v>2.7722667044327545</c:v>
                </c:pt>
                <c:pt idx="25">
                  <c:v>1.6864930147137396</c:v>
                </c:pt>
                <c:pt idx="26">
                  <c:v>2.570939353532562</c:v>
                </c:pt>
                <c:pt idx="27">
                  <c:v>2.3383379318443756</c:v>
                </c:pt>
                <c:pt idx="28">
                  <c:v>1.653259595296525</c:v>
                </c:pt>
                <c:pt idx="29">
                  <c:v>1.3741578979255835</c:v>
                </c:pt>
                <c:pt idx="30">
                  <c:v>1.0257683113662293</c:v>
                </c:pt>
                <c:pt idx="31">
                  <c:v>1.070243099753162</c:v>
                </c:pt>
                <c:pt idx="32">
                  <c:v>0.48044031658571151</c:v>
                </c:pt>
                <c:pt idx="33">
                  <c:v>0.84399493234906009</c:v>
                </c:pt>
                <c:pt idx="34">
                  <c:v>1.0641074704228883</c:v>
                </c:pt>
                <c:pt idx="35">
                  <c:v>0.43867493447335582</c:v>
                </c:pt>
                <c:pt idx="36">
                  <c:v>0.66905511693843145</c:v>
                </c:pt>
                <c:pt idx="37">
                  <c:v>0.70145331668485433</c:v>
                </c:pt>
                <c:pt idx="38">
                  <c:v>0.50774901952196794</c:v>
                </c:pt>
                <c:pt idx="39">
                  <c:v>0.38354601757574636</c:v>
                </c:pt>
                <c:pt idx="40">
                  <c:v>0.32671071279536706</c:v>
                </c:pt>
                <c:pt idx="41">
                  <c:v>0.16313376162635718</c:v>
                </c:pt>
                <c:pt idx="42">
                  <c:v>0.28006587184589576</c:v>
                </c:pt>
                <c:pt idx="43">
                  <c:v>0.23194268064360765</c:v>
                </c:pt>
                <c:pt idx="44">
                  <c:v>0.26327712934970576</c:v>
                </c:pt>
                <c:pt idx="45">
                  <c:v>0.41052763431359102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69-4407-909E-257E46419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4459207472864363E-2"/>
                  <c:y val="9.34628061545161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series'!$AD$3:$AD$100</c:f>
              <c:numCache>
                <c:formatCode>0.00</c:formatCode>
                <c:ptCount val="98"/>
                <c:pt idx="0">
                  <c:v>0.26357357913703783</c:v>
                </c:pt>
                <c:pt idx="1">
                  <c:v>0.43959719635473021</c:v>
                </c:pt>
                <c:pt idx="2">
                  <c:v>0.64314196750147545</c:v>
                </c:pt>
                <c:pt idx="3">
                  <c:v>0.21745258578566307</c:v>
                </c:pt>
                <c:pt idx="4">
                  <c:v>0.71045910724634176</c:v>
                </c:pt>
                <c:pt idx="5">
                  <c:v>0.72465277625882862</c:v>
                </c:pt>
                <c:pt idx="6">
                  <c:v>0.75169088534627493</c:v>
                </c:pt>
                <c:pt idx="7">
                  <c:v>0.36131808173894253</c:v>
                </c:pt>
                <c:pt idx="8">
                  <c:v>0.59259149159073499</c:v>
                </c:pt>
                <c:pt idx="9">
                  <c:v>0.30601292734437047</c:v>
                </c:pt>
                <c:pt idx="10">
                  <c:v>0.35657956317155703</c:v>
                </c:pt>
                <c:pt idx="11">
                  <c:v>0.44560120268442194</c:v>
                </c:pt>
                <c:pt idx="12">
                  <c:v>0.30592076541500562</c:v>
                </c:pt>
                <c:pt idx="13">
                  <c:v>0.47713193379371149</c:v>
                </c:pt>
                <c:pt idx="14">
                  <c:v>0.42204766709286834</c:v>
                </c:pt>
                <c:pt idx="15">
                  <c:v>0.13433200471241286</c:v>
                </c:pt>
                <c:pt idx="16">
                  <c:v>0.44716097879015804</c:v>
                </c:pt>
                <c:pt idx="17">
                  <c:v>0.83862275871784964</c:v>
                </c:pt>
                <c:pt idx="18">
                  <c:v>0.38589347435030963</c:v>
                </c:pt>
                <c:pt idx="19">
                  <c:v>0.27519371860891456</c:v>
                </c:pt>
                <c:pt idx="20">
                  <c:v>0.42692974294925801</c:v>
                </c:pt>
                <c:pt idx="21">
                  <c:v>0.49441457969157515</c:v>
                </c:pt>
                <c:pt idx="22">
                  <c:v>0.23289828171508362</c:v>
                </c:pt>
                <c:pt idx="23">
                  <c:v>0.35241888607021099</c:v>
                </c:pt>
                <c:pt idx="24">
                  <c:v>0.56283206483109793</c:v>
                </c:pt>
                <c:pt idx="25">
                  <c:v>0.30981817163503717</c:v>
                </c:pt>
                <c:pt idx="26">
                  <c:v>0.39673423306978151</c:v>
                </c:pt>
                <c:pt idx="27">
                  <c:v>0.15741570881703457</c:v>
                </c:pt>
                <c:pt idx="28">
                  <c:v>0.34963326088813296</c:v>
                </c:pt>
                <c:pt idx="29">
                  <c:v>0.83855121529307908</c:v>
                </c:pt>
                <c:pt idx="30">
                  <c:v>0.9422812523110039</c:v>
                </c:pt>
                <c:pt idx="31">
                  <c:v>0.79345891536948909</c:v>
                </c:pt>
                <c:pt idx="32">
                  <c:v>0.7930606870580551</c:v>
                </c:pt>
                <c:pt idx="33">
                  <c:v>0.8001572167765505</c:v>
                </c:pt>
                <c:pt idx="34">
                  <c:v>0.6686865003117477</c:v>
                </c:pt>
                <c:pt idx="35">
                  <c:v>0.6761037567515682</c:v>
                </c:pt>
                <c:pt idx="36">
                  <c:v>0.4985710259944689</c:v>
                </c:pt>
                <c:pt idx="37">
                  <c:v>0.72123084865711362</c:v>
                </c:pt>
                <c:pt idx="38">
                  <c:v>0.53567111224264141</c:v>
                </c:pt>
                <c:pt idx="39">
                  <c:v>0.68154229142414147</c:v>
                </c:pt>
                <c:pt idx="40">
                  <c:v>0.44443281912352056</c:v>
                </c:pt>
                <c:pt idx="41">
                  <c:v>0.73850715891062668</c:v>
                </c:pt>
                <c:pt idx="42">
                  <c:v>0.47547292128991725</c:v>
                </c:pt>
                <c:pt idx="43">
                  <c:v>0.29290478020195349</c:v>
                </c:pt>
                <c:pt idx="44">
                  <c:v>7.8584672613327688E-2</c:v>
                </c:pt>
                <c:pt idx="45">
                  <c:v>0.376809495454628</c:v>
                </c:pt>
                <c:pt idx="46">
                  <c:v>0.19089106833699857</c:v>
                </c:pt>
                <c:pt idx="47">
                  <c:v>0.38806254516650579</c:v>
                </c:pt>
                <c:pt idx="48">
                  <c:v>0.58009745809405333</c:v>
                </c:pt>
                <c:pt idx="49">
                  <c:v>0.30702365776266333</c:v>
                </c:pt>
                <c:pt idx="50">
                  <c:v>0.35834773347294702</c:v>
                </c:pt>
                <c:pt idx="51">
                  <c:v>0.5466548256178474</c:v>
                </c:pt>
                <c:pt idx="52">
                  <c:v>0.13665110545914122</c:v>
                </c:pt>
                <c:pt idx="53">
                  <c:v>0.38671688796039866</c:v>
                </c:pt>
                <c:pt idx="54">
                  <c:v>0.66767795668468632</c:v>
                </c:pt>
                <c:pt idx="55">
                  <c:v>1.1621360009538626</c:v>
                </c:pt>
                <c:pt idx="56">
                  <c:v>1.437061520214763</c:v>
                </c:pt>
                <c:pt idx="57">
                  <c:v>0.91285685611144418</c:v>
                </c:pt>
                <c:pt idx="58">
                  <c:v>1.50236828380645</c:v>
                </c:pt>
                <c:pt idx="59">
                  <c:v>2.1858613108627916</c:v>
                </c:pt>
                <c:pt idx="60">
                  <c:v>3.2828785450845364</c:v>
                </c:pt>
                <c:pt idx="61">
                  <c:v>3.427657426269394</c:v>
                </c:pt>
                <c:pt idx="62">
                  <c:v>4.1282215592645262</c:v>
                </c:pt>
                <c:pt idx="63">
                  <c:v>4.2532124658988861</c:v>
                </c:pt>
                <c:pt idx="64">
                  <c:v>3.9620029077075767</c:v>
                </c:pt>
                <c:pt idx="65">
                  <c:v>2.934927407082097</c:v>
                </c:pt>
                <c:pt idx="66">
                  <c:v>3.4445000708364795</c:v>
                </c:pt>
                <c:pt idx="67">
                  <c:v>3.6980872732573005</c:v>
                </c:pt>
                <c:pt idx="68">
                  <c:v>3.0993899385242476</c:v>
                </c:pt>
                <c:pt idx="69">
                  <c:v>3.3238984715736919</c:v>
                </c:pt>
                <c:pt idx="70">
                  <c:v>2.260366945122934</c:v>
                </c:pt>
                <c:pt idx="71">
                  <c:v>2.1551729284937196</c:v>
                </c:pt>
                <c:pt idx="72">
                  <c:v>1.8823525044008163</c:v>
                </c:pt>
                <c:pt idx="73">
                  <c:v>1.8781706086114267</c:v>
                </c:pt>
                <c:pt idx="74">
                  <c:v>1.4214848291287361</c:v>
                </c:pt>
                <c:pt idx="75">
                  <c:v>1.6559816475897358</c:v>
                </c:pt>
                <c:pt idx="76">
                  <c:v>1.3214398084675674</c:v>
                </c:pt>
                <c:pt idx="77">
                  <c:v>1.1676899755608887</c:v>
                </c:pt>
                <c:pt idx="78">
                  <c:v>1.3167189351284487</c:v>
                </c:pt>
                <c:pt idx="79">
                  <c:v>0.83176915890580772</c:v>
                </c:pt>
                <c:pt idx="80">
                  <c:v>0.9843565671128478</c:v>
                </c:pt>
                <c:pt idx="81">
                  <c:v>1.0518376231192159</c:v>
                </c:pt>
                <c:pt idx="82">
                  <c:v>1.6223738543299999</c:v>
                </c:pt>
                <c:pt idx="83">
                  <c:v>1.4851531385854422</c:v>
                </c:pt>
                <c:pt idx="84">
                  <c:v>1.2473334414503794</c:v>
                </c:pt>
                <c:pt idx="85">
                  <c:v>1.3007794467744922</c:v>
                </c:pt>
                <c:pt idx="86">
                  <c:v>0.91876639331709964</c:v>
                </c:pt>
                <c:pt idx="87">
                  <c:v>0.77841399978784198</c:v>
                </c:pt>
                <c:pt idx="88">
                  <c:v>0.6008071614328907</c:v>
                </c:pt>
                <c:pt idx="89">
                  <c:v>0.88274864813720355</c:v>
                </c:pt>
                <c:pt idx="90">
                  <c:v>0.53415236333401706</c:v>
                </c:pt>
                <c:pt idx="91">
                  <c:v>0.70903019825104274</c:v>
                </c:pt>
                <c:pt idx="92">
                  <c:v>0.50425043430827321</c:v>
                </c:pt>
                <c:pt idx="93">
                  <c:v>0.58818157620459977</c:v>
                </c:pt>
                <c:pt idx="94">
                  <c:v>0.47980029560391346</c:v>
                </c:pt>
                <c:pt idx="95">
                  <c:v>0.52239621109898449</c:v>
                </c:pt>
                <c:pt idx="96">
                  <c:v>0.58070952248011654</c:v>
                </c:pt>
                <c:pt idx="97">
                  <c:v>0.4761785172331322</c:v>
                </c:pt>
              </c:numCache>
            </c:numRef>
          </c:xVal>
          <c:yVal>
            <c:numRef>
              <c:f>'time series'!$AE$3:$AE$100</c:f>
              <c:numCache>
                <c:formatCode>0.000</c:formatCode>
                <c:ptCount val="98"/>
                <c:pt idx="0">
                  <c:v>19.331664100320655</c:v>
                </c:pt>
                <c:pt idx="1">
                  <c:v>24.834623711052632</c:v>
                </c:pt>
                <c:pt idx="2">
                  <c:v>29.921368797033395</c:v>
                </c:pt>
                <c:pt idx="3">
                  <c:v>17.593855701595938</c:v>
                </c:pt>
                <c:pt idx="4">
                  <c:v>31.416100892084852</c:v>
                </c:pt>
                <c:pt idx="5">
                  <c:v>31.72190310962235</c:v>
                </c:pt>
                <c:pt idx="6">
                  <c:v>32.296096210611431</c:v>
                </c:pt>
                <c:pt idx="7">
                  <c:v>22.560679543175702</c:v>
                </c:pt>
                <c:pt idx="8">
                  <c:v>28.745635725673324</c:v>
                </c:pt>
                <c:pt idx="9">
                  <c:v>20.797941855513933</c:v>
                </c:pt>
                <c:pt idx="10">
                  <c:v>22.415302573371232</c:v>
                </c:pt>
                <c:pt idx="11">
                  <c:v>25.000150459147054</c:v>
                </c:pt>
                <c:pt idx="12">
                  <c:v>20.794874277441039</c:v>
                </c:pt>
                <c:pt idx="13">
                  <c:v>25.851328026017967</c:v>
                </c:pt>
                <c:pt idx="14">
                  <c:v>24.344066247837816</c:v>
                </c:pt>
                <c:pt idx="15">
                  <c:v>13.897065098168484</c:v>
                </c:pt>
                <c:pt idx="16">
                  <c:v>25.042965983382995</c:v>
                </c:pt>
                <c:pt idx="17">
                  <c:v>34.074083109995165</c:v>
                </c:pt>
                <c:pt idx="18">
                  <c:v>23.299505046324192</c:v>
                </c:pt>
                <c:pt idx="19">
                  <c:v>19.74442880413374</c:v>
                </c:pt>
                <c:pt idx="20">
                  <c:v>24.481562219331547</c:v>
                </c:pt>
                <c:pt idx="21">
                  <c:v>26.305713580823937</c:v>
                </c:pt>
                <c:pt idx="22">
                  <c:v>18.195119915262755</c:v>
                </c:pt>
                <c:pt idx="23">
                  <c:v>22.286838718986882</c:v>
                </c:pt>
                <c:pt idx="24">
                  <c:v>28.029419693648578</c:v>
                </c:pt>
                <c:pt idx="25">
                  <c:v>20.924189043504651</c:v>
                </c:pt>
                <c:pt idx="26">
                  <c:v>23.617769736132988</c:v>
                </c:pt>
                <c:pt idx="27">
                  <c:v>15.019242595540955</c:v>
                </c:pt>
                <c:pt idx="28">
                  <c:v>22.200397561997416</c:v>
                </c:pt>
                <c:pt idx="29">
                  <c:v>34.072659579360547</c:v>
                </c:pt>
                <c:pt idx="30">
                  <c:v>36.075288113137567</c:v>
                </c:pt>
                <c:pt idx="31">
                  <c:v>33.162763445790141</c:v>
                </c:pt>
                <c:pt idx="32">
                  <c:v>33.154611821964082</c:v>
                </c:pt>
                <c:pt idx="33">
                  <c:v>33.299564222719859</c:v>
                </c:pt>
                <c:pt idx="34">
                  <c:v>30.497558859900899</c:v>
                </c:pt>
                <c:pt idx="35">
                  <c:v>30.662751949554721</c:v>
                </c:pt>
                <c:pt idx="36">
                  <c:v>26.413777935966973</c:v>
                </c:pt>
                <c:pt idx="37">
                  <c:v>31.648459436364803</c:v>
                </c:pt>
                <c:pt idx="38">
                  <c:v>27.358674605746323</c:v>
                </c:pt>
                <c:pt idx="39">
                  <c:v>30.783289155104974</c:v>
                </c:pt>
                <c:pt idx="40">
                  <c:v>24.968028454143379</c:v>
                </c:pt>
                <c:pt idx="41">
                  <c:v>32.017461353840112</c:v>
                </c:pt>
                <c:pt idx="42">
                  <c:v>25.807271531844108</c:v>
                </c:pt>
                <c:pt idx="43">
                  <c:v>20.356801407695279</c:v>
                </c:pt>
                <c:pt idx="44">
                  <c:v>10.688100700571788</c:v>
                </c:pt>
                <c:pt idx="45">
                  <c:v>23.029285130619289</c:v>
                </c:pt>
                <c:pt idx="46">
                  <c:v>16.506473735075257</c:v>
                </c:pt>
                <c:pt idx="47">
                  <c:v>23.363546554934821</c:v>
                </c:pt>
                <c:pt idx="48">
                  <c:v>28.447231957877804</c:v>
                </c:pt>
                <c:pt idx="49">
                  <c:v>20.83155278206107</c:v>
                </c:pt>
                <c:pt idx="50">
                  <c:v>22.46966438227409</c:v>
                </c:pt>
                <c:pt idx="51">
                  <c:v>27.631963081806077</c:v>
                </c:pt>
                <c:pt idx="52">
                  <c:v>14.01403997288701</c:v>
                </c:pt>
                <c:pt idx="53">
                  <c:v>23.323837793864588</c:v>
                </c:pt>
                <c:pt idx="54">
                  <c:v>30.475025054476774</c:v>
                </c:pt>
                <c:pt idx="55">
                  <c:v>39.976974540218343</c:v>
                </c:pt>
                <c:pt idx="56">
                  <c:v>44.357726288728202</c:v>
                </c:pt>
                <c:pt idx="57">
                  <c:v>35.519168131343648</c:v>
                </c:pt>
                <c:pt idx="58">
                  <c:v>45.33368254123814</c:v>
                </c:pt>
                <c:pt idx="59">
                  <c:v>54.471179758949042</c:v>
                </c:pt>
                <c:pt idx="60">
                  <c:v>66.475800518584137</c:v>
                </c:pt>
                <c:pt idx="61">
                  <c:v>67.895630319562855</c:v>
                </c:pt>
                <c:pt idx="62">
                  <c:v>74.369135417746435</c:v>
                </c:pt>
                <c:pt idx="63">
                  <c:v>75.463396074733694</c:v>
                </c:pt>
                <c:pt idx="64">
                  <c:v>72.887401129850275</c:v>
                </c:pt>
                <c:pt idx="65">
                  <c:v>62.926854263426122</c:v>
                </c:pt>
                <c:pt idx="66">
                  <c:v>68.058800694432833</c:v>
                </c:pt>
                <c:pt idx="67">
                  <c:v>70.468009795221292</c:v>
                </c:pt>
                <c:pt idx="68">
                  <c:v>64.629613249745333</c:v>
                </c:pt>
                <c:pt idx="69">
                  <c:v>66.88126761185822</c:v>
                </c:pt>
                <c:pt idx="70">
                  <c:v>55.372613673813277</c:v>
                </c:pt>
                <c:pt idx="71">
                  <c:v>54.095331733934266</c:v>
                </c:pt>
                <c:pt idx="72">
                  <c:v>50.626120782656123</c:v>
                </c:pt>
                <c:pt idx="73">
                  <c:v>50.571011673526229</c:v>
                </c:pt>
                <c:pt idx="74">
                  <c:v>44.121621251906596</c:v>
                </c:pt>
                <c:pt idx="75">
                  <c:v>47.547214629001694</c:v>
                </c:pt>
                <c:pt idx="76">
                  <c:v>42.572631686625165</c:v>
                </c:pt>
                <c:pt idx="77">
                  <c:v>40.070420028323532</c:v>
                </c:pt>
                <c:pt idx="78">
                  <c:v>42.498084377982146</c:v>
                </c:pt>
                <c:pt idx="79">
                  <c:v>33.937431496062899</c:v>
                </c:pt>
                <c:pt idx="80">
                  <c:v>36.855333381216369</c:v>
                </c:pt>
                <c:pt idx="81">
                  <c:v>38.071665105915713</c:v>
                </c:pt>
                <c:pt idx="82">
                  <c:v>47.072201205244433</c:v>
                </c:pt>
                <c:pt idx="83">
                  <c:v>45.078553070083458</c:v>
                </c:pt>
                <c:pt idx="84">
                  <c:v>41.386267006171423</c:v>
                </c:pt>
                <c:pt idx="85">
                  <c:v>42.245370956387312</c:v>
                </c:pt>
                <c:pt idx="86">
                  <c:v>35.631584116137674</c:v>
                </c:pt>
                <c:pt idx="87">
                  <c:v>32.853333490527433</c:v>
                </c:pt>
                <c:pt idx="88">
                  <c:v>28.940109598441055</c:v>
                </c:pt>
                <c:pt idx="89">
                  <c:v>34.940571287453785</c:v>
                </c:pt>
                <c:pt idx="90">
                  <c:v>27.320662019534588</c:v>
                </c:pt>
                <c:pt idx="91">
                  <c:v>31.385143033866363</c:v>
                </c:pt>
                <c:pt idx="92">
                  <c:v>26.560697547969596</c:v>
                </c:pt>
                <c:pt idx="93">
                  <c:v>28.640680563368452</c:v>
                </c:pt>
                <c:pt idx="94">
                  <c:v>25.922024993699843</c:v>
                </c:pt>
                <c:pt idx="95">
                  <c:v>27.024533240405859</c:v>
                </c:pt>
                <c:pt idx="96">
                  <c:v>28.461926274567773</c:v>
                </c:pt>
                <c:pt idx="97">
                  <c:v>25.826018806095679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5-4E65-859A-BAFD0890B272}"/>
            </c:ext>
          </c:extLst>
        </c:ser>
        <c:ser>
          <c:idx val="4"/>
          <c:order val="1"/>
          <c:tx>
            <c:strRef>
              <c:f>'time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3508668115746736"/>
                  <c:y val="0.25464149794865959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series'!$AD$57:$AD$96</c:f>
              <c:numCache>
                <c:formatCode>0.00</c:formatCode>
                <c:ptCount val="40"/>
                <c:pt idx="0">
                  <c:v>0.66767795668468632</c:v>
                </c:pt>
                <c:pt idx="1">
                  <c:v>1.1621360009538626</c:v>
                </c:pt>
                <c:pt idx="2">
                  <c:v>1.437061520214763</c:v>
                </c:pt>
                <c:pt idx="3">
                  <c:v>0.91285685611144418</c:v>
                </c:pt>
                <c:pt idx="4">
                  <c:v>1.50236828380645</c:v>
                </c:pt>
                <c:pt idx="5">
                  <c:v>2.1858613108627916</c:v>
                </c:pt>
                <c:pt idx="6">
                  <c:v>3.2828785450845364</c:v>
                </c:pt>
                <c:pt idx="7">
                  <c:v>3.427657426269394</c:v>
                </c:pt>
                <c:pt idx="8">
                  <c:v>4.1282215592645262</c:v>
                </c:pt>
                <c:pt idx="9">
                  <c:v>4.2532124658988861</c:v>
                </c:pt>
                <c:pt idx="10">
                  <c:v>3.9620029077075767</c:v>
                </c:pt>
                <c:pt idx="11">
                  <c:v>2.934927407082097</c:v>
                </c:pt>
                <c:pt idx="12">
                  <c:v>3.4445000708364795</c:v>
                </c:pt>
                <c:pt idx="13">
                  <c:v>3.6980872732573005</c:v>
                </c:pt>
                <c:pt idx="14">
                  <c:v>3.0993899385242476</c:v>
                </c:pt>
                <c:pt idx="15">
                  <c:v>3.3238984715736919</c:v>
                </c:pt>
                <c:pt idx="16">
                  <c:v>2.260366945122934</c:v>
                </c:pt>
                <c:pt idx="17">
                  <c:v>2.1551729284937196</c:v>
                </c:pt>
                <c:pt idx="18">
                  <c:v>1.8823525044008163</c:v>
                </c:pt>
                <c:pt idx="19">
                  <c:v>1.8781706086114267</c:v>
                </c:pt>
                <c:pt idx="20">
                  <c:v>1.4214848291287361</c:v>
                </c:pt>
                <c:pt idx="21">
                  <c:v>1.6559816475897358</c:v>
                </c:pt>
                <c:pt idx="22">
                  <c:v>1.3214398084675674</c:v>
                </c:pt>
                <c:pt idx="23">
                  <c:v>1.1676899755608887</c:v>
                </c:pt>
                <c:pt idx="24">
                  <c:v>1.3167189351284487</c:v>
                </c:pt>
                <c:pt idx="25">
                  <c:v>0.83176915890580772</c:v>
                </c:pt>
                <c:pt idx="26">
                  <c:v>0.9843565671128478</c:v>
                </c:pt>
                <c:pt idx="27">
                  <c:v>1.0518376231192159</c:v>
                </c:pt>
                <c:pt idx="28">
                  <c:v>1.6223738543299999</c:v>
                </c:pt>
                <c:pt idx="29">
                  <c:v>1.4851531385854422</c:v>
                </c:pt>
                <c:pt idx="30">
                  <c:v>1.2473334414503794</c:v>
                </c:pt>
                <c:pt idx="31">
                  <c:v>1.3007794467744922</c:v>
                </c:pt>
                <c:pt idx="32">
                  <c:v>0.91876639331709964</c:v>
                </c:pt>
                <c:pt idx="33">
                  <c:v>0.77841399978784198</c:v>
                </c:pt>
                <c:pt idx="34">
                  <c:v>0.6008071614328907</c:v>
                </c:pt>
                <c:pt idx="35">
                  <c:v>0.88274864813720355</c:v>
                </c:pt>
                <c:pt idx="36">
                  <c:v>0.53415236333401706</c:v>
                </c:pt>
                <c:pt idx="37">
                  <c:v>0.70903019825104274</c:v>
                </c:pt>
                <c:pt idx="38">
                  <c:v>0.50425043430827321</c:v>
                </c:pt>
                <c:pt idx="39">
                  <c:v>0.58818157620459977</c:v>
                </c:pt>
              </c:numCache>
            </c:numRef>
          </c:xVal>
          <c:yVal>
            <c:numRef>
              <c:f>'time series'!$AI$57:$AI$96</c:f>
              <c:numCache>
                <c:formatCode>0.000</c:formatCode>
                <c:ptCount val="40"/>
                <c:pt idx="0">
                  <c:v>1.5033910669225594</c:v>
                </c:pt>
                <c:pt idx="1">
                  <c:v>7.2131430291960283</c:v>
                </c:pt>
                <c:pt idx="2">
                  <c:v>11.236972072285161</c:v>
                </c:pt>
                <c:pt idx="3">
                  <c:v>4.0612120747554936</c:v>
                </c:pt>
                <c:pt idx="4">
                  <c:v>12.269179326256188</c:v>
                </c:pt>
                <c:pt idx="5">
                  <c:v>24.613500775913497</c:v>
                </c:pt>
                <c:pt idx="6">
                  <c:v>49.373292551783905</c:v>
                </c:pt>
                <c:pt idx="7">
                  <c:v>53.034122673910822</c:v>
                </c:pt>
                <c:pt idx="8">
                  <c:v>71.904537014948758</c:v>
                </c:pt>
                <c:pt idx="9">
                  <c:v>75.463396074733694</c:v>
                </c:pt>
                <c:pt idx="10">
                  <c:v>67.259673081945579</c:v>
                </c:pt>
                <c:pt idx="11">
                  <c:v>40.932036729940684</c:v>
                </c:pt>
                <c:pt idx="12">
                  <c:v>53.465504299338306</c:v>
                </c:pt>
                <c:pt idx="13">
                  <c:v>60.096118539580473</c:v>
                </c:pt>
                <c:pt idx="14">
                  <c:v>44.857841745807249</c:v>
                </c:pt>
                <c:pt idx="15">
                  <c:v>50.401845248959297</c:v>
                </c:pt>
                <c:pt idx="16">
                  <c:v>26.114678721144234</c:v>
                </c:pt>
                <c:pt idx="17">
                  <c:v>24.003510828343988</c:v>
                </c:pt>
                <c:pt idx="18">
                  <c:v>18.802062202385333</c:v>
                </c:pt>
                <c:pt idx="19">
                  <c:v>18.725522708448835</c:v>
                </c:pt>
                <c:pt idx="20">
                  <c:v>10.994938126081466</c:v>
                </c:pt>
                <c:pt idx="21">
                  <c:v>14.804804822462378</c:v>
                </c:pt>
                <c:pt idx="22">
                  <c:v>9.4796575785690216</c:v>
                </c:pt>
                <c:pt idx="23">
                  <c:v>7.2890105262002676</c:v>
                </c:pt>
                <c:pt idx="24">
                  <c:v>9.4098636144043137</c:v>
                </c:pt>
                <c:pt idx="25">
                  <c:v>3.1507179885471293</c:v>
                </c:pt>
                <c:pt idx="26">
                  <c:v>4.9126694839933398</c:v>
                </c:pt>
                <c:pt idx="27">
                  <c:v>5.7559767528714643</c:v>
                </c:pt>
                <c:pt idx="28">
                  <c:v>14.237450266178659</c:v>
                </c:pt>
                <c:pt idx="29">
                  <c:v>11.99437318598979</c:v>
                </c:pt>
                <c:pt idx="30">
                  <c:v>8.4023092955406735</c:v>
                </c:pt>
                <c:pt idx="31">
                  <c:v>9.1753710620374971</c:v>
                </c:pt>
                <c:pt idx="32">
                  <c:v>4.1298950454300813</c:v>
                </c:pt>
                <c:pt idx="33">
                  <c:v>2.585309108874037</c:v>
                </c:pt>
                <c:pt idx="34">
                  <c:v>0.91455935307769887</c:v>
                </c:pt>
                <c:pt idx="35">
                  <c:v>3.7161295276776114</c:v>
                </c:pt>
                <c:pt idx="36">
                  <c:v>0.38054812454506753</c:v>
                </c:pt>
                <c:pt idx="37">
                  <c:v>1.8923996239087555</c:v>
                </c:pt>
                <c:pt idx="38">
                  <c:v>0.15938427926016815</c:v>
                </c:pt>
                <c:pt idx="39">
                  <c:v>0.80922086828832873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5-4E65-859A-BAFD0890B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9364046003685133E-2"/>
                  <c:y val="0.1728801784591934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series'!$AP$3:$AP$99</c:f>
              <c:numCache>
                <c:formatCode>0.000000</c:formatCode>
                <c:ptCount val="97"/>
                <c:pt idx="0">
                  <c:v>4.3897770971917459E-2</c:v>
                </c:pt>
                <c:pt idx="1">
                  <c:v>0.18495601908400139</c:v>
                </c:pt>
                <c:pt idx="2">
                  <c:v>7.6311053664435441E-2</c:v>
                </c:pt>
                <c:pt idx="3">
                  <c:v>0.24587964648561264</c:v>
                </c:pt>
                <c:pt idx="4">
                  <c:v>0.2186383680548033</c:v>
                </c:pt>
                <c:pt idx="5">
                  <c:v>0.12042700439733914</c:v>
                </c:pt>
                <c:pt idx="6">
                  <c:v>0.13252314805604898</c:v>
                </c:pt>
                <c:pt idx="7">
                  <c:v>0.10173811041204919</c:v>
                </c:pt>
                <c:pt idx="8">
                  <c:v>0.13556662581685189</c:v>
                </c:pt>
                <c:pt idx="9">
                  <c:v>8.3005080591624911E-2</c:v>
                </c:pt>
                <c:pt idx="10">
                  <c:v>0.1535163243028061</c:v>
                </c:pt>
                <c:pt idx="11">
                  <c:v>0.14186200277861316</c:v>
                </c:pt>
                <c:pt idx="12">
                  <c:v>0.25663826157074232</c:v>
                </c:pt>
                <c:pt idx="13">
                  <c:v>0.11647199853029763</c:v>
                </c:pt>
                <c:pt idx="14">
                  <c:v>0.10564978638456524</c:v>
                </c:pt>
                <c:pt idx="15">
                  <c:v>0.17674780247692887</c:v>
                </c:pt>
                <c:pt idx="16">
                  <c:v>0.13614698115794296</c:v>
                </c:pt>
                <c:pt idx="17">
                  <c:v>7.6138784420404379E-2</c:v>
                </c:pt>
                <c:pt idx="18">
                  <c:v>0.11338178857984446</c:v>
                </c:pt>
                <c:pt idx="19">
                  <c:v>0.1212864624299367</c:v>
                </c:pt>
                <c:pt idx="20">
                  <c:v>8.7453656597959867E-2</c:v>
                </c:pt>
                <c:pt idx="21">
                  <c:v>0.19734478574102218</c:v>
                </c:pt>
                <c:pt idx="22">
                  <c:v>6.4400565155262407E-2</c:v>
                </c:pt>
                <c:pt idx="23">
                  <c:v>0.12910904753600994</c:v>
                </c:pt>
                <c:pt idx="24">
                  <c:v>0.17782682490097981</c:v>
                </c:pt>
                <c:pt idx="25">
                  <c:v>0.12912396925033021</c:v>
                </c:pt>
                <c:pt idx="26">
                  <c:v>0.205180474500054</c:v>
                </c:pt>
                <c:pt idx="27">
                  <c:v>0.15766300758109059</c:v>
                </c:pt>
                <c:pt idx="28">
                  <c:v>0.10721676298505711</c:v>
                </c:pt>
                <c:pt idx="29">
                  <c:v>0.18678129408537913</c:v>
                </c:pt>
                <c:pt idx="30">
                  <c:v>9.4112123716766652E-2</c:v>
                </c:pt>
                <c:pt idx="31">
                  <c:v>2.6782662288688537E-2</c:v>
                </c:pt>
                <c:pt idx="32">
                  <c:v>6.5401064061752556E-2</c:v>
                </c:pt>
                <c:pt idx="33">
                  <c:v>6.6458881750492221E-2</c:v>
                </c:pt>
                <c:pt idx="34">
                  <c:v>0.11561723765412825</c:v>
                </c:pt>
                <c:pt idx="35">
                  <c:v>0.12961242946878099</c:v>
                </c:pt>
                <c:pt idx="36">
                  <c:v>0.19196880985856454</c:v>
                </c:pt>
                <c:pt idx="37">
                  <c:v>8.4023019417805142E-2</c:v>
                </c:pt>
                <c:pt idx="38">
                  <c:v>9.447163417159371E-2</c:v>
                </c:pt>
                <c:pt idx="39">
                  <c:v>0.10802313189235567</c:v>
                </c:pt>
                <c:pt idx="40">
                  <c:v>0.19607448910714628</c:v>
                </c:pt>
                <c:pt idx="41">
                  <c:v>0.13060660955588441</c:v>
                </c:pt>
                <c:pt idx="42">
                  <c:v>9.1363505624141944E-2</c:v>
                </c:pt>
                <c:pt idx="43">
                  <c:v>0.17378427225056214</c:v>
                </c:pt>
                <c:pt idx="44">
                  <c:v>0.10866053878855153</c:v>
                </c:pt>
                <c:pt idx="45">
                  <c:v>0.12379677874343308</c:v>
                </c:pt>
                <c:pt idx="46">
                  <c:v>3.6093941607830742E-2</c:v>
                </c:pt>
                <c:pt idx="47">
                  <c:v>0.12829945671784387</c:v>
                </c:pt>
                <c:pt idx="48">
                  <c:v>6.8580429746416149E-2</c:v>
                </c:pt>
                <c:pt idx="49">
                  <c:v>7.6875227564697349E-2</c:v>
                </c:pt>
                <c:pt idx="50">
                  <c:v>0.12291230211252457</c:v>
                </c:pt>
                <c:pt idx="51">
                  <c:v>0.13732524328888326</c:v>
                </c:pt>
                <c:pt idx="52">
                  <c:v>0.14243220866928247</c:v>
                </c:pt>
                <c:pt idx="53">
                  <c:v>0.11799037139285204</c:v>
                </c:pt>
                <c:pt idx="54">
                  <c:v>3.8284509488109228E-2</c:v>
                </c:pt>
                <c:pt idx="55">
                  <c:v>4.6424586546739768E-2</c:v>
                </c:pt>
                <c:pt idx="56">
                  <c:v>7.8998211542320673E-2</c:v>
                </c:pt>
                <c:pt idx="57">
                  <c:v>5.2917265180248564E-2</c:v>
                </c:pt>
                <c:pt idx="58">
                  <c:v>0.14038290717466523</c:v>
                </c:pt>
                <c:pt idx="59">
                  <c:v>7.5780540910691876E-2</c:v>
                </c:pt>
                <c:pt idx="60">
                  <c:v>0.13051331089451731</c:v>
                </c:pt>
                <c:pt idx="61">
                  <c:v>0.17211266171038553</c:v>
                </c:pt>
                <c:pt idx="62">
                  <c:v>7.1345817966111183E-2</c:v>
                </c:pt>
                <c:pt idx="63">
                  <c:v>0.10801880915662027</c:v>
                </c:pt>
                <c:pt idx="64">
                  <c:v>9.5528017625064118E-2</c:v>
                </c:pt>
                <c:pt idx="65">
                  <c:v>0.25245827412087241</c:v>
                </c:pt>
                <c:pt idx="66">
                  <c:v>1.6639206512325366E-2</c:v>
                </c:pt>
                <c:pt idx="67">
                  <c:v>9.6972535045769803E-2</c:v>
                </c:pt>
                <c:pt idx="68">
                  <c:v>6.1296781860400468E-2</c:v>
                </c:pt>
                <c:pt idx="69">
                  <c:v>7.0164259983481761E-2</c:v>
                </c:pt>
                <c:pt idx="70">
                  <c:v>0.10514076607225155</c:v>
                </c:pt>
                <c:pt idx="71">
                  <c:v>0.12722791084123955</c:v>
                </c:pt>
                <c:pt idx="72">
                  <c:v>9.3990796728811998E-2</c:v>
                </c:pt>
                <c:pt idx="73">
                  <c:v>0.11009140732830064</c:v>
                </c:pt>
                <c:pt idx="74">
                  <c:v>0.98258219116076384</c:v>
                </c:pt>
                <c:pt idx="75">
                  <c:v>1.2590241870353591</c:v>
                </c:pt>
                <c:pt idx="76">
                  <c:v>0.84041683641241394</c:v>
                </c:pt>
                <c:pt idx="77">
                  <c:v>0.62739279626082212</c:v>
                </c:pt>
                <c:pt idx="78">
                  <c:v>0.44477082458333461</c:v>
                </c:pt>
                <c:pt idx="79">
                  <c:v>0.21438573009800721</c:v>
                </c:pt>
                <c:pt idx="80">
                  <c:v>0.38380210657225572</c:v>
                </c:pt>
                <c:pt idx="81">
                  <c:v>0.45162371668816215</c:v>
                </c:pt>
                <c:pt idx="82">
                  <c:v>0.55912896058725181</c:v>
                </c:pt>
                <c:pt idx="83">
                  <c:v>1.3834537968274923</c:v>
                </c:pt>
                <c:pt idx="84">
                  <c:v>1.0296575052791119</c:v>
                </c:pt>
                <c:pt idx="85">
                  <c:v>0.60448560985588007</c:v>
                </c:pt>
                <c:pt idx="86">
                  <c:v>0.39730718576369378</c:v>
                </c:pt>
                <c:pt idx="87">
                  <c:v>0.28131010001283718</c:v>
                </c:pt>
                <c:pt idx="88">
                  <c:v>0.40467916058628961</c:v>
                </c:pt>
                <c:pt idx="89">
                  <c:v>0.1569991614526732</c:v>
                </c:pt>
                <c:pt idx="90">
                  <c:v>0.24024797158522995</c:v>
                </c:pt>
                <c:pt idx="91">
                  <c:v>0.14635073347674116</c:v>
                </c:pt>
                <c:pt idx="92">
                  <c:v>0.16929617535524172</c:v>
                </c:pt>
                <c:pt idx="93">
                  <c:v>8.344037671654049E-2</c:v>
                </c:pt>
                <c:pt idx="94">
                  <c:v>0.11896779263307206</c:v>
                </c:pt>
                <c:pt idx="95">
                  <c:v>0.10287296612355928</c:v>
                </c:pt>
                <c:pt idx="96">
                  <c:v>6.0471592724952936E-2</c:v>
                </c:pt>
              </c:numCache>
            </c:numRef>
          </c:xVal>
          <c:yVal>
            <c:numRef>
              <c:f>'time series'!$AQ$3:$AQ$99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65-4B67-BDCE-AEDECCF49F9F}"/>
            </c:ext>
          </c:extLst>
        </c:ser>
        <c:ser>
          <c:idx val="4"/>
          <c:order val="1"/>
          <c:tx>
            <c:strRef>
              <c:f>'time series'!$K$2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4895186344745601E-2"/>
                  <c:y val="0.30569488228918701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series'!$AP$77:$AP$95</c:f>
              <c:numCache>
                <c:formatCode>0.000000</c:formatCode>
                <c:ptCount val="19"/>
                <c:pt idx="0">
                  <c:v>0.98258219116076384</c:v>
                </c:pt>
                <c:pt idx="1">
                  <c:v>1.2590241870353591</c:v>
                </c:pt>
                <c:pt idx="2">
                  <c:v>0.84041683641241394</c:v>
                </c:pt>
                <c:pt idx="3">
                  <c:v>0.62739279626082212</c:v>
                </c:pt>
                <c:pt idx="4">
                  <c:v>0.44477082458333461</c:v>
                </c:pt>
                <c:pt idx="5">
                  <c:v>0.21438573009800721</c:v>
                </c:pt>
                <c:pt idx="6">
                  <c:v>0.38380210657225572</c:v>
                </c:pt>
                <c:pt idx="7">
                  <c:v>0.45162371668816215</c:v>
                </c:pt>
                <c:pt idx="8">
                  <c:v>0.55912896058725181</c:v>
                </c:pt>
                <c:pt idx="9">
                  <c:v>1.3834537968274923</c:v>
                </c:pt>
                <c:pt idx="10">
                  <c:v>1.0296575052791119</c:v>
                </c:pt>
                <c:pt idx="11">
                  <c:v>0.60448560985588007</c:v>
                </c:pt>
                <c:pt idx="12">
                  <c:v>0.39730718576369378</c:v>
                </c:pt>
                <c:pt idx="13">
                  <c:v>0.28131010001283718</c:v>
                </c:pt>
                <c:pt idx="14">
                  <c:v>0.40467916058628961</c:v>
                </c:pt>
                <c:pt idx="15">
                  <c:v>0.1569991614526732</c:v>
                </c:pt>
                <c:pt idx="16">
                  <c:v>0.24024797158522995</c:v>
                </c:pt>
                <c:pt idx="17">
                  <c:v>0.14635073347674116</c:v>
                </c:pt>
                <c:pt idx="18">
                  <c:v>0.16929617535524172</c:v>
                </c:pt>
              </c:numCache>
            </c:numRef>
          </c:xVal>
          <c:yVal>
            <c:numRef>
              <c:f>'time series'!$AU$77:$AU$95</c:f>
              <c:numCache>
                <c:formatCode>0.00</c:formatCode>
                <c:ptCount val="19"/>
                <c:pt idx="0">
                  <c:v>25.132491371139949</c:v>
                </c:pt>
                <c:pt idx="1">
                  <c:v>37.478753128333324</c:v>
                </c:pt>
                <c:pt idx="2">
                  <c:v>19.440387073878561</c:v>
                </c:pt>
                <c:pt idx="3">
                  <c:v>11.860462902816472</c:v>
                </c:pt>
                <c:pt idx="4">
                  <c:v>6.409186612086665</c:v>
                </c:pt>
                <c:pt idx="5">
                  <c:v>1.2954421677051648</c:v>
                </c:pt>
                <c:pt idx="6">
                  <c:v>4.8407460619542038</c:v>
                </c:pt>
                <c:pt idx="7">
                  <c:v>6.5939324607308993</c:v>
                </c:pt>
                <c:pt idx="8">
                  <c:v>9.6994932961778186</c:v>
                </c:pt>
                <c:pt idx="9">
                  <c:v>43.539555051420827</c:v>
                </c:pt>
                <c:pt idx="10">
                  <c:v>27.119739453068025</c:v>
                </c:pt>
                <c:pt idx="11">
                  <c:v>11.119796478409121</c:v>
                </c:pt>
                <c:pt idx="12">
                  <c:v>5.1762050249836697</c:v>
                </c:pt>
                <c:pt idx="13">
                  <c:v>2.5375905019495217</c:v>
                </c:pt>
                <c:pt idx="14">
                  <c:v>5.3622503173841283</c:v>
                </c:pt>
                <c:pt idx="15">
                  <c:v>0.43043953430756832</c:v>
                </c:pt>
                <c:pt idx="16">
                  <c:v>1.7481310031856034</c:v>
                </c:pt>
                <c:pt idx="17">
                  <c:v>0.29366841055615928</c:v>
                </c:pt>
                <c:pt idx="18">
                  <c:v>0.59820609208488906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65-4B67-BDCE-AEDECCF49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'time series'!$BC$2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7730644248844663E-2"/>
                  <c:y val="0.341048955028877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series'!$BB$3:$BB$99</c:f>
              <c:numCache>
                <c:formatCode>0.00000</c:formatCode>
                <c:ptCount val="97"/>
                <c:pt idx="0">
                  <c:v>0.19838801871065831</c:v>
                </c:pt>
                <c:pt idx="1">
                  <c:v>1.1425410741434612</c:v>
                </c:pt>
                <c:pt idx="2">
                  <c:v>0.59247653519213905</c:v>
                </c:pt>
                <c:pt idx="3">
                  <c:v>1.1263618058928713</c:v>
                </c:pt>
                <c:pt idx="4">
                  <c:v>0.91925005848913266</c:v>
                </c:pt>
                <c:pt idx="5">
                  <c:v>1.0679136329394707</c:v>
                </c:pt>
                <c:pt idx="6">
                  <c:v>0.6181216331801338</c:v>
                </c:pt>
                <c:pt idx="7">
                  <c:v>0.96308772214064187</c:v>
                </c:pt>
                <c:pt idx="8">
                  <c:v>0.90954195986243025</c:v>
                </c:pt>
                <c:pt idx="9">
                  <c:v>0.46189037529747701</c:v>
                </c:pt>
                <c:pt idx="10">
                  <c:v>0.42603380473409458</c:v>
                </c:pt>
                <c:pt idx="11">
                  <c:v>0.48397141731146243</c:v>
                </c:pt>
                <c:pt idx="12">
                  <c:v>0.23555368062501381</c:v>
                </c:pt>
                <c:pt idx="13">
                  <c:v>0.31973279550015182</c:v>
                </c:pt>
                <c:pt idx="14">
                  <c:v>0.89551106263800007</c:v>
                </c:pt>
                <c:pt idx="15">
                  <c:v>0.63828698585585841</c:v>
                </c:pt>
                <c:pt idx="16">
                  <c:v>6.2766419890358111E-2</c:v>
                </c:pt>
                <c:pt idx="17">
                  <c:v>0.85543880783302928</c:v>
                </c:pt>
                <c:pt idx="18">
                  <c:v>0.43580360599668472</c:v>
                </c:pt>
                <c:pt idx="19">
                  <c:v>0.66545080992355288</c:v>
                </c:pt>
                <c:pt idx="20">
                  <c:v>0.56009783527685952</c:v>
                </c:pt>
                <c:pt idx="21">
                  <c:v>1.0627063054888839</c:v>
                </c:pt>
                <c:pt idx="22">
                  <c:v>1.2187586841735567</c:v>
                </c:pt>
                <c:pt idx="23">
                  <c:v>0.74865064803917691</c:v>
                </c:pt>
                <c:pt idx="24">
                  <c:v>0.40686485429322244</c:v>
                </c:pt>
                <c:pt idx="25">
                  <c:v>0.21087168312464102</c:v>
                </c:pt>
                <c:pt idx="26">
                  <c:v>0.75121095185173714</c:v>
                </c:pt>
                <c:pt idx="27">
                  <c:v>0.61328250762514769</c:v>
                </c:pt>
                <c:pt idx="28">
                  <c:v>0.29502295052707628</c:v>
                </c:pt>
                <c:pt idx="29">
                  <c:v>0.11924054783552518</c:v>
                </c:pt>
                <c:pt idx="30">
                  <c:v>0.54905067510780237</c:v>
                </c:pt>
                <c:pt idx="31">
                  <c:v>1.4159084189802036</c:v>
                </c:pt>
                <c:pt idx="32">
                  <c:v>0.7315584334949391</c:v>
                </c:pt>
                <c:pt idx="33">
                  <c:v>1.142899517676268</c:v>
                </c:pt>
                <c:pt idx="34">
                  <c:v>0.33423251887800309</c:v>
                </c:pt>
                <c:pt idx="35">
                  <c:v>0.59752103454415595</c:v>
                </c:pt>
                <c:pt idx="36">
                  <c:v>0.32537495378053732</c:v>
                </c:pt>
                <c:pt idx="37">
                  <c:v>0.93400628880196002</c:v>
                </c:pt>
                <c:pt idx="38">
                  <c:v>0.63569775473544621</c:v>
                </c:pt>
                <c:pt idx="39">
                  <c:v>0.21295856021078574</c:v>
                </c:pt>
                <c:pt idx="40">
                  <c:v>0.64703081194116685</c:v>
                </c:pt>
                <c:pt idx="41">
                  <c:v>0.6819320300357361</c:v>
                </c:pt>
                <c:pt idx="42">
                  <c:v>0.8699496807675785</c:v>
                </c:pt>
                <c:pt idx="43">
                  <c:v>1.0300370115825552</c:v>
                </c:pt>
                <c:pt idx="44">
                  <c:v>1.2200262393455614</c:v>
                </c:pt>
                <c:pt idx="45">
                  <c:v>0.50198436566250659</c:v>
                </c:pt>
                <c:pt idx="46">
                  <c:v>0.55627296712533991</c:v>
                </c:pt>
                <c:pt idx="47">
                  <c:v>1.1299933399388442</c:v>
                </c:pt>
                <c:pt idx="48">
                  <c:v>0.50224851432423823</c:v>
                </c:pt>
                <c:pt idx="49">
                  <c:v>6.9054078198322166</c:v>
                </c:pt>
                <c:pt idx="50">
                  <c:v>4.7200975721794922</c:v>
                </c:pt>
                <c:pt idx="51">
                  <c:v>5.7350083570921395</c:v>
                </c:pt>
                <c:pt idx="52">
                  <c:v>4.8166240818336963</c:v>
                </c:pt>
                <c:pt idx="53">
                  <c:v>4.0309483679147737</c:v>
                </c:pt>
                <c:pt idx="54">
                  <c:v>4.5493196959834972</c:v>
                </c:pt>
                <c:pt idx="55">
                  <c:v>4.1353771970193192</c:v>
                </c:pt>
                <c:pt idx="56">
                  <c:v>3.8828025516388798</c:v>
                </c:pt>
                <c:pt idx="57">
                  <c:v>4.1066084997409478</c:v>
                </c:pt>
                <c:pt idx="58">
                  <c:v>4.4234604596793368</c:v>
                </c:pt>
                <c:pt idx="59">
                  <c:v>3.788883203311133</c:v>
                </c:pt>
                <c:pt idx="60">
                  <c:v>3.353626483336952</c:v>
                </c:pt>
                <c:pt idx="61">
                  <c:v>3.1485150270629259</c:v>
                </c:pt>
                <c:pt idx="62">
                  <c:v>3.4673104936961572</c:v>
                </c:pt>
                <c:pt idx="63">
                  <c:v>3.1983081099844544</c:v>
                </c:pt>
                <c:pt idx="64">
                  <c:v>2.2907570769709316</c:v>
                </c:pt>
                <c:pt idx="65">
                  <c:v>1.9219513463810098</c:v>
                </c:pt>
                <c:pt idx="66">
                  <c:v>2.1511265633178467</c:v>
                </c:pt>
                <c:pt idx="67">
                  <c:v>2.0787485266992447</c:v>
                </c:pt>
                <c:pt idx="68">
                  <c:v>1.8693904389382905</c:v>
                </c:pt>
                <c:pt idx="69">
                  <c:v>2.078228653831387</c:v>
                </c:pt>
                <c:pt idx="70">
                  <c:v>0.83089797203415505</c:v>
                </c:pt>
                <c:pt idx="71">
                  <c:v>0.98472527624692474</c:v>
                </c:pt>
                <c:pt idx="72">
                  <c:v>0.8593462519651065</c:v>
                </c:pt>
                <c:pt idx="73">
                  <c:v>1.2709131857130596</c:v>
                </c:pt>
                <c:pt idx="74">
                  <c:v>1.5943140087743315</c:v>
                </c:pt>
                <c:pt idx="75">
                  <c:v>1.140600424283382</c:v>
                </c:pt>
                <c:pt idx="76">
                  <c:v>1.4836145767079916</c:v>
                </c:pt>
                <c:pt idx="77">
                  <c:v>1.7865219458529225</c:v>
                </c:pt>
                <c:pt idx="78">
                  <c:v>1.3144026744284725</c:v>
                </c:pt>
                <c:pt idx="79">
                  <c:v>0.67964894144308741</c:v>
                </c:pt>
                <c:pt idx="80">
                  <c:v>1.8122232286789091</c:v>
                </c:pt>
                <c:pt idx="81">
                  <c:v>1.0056635523429234</c:v>
                </c:pt>
                <c:pt idx="82">
                  <c:v>1.1682507888377089</c:v>
                </c:pt>
                <c:pt idx="83">
                  <c:v>1.1947126122439504</c:v>
                </c:pt>
                <c:pt idx="84">
                  <c:v>1.0336510301686039</c:v>
                </c:pt>
                <c:pt idx="85">
                  <c:v>0.87702125717197854</c:v>
                </c:pt>
                <c:pt idx="86">
                  <c:v>0.8705039323844399</c:v>
                </c:pt>
                <c:pt idx="87">
                  <c:v>0.71323899136570501</c:v>
                </c:pt>
                <c:pt idx="88">
                  <c:v>0.94175479284903607</c:v>
                </c:pt>
                <c:pt idx="89">
                  <c:v>0.68905771686628614</c:v>
                </c:pt>
                <c:pt idx="90">
                  <c:v>0.47311239721001547</c:v>
                </c:pt>
                <c:pt idx="91">
                  <c:v>1.0230500299113292</c:v>
                </c:pt>
                <c:pt idx="92">
                  <c:v>0.92234878068596127</c:v>
                </c:pt>
                <c:pt idx="93">
                  <c:v>0.63296547797471125</c:v>
                </c:pt>
                <c:pt idx="94">
                  <c:v>0.78946029760972813</c:v>
                </c:pt>
                <c:pt idx="95">
                  <c:v>0.97046834255495151</c:v>
                </c:pt>
                <c:pt idx="96">
                  <c:v>0.59054689213141953</c:v>
                </c:pt>
              </c:numCache>
            </c:numRef>
          </c:xVal>
          <c:yVal>
            <c:numRef>
              <c:f>'time series'!$BC$3:$BC$99</c:f>
              <c:numCache>
                <c:formatCode>0.000</c:formatCode>
                <c:ptCount val="97"/>
                <c:pt idx="0">
                  <c:v>16.820809941256019</c:v>
                </c:pt>
                <c:pt idx="1">
                  <c:v>39.645456583396225</c:v>
                </c:pt>
                <c:pt idx="2">
                  <c:v>28.742904854222196</c:v>
                </c:pt>
                <c:pt idx="3">
                  <c:v>39.369533421059508</c:v>
                </c:pt>
                <c:pt idx="4">
                  <c:v>35.640768428102852</c:v>
                </c:pt>
                <c:pt idx="5">
                  <c:v>38.355507714735971</c:v>
                </c:pt>
                <c:pt idx="6">
                  <c:v>29.345566839890022</c:v>
                </c:pt>
                <c:pt idx="7">
                  <c:v>36.463198159789307</c:v>
                </c:pt>
                <c:pt idx="8">
                  <c:v>35.455946879836603</c:v>
                </c:pt>
                <c:pt idx="9">
                  <c:v>25.443584699087346</c:v>
                </c:pt>
                <c:pt idx="10">
                  <c:v>24.456389878309288</c:v>
                </c:pt>
                <c:pt idx="11">
                  <c:v>26.032136115911982</c:v>
                </c:pt>
                <c:pt idx="12">
                  <c:v>18.296415493334056</c:v>
                </c:pt>
                <c:pt idx="13">
                  <c:v>21.249458974659046</c:v>
                </c:pt>
                <c:pt idx="14">
                  <c:v>35.187040386560966</c:v>
                </c:pt>
                <c:pt idx="15">
                  <c:v>29.810545471853466</c:v>
                </c:pt>
                <c:pt idx="16">
                  <c:v>9.5741599740202101</c:v>
                </c:pt>
                <c:pt idx="17">
                  <c:v>34.406977289796167</c:v>
                </c:pt>
                <c:pt idx="18">
                  <c:v>24.729441430649075</c:v>
                </c:pt>
                <c:pt idx="19">
                  <c:v>30.425202491694701</c:v>
                </c:pt>
                <c:pt idx="20">
                  <c:v>27.962656108126847</c:v>
                </c:pt>
                <c:pt idx="21">
                  <c:v>38.263805902213079</c:v>
                </c:pt>
                <c:pt idx="22">
                  <c:v>40.919234617726914</c:v>
                </c:pt>
                <c:pt idx="23">
                  <c:v>32.232064192136171</c:v>
                </c:pt>
                <c:pt idx="24">
                  <c:v>23.911198459324371</c:v>
                </c:pt>
                <c:pt idx="25">
                  <c:v>17.331068420902895</c:v>
                </c:pt>
                <c:pt idx="26">
                  <c:v>32.285996877975236</c:v>
                </c:pt>
                <c:pt idx="27">
                  <c:v>29.232837847728149</c:v>
                </c:pt>
                <c:pt idx="28">
                  <c:v>20.428758714092439</c:v>
                </c:pt>
                <c:pt idx="29">
                  <c:v>13.109266947612063</c:v>
                </c:pt>
                <c:pt idx="30">
                  <c:v>27.691201483776123</c:v>
                </c:pt>
                <c:pt idx="31">
                  <c:v>44.036775639007523</c:v>
                </c:pt>
                <c:pt idx="32">
                  <c:v>31.869579878084458</c:v>
                </c:pt>
                <c:pt idx="33">
                  <c:v>39.651546869503818</c:v>
                </c:pt>
                <c:pt idx="34">
                  <c:v>21.716020453446596</c:v>
                </c:pt>
                <c:pt idx="35">
                  <c:v>28.862487240276568</c:v>
                </c:pt>
                <c:pt idx="36">
                  <c:v>21.432266257899443</c:v>
                </c:pt>
                <c:pt idx="37">
                  <c:v>35.919798352605596</c:v>
                </c:pt>
                <c:pt idx="38">
                  <c:v>29.751265901467569</c:v>
                </c:pt>
                <c:pt idx="39">
                  <c:v>17.414848637296785</c:v>
                </c:pt>
                <c:pt idx="40">
                  <c:v>30.009830800478195</c:v>
                </c:pt>
                <c:pt idx="41">
                  <c:v>30.791908264570221</c:v>
                </c:pt>
                <c:pt idx="42">
                  <c:v>34.691563207225272</c:v>
                </c:pt>
                <c:pt idx="43">
                  <c:v>37.683186838441159</c:v>
                </c:pt>
                <c:pt idx="44">
                  <c:v>40.94006952406091</c:v>
                </c:pt>
                <c:pt idx="45">
                  <c:v>26.502178779401593</c:v>
                </c:pt>
                <c:pt idx="46">
                  <c:v>27.868981957172135</c:v>
                </c:pt>
                <c:pt idx="47">
                  <c:v>39.431641163362293</c:v>
                </c:pt>
                <c:pt idx="48">
                  <c:v>26.50900706392347</c:v>
                </c:pt>
                <c:pt idx="49">
                  <c:v>95.676352165121884</c:v>
                </c:pt>
                <c:pt idx="50">
                  <c:v>79.412228909168903</c:v>
                </c:pt>
                <c:pt idx="51">
                  <c:v>87.359013166733888</c:v>
                </c:pt>
                <c:pt idx="52">
                  <c:v>80.203388791059325</c:v>
                </c:pt>
                <c:pt idx="53">
                  <c:v>73.505784301683235</c:v>
                </c:pt>
                <c:pt idx="54">
                  <c:v>77.991984810012738</c:v>
                </c:pt>
                <c:pt idx="55">
                  <c:v>74.43223351140314</c:v>
                </c:pt>
                <c:pt idx="56">
                  <c:v>72.170223328675746</c:v>
                </c:pt>
                <c:pt idx="57">
                  <c:v>74.178212802820894</c:v>
                </c:pt>
                <c:pt idx="58">
                  <c:v>76.927800845856368</c:v>
                </c:pt>
                <c:pt idx="59">
                  <c:v>71.310016358111767</c:v>
                </c:pt>
                <c:pt idx="60">
                  <c:v>67.173524646610915</c:v>
                </c:pt>
                <c:pt idx="61">
                  <c:v>65.129236714115137</c:v>
                </c:pt>
                <c:pt idx="62">
                  <c:v>68.27913876301389</c:v>
                </c:pt>
                <c:pt idx="63">
                  <c:v>65.631610794766416</c:v>
                </c:pt>
                <c:pt idx="64">
                  <c:v>55.735939623692062</c:v>
                </c:pt>
                <c:pt idx="65">
                  <c:v>51.144889047467956</c:v>
                </c:pt>
                <c:pt idx="66">
                  <c:v>54.04557165756178</c:v>
                </c:pt>
                <c:pt idx="67">
                  <c:v>53.147300424444779</c:v>
                </c:pt>
                <c:pt idx="68">
                  <c:v>50.455102302710593</c:v>
                </c:pt>
                <c:pt idx="69">
                  <c:v>53.140791125360266</c:v>
                </c:pt>
                <c:pt idx="70">
                  <c:v>33.92002009615323</c:v>
                </c:pt>
                <c:pt idx="71">
                  <c:v>36.862092971941742</c:v>
                </c:pt>
                <c:pt idx="72">
                  <c:v>34.483850526131711</c:v>
                </c:pt>
                <c:pt idx="73">
                  <c:v>41.767563527184244</c:v>
                </c:pt>
                <c:pt idx="74">
                  <c:v>46.671742210542483</c:v>
                </c:pt>
                <c:pt idx="75">
                  <c:v>39.612466210306977</c:v>
                </c:pt>
                <c:pt idx="76">
                  <c:v>45.055678199723602</c:v>
                </c:pt>
                <c:pt idx="77">
                  <c:v>49.347151014865034</c:v>
                </c:pt>
                <c:pt idx="78">
                  <c:v>42.461458430102837</c:v>
                </c:pt>
                <c:pt idx="79">
                  <c:v>30.74138169190935</c:v>
                </c:pt>
                <c:pt idx="80">
                  <c:v>49.693531204440781</c:v>
                </c:pt>
                <c:pt idx="81">
                  <c:v>37.24385996388542</c:v>
                </c:pt>
                <c:pt idx="82">
                  <c:v>40.079843078936001</c:v>
                </c:pt>
                <c:pt idx="83">
                  <c:v>40.521872281664393</c:v>
                </c:pt>
                <c:pt idx="84">
                  <c:v>37.747875326223209</c:v>
                </c:pt>
                <c:pt idx="85">
                  <c:v>34.82937236324355</c:v>
                </c:pt>
                <c:pt idx="86">
                  <c:v>34.702384925613089</c:v>
                </c:pt>
                <c:pt idx="87">
                  <c:v>31.476237240272116</c:v>
                </c:pt>
                <c:pt idx="88">
                  <c:v>36.065416543332461</c:v>
                </c:pt>
                <c:pt idx="89">
                  <c:v>30.949052692459428</c:v>
                </c:pt>
                <c:pt idx="90">
                  <c:v>25.744450365142487</c:v>
                </c:pt>
                <c:pt idx="91">
                  <c:v>37.55779534446684</c:v>
                </c:pt>
                <c:pt idx="92">
                  <c:v>35.69955160850747</c:v>
                </c:pt>
                <c:pt idx="93">
                  <c:v>29.688577585078416</c:v>
                </c:pt>
                <c:pt idx="94">
                  <c:v>33.08081782499211</c:v>
                </c:pt>
                <c:pt idx="95">
                  <c:v>36.599771247132161</c:v>
                </c:pt>
                <c:pt idx="96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4-4F34-8636-C93D460C6DAF}"/>
            </c:ext>
          </c:extLst>
        </c:ser>
        <c:ser>
          <c:idx val="1"/>
          <c:order val="1"/>
          <c:tx>
            <c:strRef>
              <c:f>'time series'!$BG$2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010267831148375E-2"/>
                  <c:y val="0.183864685766320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'time series'!$BB$52:$BB$92</c:f>
              <c:numCache>
                <c:formatCode>0.00000</c:formatCode>
                <c:ptCount val="41"/>
                <c:pt idx="0">
                  <c:v>6.9054078198322166</c:v>
                </c:pt>
                <c:pt idx="1">
                  <c:v>4.7200975721794922</c:v>
                </c:pt>
                <c:pt idx="2">
                  <c:v>5.7350083570921395</c:v>
                </c:pt>
                <c:pt idx="3">
                  <c:v>4.8166240818336963</c:v>
                </c:pt>
                <c:pt idx="4">
                  <c:v>4.0309483679147737</c:v>
                </c:pt>
                <c:pt idx="5">
                  <c:v>4.5493196959834972</c:v>
                </c:pt>
                <c:pt idx="6">
                  <c:v>4.1353771970193192</c:v>
                </c:pt>
                <c:pt idx="7">
                  <c:v>3.8828025516388798</c:v>
                </c:pt>
                <c:pt idx="8">
                  <c:v>4.1066084997409478</c:v>
                </c:pt>
                <c:pt idx="9">
                  <c:v>4.4234604596793368</c:v>
                </c:pt>
                <c:pt idx="10">
                  <c:v>3.788883203311133</c:v>
                </c:pt>
                <c:pt idx="11">
                  <c:v>3.353626483336952</c:v>
                </c:pt>
                <c:pt idx="12">
                  <c:v>3.1485150270629259</c:v>
                </c:pt>
                <c:pt idx="13">
                  <c:v>3.4673104936961572</c:v>
                </c:pt>
                <c:pt idx="14">
                  <c:v>3.1983081099844544</c:v>
                </c:pt>
                <c:pt idx="15">
                  <c:v>2.2907570769709316</c:v>
                </c:pt>
                <c:pt idx="16">
                  <c:v>1.9219513463810098</c:v>
                </c:pt>
                <c:pt idx="17">
                  <c:v>2.1511265633178467</c:v>
                </c:pt>
                <c:pt idx="18">
                  <c:v>2.0787485266992447</c:v>
                </c:pt>
                <c:pt idx="19">
                  <c:v>1.8693904389382905</c:v>
                </c:pt>
                <c:pt idx="20">
                  <c:v>2.078228653831387</c:v>
                </c:pt>
                <c:pt idx="21">
                  <c:v>0.83089797203415505</c:v>
                </c:pt>
                <c:pt idx="22">
                  <c:v>0.98472527624692474</c:v>
                </c:pt>
                <c:pt idx="23">
                  <c:v>0.8593462519651065</c:v>
                </c:pt>
                <c:pt idx="24">
                  <c:v>1.2709131857130596</c:v>
                </c:pt>
                <c:pt idx="25">
                  <c:v>1.5943140087743315</c:v>
                </c:pt>
                <c:pt idx="26">
                  <c:v>1.140600424283382</c:v>
                </c:pt>
                <c:pt idx="27">
                  <c:v>1.4836145767079916</c:v>
                </c:pt>
                <c:pt idx="28">
                  <c:v>1.7865219458529225</c:v>
                </c:pt>
                <c:pt idx="29">
                  <c:v>1.3144026744284725</c:v>
                </c:pt>
                <c:pt idx="30">
                  <c:v>0.67964894144308741</c:v>
                </c:pt>
                <c:pt idx="31">
                  <c:v>1.8122232286789091</c:v>
                </c:pt>
                <c:pt idx="32">
                  <c:v>1.0056635523429234</c:v>
                </c:pt>
                <c:pt idx="33">
                  <c:v>1.1682507888377089</c:v>
                </c:pt>
                <c:pt idx="34">
                  <c:v>1.1947126122439504</c:v>
                </c:pt>
                <c:pt idx="35">
                  <c:v>1.0336510301686039</c:v>
                </c:pt>
                <c:pt idx="36">
                  <c:v>0.87702125717197854</c:v>
                </c:pt>
                <c:pt idx="37">
                  <c:v>0.8705039323844399</c:v>
                </c:pt>
                <c:pt idx="38">
                  <c:v>0.71323899136570501</c:v>
                </c:pt>
                <c:pt idx="39">
                  <c:v>0.94175479284903607</c:v>
                </c:pt>
                <c:pt idx="40">
                  <c:v>0.68905771686628614</c:v>
                </c:pt>
              </c:numCache>
            </c:numRef>
          </c:xVal>
          <c:yVal>
            <c:numRef>
              <c:f>'time series'!$BG$52:$BG$92</c:f>
              <c:numCache>
                <c:formatCode>0.000</c:formatCode>
                <c:ptCount val="41"/>
                <c:pt idx="0">
                  <c:v>95.676352165121884</c:v>
                </c:pt>
                <c:pt idx="1">
                  <c:v>51.68263473228803</c:v>
                </c:pt>
                <c:pt idx="2">
                  <c:v>71.021541069653153</c:v>
                </c:pt>
                <c:pt idx="3">
                  <c:v>53.43456912568881</c:v>
                </c:pt>
                <c:pt idx="4">
                  <c:v>39.744362475480649</c:v>
                </c:pt>
                <c:pt idx="5">
                  <c:v>48.630059567312784</c:v>
                </c:pt>
                <c:pt idx="6">
                  <c:v>41.48729911571948</c:v>
                </c:pt>
                <c:pt idx="7">
                  <c:v>37.313825012048376</c:v>
                </c:pt>
                <c:pt idx="8">
                  <c:v>41.004723776914147</c:v>
                </c:pt>
                <c:pt idx="9">
                  <c:v>46.419437559321715</c:v>
                </c:pt>
                <c:pt idx="10">
                  <c:v>35.798916522499191</c:v>
                </c:pt>
                <c:pt idx="11">
                  <c:v>29.050497081818317</c:v>
                </c:pt>
                <c:pt idx="12">
                  <c:v>26.031842230685346</c:v>
                </c:pt>
                <c:pt idx="13">
                  <c:v>30.768951980214819</c:v>
                </c:pt>
                <c:pt idx="14">
                  <c:v>26.75482458821207</c:v>
                </c:pt>
                <c:pt idx="15">
                  <c:v>14.638270627587673</c:v>
                </c:pt>
                <c:pt idx="16">
                  <c:v>10.418497169619833</c:v>
                </c:pt>
                <c:pt idx="17">
                  <c:v>12.988496194911496</c:v>
                </c:pt>
                <c:pt idx="18">
                  <c:v>12.157964803001388</c:v>
                </c:pt>
                <c:pt idx="19">
                  <c:v>9.8542325598227745</c:v>
                </c:pt>
                <c:pt idx="20">
                  <c:v>12.152061372639519</c:v>
                </c:pt>
                <c:pt idx="21">
                  <c:v>0.99618885275303914</c:v>
                </c:pt>
                <c:pt idx="22">
                  <c:v>1.9886528080807033</c:v>
                </c:pt>
                <c:pt idx="23">
                  <c:v>1.1695004662320032</c:v>
                </c:pt>
                <c:pt idx="24">
                  <c:v>4.1632957074646608</c:v>
                </c:pt>
                <c:pt idx="25">
                  <c:v>7.0639156916121975</c:v>
                </c:pt>
                <c:pt idx="26">
                  <c:v>3.1236554347743439</c:v>
                </c:pt>
                <c:pt idx="27">
                  <c:v>6.0223566804147604</c:v>
                </c:pt>
                <c:pt idx="28">
                  <c:v>8.984418761852325</c:v>
                </c:pt>
                <c:pt idx="29">
                  <c:v>4.5275296551944759</c:v>
                </c:pt>
                <c:pt idx="30">
                  <c:v>0.15988718093415155</c:v>
                </c:pt>
                <c:pt idx="31">
                  <c:v>9.2515613824164742</c:v>
                </c:pt>
                <c:pt idx="32">
                  <c:v>2.1338544534609003</c:v>
                </c:pt>
                <c:pt idx="33">
                  <c:v>3.3375907653545278</c:v>
                </c:pt>
                <c:pt idx="34">
                  <c:v>3.5457375544434417</c:v>
                </c:pt>
                <c:pt idx="35">
                  <c:v>2.3315420131098517</c:v>
                </c:pt>
                <c:pt idx="36">
                  <c:v>1.2795853734533111</c:v>
                </c:pt>
                <c:pt idx="37">
                  <c:v>1.2387813895195521</c:v>
                </c:pt>
                <c:pt idx="38">
                  <c:v>0.33265074871762224</c:v>
                </c:pt>
                <c:pt idx="39">
                  <c:v>1.6980428017212159</c:v>
                </c:pt>
                <c:pt idx="40">
                  <c:v>0.20749626161984847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4-4F34-8636-C93D460C6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25866486205488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68254</xdr:colOff>
      <xdr:row>97</xdr:row>
      <xdr:rowOff>139411</xdr:rowOff>
    </xdr:from>
    <xdr:to>
      <xdr:col>10</xdr:col>
      <xdr:colOff>969818</xdr:colOff>
      <xdr:row>116</xdr:row>
      <xdr:rowOff>34636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554182</xdr:colOff>
      <xdr:row>102</xdr:row>
      <xdr:rowOff>116031</xdr:rowOff>
    </xdr:from>
    <xdr:to>
      <xdr:col>23</xdr:col>
      <xdr:colOff>83534</xdr:colOff>
      <xdr:row>122</xdr:row>
      <xdr:rowOff>86591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555419</xdr:colOff>
      <xdr:row>103</xdr:row>
      <xdr:rowOff>166997</xdr:rowOff>
    </xdr:from>
    <xdr:to>
      <xdr:col>35</xdr:col>
      <xdr:colOff>34635</xdr:colOff>
      <xdr:row>123</xdr:row>
      <xdr:rowOff>86591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407612</xdr:colOff>
      <xdr:row>103</xdr:row>
      <xdr:rowOff>162425</xdr:rowOff>
    </xdr:from>
    <xdr:to>
      <xdr:col>47</xdr:col>
      <xdr:colOff>358588</xdr:colOff>
      <xdr:row>123</xdr:row>
      <xdr:rowOff>56029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48</xdr:col>
      <xdr:colOff>12880</xdr:colOff>
      <xdr:row>104</xdr:row>
      <xdr:rowOff>11497</xdr:rowOff>
    </xdr:from>
    <xdr:to>
      <xdr:col>58</xdr:col>
      <xdr:colOff>1277470</xdr:colOff>
      <xdr:row>123</xdr:row>
      <xdr:rowOff>89647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30416</xdr:colOff>
      <xdr:row>104</xdr:row>
      <xdr:rowOff>95249</xdr:rowOff>
    </xdr:from>
    <xdr:to>
      <xdr:col>71</xdr:col>
      <xdr:colOff>231321</xdr:colOff>
      <xdr:row>123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72</xdr:col>
      <xdr:colOff>217714</xdr:colOff>
      <xdr:row>88</xdr:row>
      <xdr:rowOff>108857</xdr:rowOff>
    </xdr:from>
    <xdr:to>
      <xdr:col>78</xdr:col>
      <xdr:colOff>907676</xdr:colOff>
      <xdr:row>102</xdr:row>
      <xdr:rowOff>185057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2C90D53-CAD7-472F-8E19-3ECDBB5A5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79</xdr:col>
      <xdr:colOff>281608</xdr:colOff>
      <xdr:row>156</xdr:row>
      <xdr:rowOff>120863</xdr:rowOff>
    </xdr:from>
    <xdr:to>
      <xdr:col>88</xdr:col>
      <xdr:colOff>289891</xdr:colOff>
      <xdr:row>172</xdr:row>
      <xdr:rowOff>66260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4A3041-E1CB-4DCA-BDB0-1ED076B5E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88</xdr:col>
      <xdr:colOff>332102</xdr:colOff>
      <xdr:row>124</xdr:row>
      <xdr:rowOff>116135</xdr:rowOff>
    </xdr:from>
    <xdr:to>
      <xdr:col>94</xdr:col>
      <xdr:colOff>791543</xdr:colOff>
      <xdr:row>139</xdr:row>
      <xdr:rowOff>1835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B1BDEE8-330E-49E9-B720-A98405922E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96</xdr:col>
      <xdr:colOff>358588</xdr:colOff>
      <xdr:row>124</xdr:row>
      <xdr:rowOff>179294</xdr:rowOff>
    </xdr:from>
    <xdr:to>
      <xdr:col>102</xdr:col>
      <xdr:colOff>840441</xdr:colOff>
      <xdr:row>139</xdr:row>
      <xdr:rowOff>64994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1F0FA62-F408-4F77-A6F8-613484A61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269327</xdr:colOff>
      <xdr:row>116</xdr:row>
      <xdr:rowOff>163148</xdr:rowOff>
    </xdr:from>
    <xdr:to>
      <xdr:col>10</xdr:col>
      <xdr:colOff>886812</xdr:colOff>
      <xdr:row>133</xdr:row>
      <xdr:rowOff>157656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D9C2413-1077-EDA9-57ED-CDDB30AD0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605117</xdr:colOff>
      <xdr:row>123</xdr:row>
      <xdr:rowOff>67236</xdr:rowOff>
    </xdr:from>
    <xdr:to>
      <xdr:col>15</xdr:col>
      <xdr:colOff>583866</xdr:colOff>
      <xdr:row>140</xdr:row>
      <xdr:rowOff>61744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E2D853F-4B9E-44DC-8973-67ABF0DBB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394607</xdr:colOff>
      <xdr:row>124</xdr:row>
      <xdr:rowOff>27214</xdr:rowOff>
    </xdr:from>
    <xdr:to>
      <xdr:col>27</xdr:col>
      <xdr:colOff>604677</xdr:colOff>
      <xdr:row>141</xdr:row>
      <xdr:rowOff>21722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C7BDF94-7918-464D-BAA8-729F46C11D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35</xdr:col>
      <xdr:colOff>515471</xdr:colOff>
      <xdr:row>125</xdr:row>
      <xdr:rowOff>67235</xdr:rowOff>
    </xdr:from>
    <xdr:to>
      <xdr:col>39</xdr:col>
      <xdr:colOff>938453</xdr:colOff>
      <xdr:row>142</xdr:row>
      <xdr:rowOff>61743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CACF10-F1F5-4EE3-80C8-556D9F757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739589</xdr:colOff>
      <xdr:row>124</xdr:row>
      <xdr:rowOff>168088</xdr:rowOff>
    </xdr:from>
    <xdr:to>
      <xdr:col>52</xdr:col>
      <xdr:colOff>214074</xdr:colOff>
      <xdr:row>141</xdr:row>
      <xdr:rowOff>162596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C5F7682-0368-4AB4-980B-670340BFA7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31"/>
  <sheetViews>
    <sheetView workbookViewId="0">
      <selection activeCell="A32" sqref="A32"/>
    </sheetView>
  </sheetViews>
  <sheetFormatPr defaultRowHeight="15" x14ac:dyDescent="0.25"/>
  <cols>
    <col min="1" max="1" width="17.42578125" customWidth="1"/>
    <col min="3" max="3" width="14.42578125" customWidth="1"/>
    <col min="5" max="5" width="15.140625" customWidth="1"/>
    <col min="7" max="7" width="13" customWidth="1"/>
    <col min="9" max="9" width="13.42578125" customWidth="1"/>
    <col min="11" max="11" width="12.85546875" customWidth="1"/>
    <col min="12" max="12" width="9.5703125" bestFit="1" customWidth="1"/>
    <col min="13" max="13" width="11.85546875" customWidth="1"/>
    <col min="14" max="14" width="11.5703125" bestFit="1" customWidth="1"/>
    <col min="15" max="15" width="12.5703125" customWidth="1"/>
    <col min="16" max="16" width="11.5703125" bestFit="1" customWidth="1"/>
    <col min="17" max="17" width="12.5703125" customWidth="1"/>
    <col min="18" max="18" width="11.5703125" bestFit="1" customWidth="1"/>
    <col min="19" max="19" width="14.42578125" customWidth="1"/>
    <col min="20" max="20" width="11.5703125" bestFit="1" customWidth="1"/>
    <col min="21" max="21" width="15.140625" customWidth="1"/>
  </cols>
  <sheetData>
    <row r="2" spans="1:21" x14ac:dyDescent="0.25">
      <c r="B2" s="113" t="s">
        <v>29</v>
      </c>
      <c r="C2" s="113"/>
      <c r="D2" s="114" t="s">
        <v>36</v>
      </c>
      <c r="E2" s="114"/>
      <c r="F2" s="115" t="s">
        <v>37</v>
      </c>
      <c r="G2" s="115"/>
      <c r="H2" s="116" t="s">
        <v>38</v>
      </c>
      <c r="I2" s="116"/>
      <c r="J2" s="117" t="s">
        <v>39</v>
      </c>
      <c r="K2" s="117"/>
      <c r="L2" s="121" t="s">
        <v>40</v>
      </c>
      <c r="M2" s="121"/>
      <c r="N2" s="118" t="s">
        <v>44</v>
      </c>
      <c r="O2" s="118"/>
      <c r="P2" s="119" t="s">
        <v>45</v>
      </c>
      <c r="Q2" s="119"/>
      <c r="R2" s="120" t="s">
        <v>46</v>
      </c>
      <c r="S2" s="120"/>
      <c r="T2" s="113" t="s">
        <v>47</v>
      </c>
      <c r="U2" s="113"/>
    </row>
    <row r="3" spans="1:21" x14ac:dyDescent="0.25">
      <c r="A3" s="2" t="s">
        <v>0</v>
      </c>
      <c r="B3" s="21">
        <v>2.7100659833378001E-2</v>
      </c>
      <c r="C3" s="20">
        <v>44776.625694444447</v>
      </c>
      <c r="D3" s="58">
        <v>1.03130225848837E-2</v>
      </c>
      <c r="E3" s="108">
        <v>44781.625694444447</v>
      </c>
      <c r="F3" s="57">
        <v>3.3894640450781402E-2</v>
      </c>
      <c r="G3" s="34">
        <v>45136.65625</v>
      </c>
      <c r="H3" s="41">
        <v>1.4897205278113701E-2</v>
      </c>
      <c r="I3" s="42">
        <v>0.77083333333333337</v>
      </c>
      <c r="J3" s="60">
        <v>5.6741231058604902E-2</v>
      </c>
      <c r="K3" s="61">
        <v>45166.510416666664</v>
      </c>
      <c r="L3" s="63">
        <v>0.12148791730821901</v>
      </c>
      <c r="M3" s="64">
        <v>45183.75</v>
      </c>
      <c r="N3" s="97">
        <v>5.38596691217735E-2</v>
      </c>
      <c r="O3" s="98">
        <v>45046.78125</v>
      </c>
      <c r="P3" s="100">
        <v>6.4025860322733205E-2</v>
      </c>
      <c r="Q3" s="101">
        <v>45048</v>
      </c>
      <c r="R3" s="103">
        <v>0.12891581735454399</v>
      </c>
      <c r="S3" s="104">
        <v>45050.416666666664</v>
      </c>
      <c r="T3" s="106">
        <v>0.292537961978307</v>
      </c>
      <c r="U3" s="20">
        <v>45051.739583333336</v>
      </c>
    </row>
    <row r="4" spans="1:21" x14ac:dyDescent="0.25">
      <c r="A4" s="2" t="s">
        <v>1</v>
      </c>
      <c r="B4" s="21">
        <v>1.73415591077304E-2</v>
      </c>
      <c r="C4" s="20">
        <v>44776.625694444447</v>
      </c>
      <c r="D4" s="58">
        <v>7.7748894996124401E-3</v>
      </c>
      <c r="E4" s="108">
        <v>44781.625694444447</v>
      </c>
      <c r="F4" s="57">
        <v>2.45471667611072E-2</v>
      </c>
      <c r="G4" s="34">
        <v>45136.65625</v>
      </c>
      <c r="H4" s="41">
        <v>8.0441004530797805E-3</v>
      </c>
      <c r="I4" s="42">
        <v>0.77083333333333337</v>
      </c>
      <c r="J4" s="60">
        <v>3.5270738108725101E-2</v>
      </c>
      <c r="K4" s="61">
        <v>45166.510416666664</v>
      </c>
      <c r="L4" s="63">
        <v>6.33040571897725E-2</v>
      </c>
      <c r="M4" s="64">
        <v>45183.75</v>
      </c>
      <c r="N4" s="97">
        <v>3.8845723186713102E-2</v>
      </c>
      <c r="O4" s="98">
        <v>45046.989583333336</v>
      </c>
      <c r="P4" s="100">
        <v>5.04171385185469E-2</v>
      </c>
      <c r="Q4" s="101">
        <v>45047.9375</v>
      </c>
      <c r="R4" s="103">
        <v>8.2414030105865899E-2</v>
      </c>
      <c r="S4" s="104">
        <v>45049.697916666664</v>
      </c>
      <c r="T4" s="106">
        <v>9.2214903469473294E-2</v>
      </c>
      <c r="U4" s="20">
        <v>45051.739583333336</v>
      </c>
    </row>
    <row r="5" spans="1:21" x14ac:dyDescent="0.25">
      <c r="A5" s="2" t="s">
        <v>2</v>
      </c>
      <c r="B5" s="21">
        <v>1.75334302078048E-2</v>
      </c>
      <c r="C5" s="20">
        <v>44776.625694444447</v>
      </c>
      <c r="D5" s="58">
        <v>7.6956360133416798E-3</v>
      </c>
      <c r="E5" s="108">
        <v>44781.625694444447</v>
      </c>
      <c r="F5" s="57">
        <v>2.45122321428459E-2</v>
      </c>
      <c r="G5" s="34">
        <v>45136.65625</v>
      </c>
      <c r="H5" s="41">
        <v>8.0763578503031796E-3</v>
      </c>
      <c r="I5" s="42">
        <v>0.77083333333333337</v>
      </c>
      <c r="J5" s="60">
        <v>3.4439974703429702E-2</v>
      </c>
      <c r="K5" s="61">
        <v>45166.510416666664</v>
      </c>
      <c r="L5" s="63">
        <v>5.8734947455230002E-2</v>
      </c>
      <c r="M5" s="64">
        <v>45183.75</v>
      </c>
      <c r="N5" s="97">
        <v>3.8631953422046103E-2</v>
      </c>
      <c r="O5" s="98">
        <v>45047.010416666664</v>
      </c>
      <c r="P5" s="100">
        <v>5.0081186486448499E-2</v>
      </c>
      <c r="Q5" s="101">
        <v>45047.958333333336</v>
      </c>
      <c r="R5" s="103">
        <v>8.1453207701218902E-2</v>
      </c>
      <c r="S5" s="104">
        <v>45049.802083333336</v>
      </c>
      <c r="T5" s="106">
        <v>8.4068406777156698E-2</v>
      </c>
      <c r="U5" s="20">
        <v>45051.520833333336</v>
      </c>
    </row>
    <row r="6" spans="1:21" x14ac:dyDescent="0.25">
      <c r="A6" s="2" t="s">
        <v>3</v>
      </c>
      <c r="B6" s="9">
        <v>0</v>
      </c>
      <c r="C6" s="20">
        <v>44776.000694444447</v>
      </c>
      <c r="D6" s="59">
        <v>0</v>
      </c>
      <c r="E6" s="108">
        <v>44781.000694444447</v>
      </c>
      <c r="F6" s="33">
        <v>0</v>
      </c>
      <c r="G6" s="34">
        <v>45136</v>
      </c>
      <c r="H6" s="43">
        <v>0</v>
      </c>
      <c r="I6" s="44">
        <v>0</v>
      </c>
      <c r="J6" s="62">
        <v>1</v>
      </c>
      <c r="K6" s="61">
        <v>45166.510416666664</v>
      </c>
      <c r="L6" s="65">
        <v>2</v>
      </c>
      <c r="M6" s="64">
        <v>45183.75</v>
      </c>
      <c r="N6" s="99">
        <v>0</v>
      </c>
      <c r="O6" s="98">
        <v>45046</v>
      </c>
      <c r="P6" s="102">
        <v>0</v>
      </c>
      <c r="Q6" s="101">
        <v>45047.208333333336</v>
      </c>
      <c r="R6" s="105">
        <v>9</v>
      </c>
      <c r="S6" s="104">
        <v>45049.6875</v>
      </c>
      <c r="T6" s="107">
        <v>31</v>
      </c>
      <c r="U6" s="20">
        <v>45051.739583333336</v>
      </c>
    </row>
    <row r="7" spans="1:21" x14ac:dyDescent="0.25">
      <c r="A7" s="2" t="s">
        <v>4</v>
      </c>
      <c r="B7" s="9">
        <v>11</v>
      </c>
      <c r="C7" s="20">
        <v>44776.625694444447</v>
      </c>
      <c r="D7" s="59">
        <v>0</v>
      </c>
      <c r="E7" s="108">
        <v>44781.000694444447</v>
      </c>
      <c r="F7" s="33">
        <v>2</v>
      </c>
      <c r="G7" s="34">
        <v>45136.666666666664</v>
      </c>
      <c r="H7" s="43">
        <v>0</v>
      </c>
      <c r="I7" s="44">
        <v>0</v>
      </c>
      <c r="J7" s="62">
        <v>28</v>
      </c>
      <c r="K7" s="61">
        <v>45166.510416666664</v>
      </c>
      <c r="L7" s="65">
        <v>126</v>
      </c>
      <c r="M7" s="64">
        <v>45183.75</v>
      </c>
      <c r="N7" s="99">
        <v>4</v>
      </c>
      <c r="O7" s="98">
        <v>45046.78125</v>
      </c>
      <c r="P7" s="102">
        <v>3</v>
      </c>
      <c r="Q7" s="101">
        <v>45047.958333333336</v>
      </c>
      <c r="R7" s="105">
        <v>89</v>
      </c>
      <c r="S7" s="104">
        <v>45049.6875</v>
      </c>
      <c r="T7" s="107">
        <v>212</v>
      </c>
      <c r="U7" s="20">
        <v>45051.739583333336</v>
      </c>
    </row>
    <row r="8" spans="1:21" x14ac:dyDescent="0.25">
      <c r="A8" s="2" t="s">
        <v>5</v>
      </c>
      <c r="B8" s="9">
        <v>199</v>
      </c>
      <c r="C8" s="20">
        <v>44776.625694444447</v>
      </c>
      <c r="D8" s="59">
        <v>3</v>
      </c>
      <c r="E8" s="108">
        <v>44781.698611111111</v>
      </c>
      <c r="F8" s="33">
        <v>117</v>
      </c>
      <c r="G8" s="34">
        <v>45136.65625</v>
      </c>
      <c r="H8" s="43">
        <v>36</v>
      </c>
      <c r="I8" s="44">
        <v>0.28125</v>
      </c>
      <c r="J8" s="62">
        <v>646</v>
      </c>
      <c r="K8" s="61">
        <v>45166.510416666664</v>
      </c>
      <c r="L8" s="65">
        <v>2055</v>
      </c>
      <c r="M8" s="64">
        <v>45183.75</v>
      </c>
      <c r="N8" s="99">
        <v>372</v>
      </c>
      <c r="O8" s="98">
        <v>45046.989583333336</v>
      </c>
      <c r="P8" s="102">
        <v>1279</v>
      </c>
      <c r="Q8" s="101">
        <v>45047.9375</v>
      </c>
      <c r="R8" s="105">
        <v>5469</v>
      </c>
      <c r="S8" s="104">
        <v>45049.697916666664</v>
      </c>
      <c r="T8" s="107">
        <v>6269</v>
      </c>
      <c r="U8" s="20">
        <v>45051.739583333336</v>
      </c>
    </row>
    <row r="9" spans="1:21" x14ac:dyDescent="0.25">
      <c r="A9" s="2" t="s">
        <v>6</v>
      </c>
      <c r="B9" s="9">
        <v>2627</v>
      </c>
      <c r="C9" s="20">
        <v>44776.625694444447</v>
      </c>
      <c r="D9" s="59">
        <v>336</v>
      </c>
      <c r="E9" s="108">
        <v>44781.625694444447</v>
      </c>
      <c r="F9" s="33">
        <v>4935</v>
      </c>
      <c r="G9" s="34">
        <v>45136.65625</v>
      </c>
      <c r="H9" s="43">
        <v>461</v>
      </c>
      <c r="I9" s="42">
        <v>0.77083333333333337</v>
      </c>
      <c r="J9" s="62">
        <v>7213</v>
      </c>
      <c r="K9" s="61">
        <v>45166.510416666664</v>
      </c>
      <c r="L9" s="65">
        <v>9680</v>
      </c>
      <c r="M9" s="64">
        <v>45183.75</v>
      </c>
      <c r="N9" s="99">
        <v>13877</v>
      </c>
      <c r="O9" s="98">
        <v>45046.9375</v>
      </c>
      <c r="P9" s="102">
        <v>14146</v>
      </c>
      <c r="Q9" s="101">
        <v>45047.90625</v>
      </c>
      <c r="R9" s="105">
        <v>14285</v>
      </c>
      <c r="S9" s="104">
        <v>45049.65625</v>
      </c>
      <c r="T9" s="107">
        <v>13485</v>
      </c>
      <c r="U9" s="20">
        <v>45051.552083333336</v>
      </c>
    </row>
    <row r="10" spans="1:21" x14ac:dyDescent="0.25">
      <c r="A10" s="2" t="s">
        <v>7</v>
      </c>
      <c r="B10" s="9">
        <v>11852</v>
      </c>
      <c r="C10" s="20">
        <v>44776.636111111111</v>
      </c>
      <c r="D10" s="59">
        <v>11744</v>
      </c>
      <c r="E10" s="108">
        <v>44781.625694444447</v>
      </c>
      <c r="F10" s="33">
        <v>10289</v>
      </c>
      <c r="G10" s="34">
        <v>45136.625</v>
      </c>
      <c r="H10" s="43">
        <v>6670</v>
      </c>
      <c r="I10" s="42">
        <v>0.77083333333333337</v>
      </c>
      <c r="J10" s="62">
        <v>10382</v>
      </c>
      <c r="K10" s="61">
        <v>45166.520833333336</v>
      </c>
      <c r="L10" s="65">
        <v>9147</v>
      </c>
      <c r="M10" s="64">
        <v>45183.614583333336</v>
      </c>
      <c r="N10" s="99">
        <v>8663</v>
      </c>
      <c r="O10" s="98">
        <v>45046.635416666664</v>
      </c>
      <c r="P10" s="102">
        <v>8779</v>
      </c>
      <c r="Q10" s="101">
        <v>45047.458333333336</v>
      </c>
      <c r="R10" s="105">
        <v>11303</v>
      </c>
      <c r="S10" s="104">
        <v>45049.479166666664</v>
      </c>
      <c r="T10" s="107">
        <v>4862</v>
      </c>
      <c r="U10" s="20">
        <v>45050.947916666664</v>
      </c>
    </row>
    <row r="11" spans="1:21" x14ac:dyDescent="0.25">
      <c r="A11" s="2" t="s">
        <v>8</v>
      </c>
      <c r="B11" s="9">
        <v>15119</v>
      </c>
      <c r="C11" s="20">
        <v>44776.802777777775</v>
      </c>
      <c r="D11" s="59">
        <v>15383</v>
      </c>
      <c r="E11" s="108">
        <v>44781.584027777775</v>
      </c>
      <c r="F11" s="33">
        <v>10588</v>
      </c>
      <c r="G11" s="34">
        <v>45136.229166666664</v>
      </c>
      <c r="H11" s="43">
        <v>10150</v>
      </c>
      <c r="I11" s="42">
        <v>0.77083333333333337</v>
      </c>
      <c r="J11" s="62">
        <v>8381</v>
      </c>
      <c r="K11" s="61">
        <v>45166.5</v>
      </c>
      <c r="L11" s="65">
        <v>9270</v>
      </c>
      <c r="M11" s="64">
        <v>45183.229166666664</v>
      </c>
      <c r="N11" s="99">
        <v>2368</v>
      </c>
      <c r="O11" s="98">
        <v>45046.333333333336</v>
      </c>
      <c r="P11" s="102">
        <v>2518</v>
      </c>
      <c r="Q11" s="101">
        <v>45047.489583333336</v>
      </c>
      <c r="R11" s="105">
        <v>3150</v>
      </c>
      <c r="S11" s="104">
        <v>45049.416666666664</v>
      </c>
      <c r="T11" s="107">
        <v>1228</v>
      </c>
      <c r="U11" s="20">
        <v>45050.947916666664</v>
      </c>
    </row>
    <row r="12" spans="1:21" x14ac:dyDescent="0.25">
      <c r="A12" s="2" t="s">
        <v>9</v>
      </c>
      <c r="B12" s="9">
        <v>0</v>
      </c>
      <c r="C12" s="20">
        <v>44776.000694444447</v>
      </c>
      <c r="D12" s="59">
        <v>0</v>
      </c>
      <c r="E12" s="108">
        <v>44781.000694444447</v>
      </c>
      <c r="F12" s="33">
        <v>0</v>
      </c>
      <c r="G12" s="34">
        <v>45136</v>
      </c>
      <c r="H12" s="43">
        <v>0</v>
      </c>
      <c r="I12" s="44">
        <v>0</v>
      </c>
      <c r="J12" s="60">
        <v>4.4300089970899799E-2</v>
      </c>
      <c r="K12" s="61">
        <v>45166.510416666664</v>
      </c>
      <c r="L12" s="63">
        <v>7.8997664635741496E-2</v>
      </c>
      <c r="M12" s="64">
        <v>45183.739583333336</v>
      </c>
      <c r="N12" s="97">
        <v>0</v>
      </c>
      <c r="O12" s="98">
        <v>45046</v>
      </c>
      <c r="P12" s="100">
        <v>0</v>
      </c>
      <c r="Q12" s="101">
        <v>45047.208333333336</v>
      </c>
      <c r="R12" s="103">
        <v>9.0958011128018296E-2</v>
      </c>
      <c r="S12" s="104">
        <v>45049.791666666664</v>
      </c>
      <c r="T12" s="106">
        <v>0.292537961978307</v>
      </c>
      <c r="U12" s="20">
        <v>45051.739583333336</v>
      </c>
    </row>
    <row r="13" spans="1:21" x14ac:dyDescent="0.25">
      <c r="A13" s="2" t="s">
        <v>10</v>
      </c>
      <c r="B13" s="9">
        <v>0</v>
      </c>
      <c r="C13" s="20">
        <v>44776.000694444447</v>
      </c>
      <c r="D13" s="59">
        <v>0</v>
      </c>
      <c r="E13" s="108">
        <v>44781.000694444447</v>
      </c>
      <c r="F13" s="33">
        <v>0</v>
      </c>
      <c r="G13" s="34">
        <v>45136</v>
      </c>
      <c r="H13" s="43">
        <v>0</v>
      </c>
      <c r="I13" s="44">
        <v>0</v>
      </c>
      <c r="J13" s="60">
        <v>4.4300089970899799E-2</v>
      </c>
      <c r="K13" s="61">
        <v>45166.510416666664</v>
      </c>
      <c r="L13" s="63">
        <v>7.8997664635741496E-2</v>
      </c>
      <c r="M13" s="64">
        <v>45183.739583333336</v>
      </c>
      <c r="N13" s="97">
        <v>0</v>
      </c>
      <c r="O13" s="98">
        <v>45046</v>
      </c>
      <c r="P13" s="100">
        <v>0</v>
      </c>
      <c r="Q13" s="101">
        <v>45047.208333333336</v>
      </c>
      <c r="R13" s="103">
        <v>9.0958011128018296E-2</v>
      </c>
      <c r="S13" s="104">
        <v>45049.791666666664</v>
      </c>
      <c r="T13" s="106">
        <v>0.16867590942760999</v>
      </c>
      <c r="U13" s="20">
        <v>45051.739583333336</v>
      </c>
    </row>
    <row r="14" spans="1:21" x14ac:dyDescent="0.25">
      <c r="A14" s="2" t="s">
        <v>11</v>
      </c>
      <c r="B14" s="9">
        <v>0</v>
      </c>
      <c r="C14" s="20">
        <v>44776.000694444447</v>
      </c>
      <c r="D14" s="59">
        <v>0</v>
      </c>
      <c r="E14" s="108">
        <v>44781.000694444447</v>
      </c>
      <c r="F14" s="33">
        <v>0</v>
      </c>
      <c r="G14" s="34">
        <v>45136</v>
      </c>
      <c r="H14" s="43">
        <v>0</v>
      </c>
      <c r="I14" s="44">
        <v>0</v>
      </c>
      <c r="J14" s="60">
        <v>4.4300089970899799E-2</v>
      </c>
      <c r="K14" s="61">
        <v>45166.510416666664</v>
      </c>
      <c r="L14" s="63">
        <v>7.8997664635741496E-2</v>
      </c>
      <c r="M14" s="64">
        <v>45183.739583333336</v>
      </c>
      <c r="N14" s="97">
        <v>0</v>
      </c>
      <c r="O14" s="98">
        <v>45046</v>
      </c>
      <c r="P14" s="100">
        <v>0</v>
      </c>
      <c r="Q14" s="101">
        <v>45047.208333333336</v>
      </c>
      <c r="R14" s="103">
        <v>9.0958011128018296E-2</v>
      </c>
      <c r="S14" s="104">
        <v>45049.791666666664</v>
      </c>
      <c r="T14" s="106">
        <v>0.14774167024357299</v>
      </c>
      <c r="U14" s="20">
        <v>45051.739583333336</v>
      </c>
    </row>
    <row r="15" spans="1:21" x14ac:dyDescent="0.25">
      <c r="A15" s="2" t="s">
        <v>12</v>
      </c>
      <c r="B15" s="21">
        <v>0.108402639333512</v>
      </c>
      <c r="C15" s="20">
        <v>44776.625694444447</v>
      </c>
      <c r="D15" s="59">
        <v>0</v>
      </c>
      <c r="E15" s="108">
        <v>44781.000694444447</v>
      </c>
      <c r="F15" s="57">
        <v>0.114178758147192</v>
      </c>
      <c r="G15" s="34">
        <v>45136.666666666664</v>
      </c>
      <c r="H15" s="43">
        <v>0</v>
      </c>
      <c r="I15" s="44">
        <v>0</v>
      </c>
      <c r="J15" s="60">
        <v>0.22561108157867499</v>
      </c>
      <c r="K15" s="61">
        <v>45166.510416666664</v>
      </c>
      <c r="L15" s="63">
        <v>0.48595166923287902</v>
      </c>
      <c r="M15" s="64">
        <v>45183.75</v>
      </c>
      <c r="N15" s="97">
        <v>0.215438676487094</v>
      </c>
      <c r="O15" s="98">
        <v>45046.78125</v>
      </c>
      <c r="P15" s="100">
        <v>0.25229707652631</v>
      </c>
      <c r="Q15" s="101">
        <v>45047.9375</v>
      </c>
      <c r="R15" s="103">
        <v>0.51566326941817897</v>
      </c>
      <c r="S15" s="104">
        <v>45050.416666666664</v>
      </c>
      <c r="T15" s="106">
        <v>1.17015184791323</v>
      </c>
      <c r="U15" s="20">
        <v>45051.739583333336</v>
      </c>
    </row>
    <row r="16" spans="1:21" x14ac:dyDescent="0.25">
      <c r="A16" s="2" t="s">
        <v>13</v>
      </c>
      <c r="B16" s="21">
        <v>8.5195492688122099E-2</v>
      </c>
      <c r="C16" s="20">
        <v>44776.625694444447</v>
      </c>
      <c r="D16" s="59">
        <v>0</v>
      </c>
      <c r="E16" s="108">
        <v>44781.000694444447</v>
      </c>
      <c r="F16" s="57">
        <v>0.10729609555229699</v>
      </c>
      <c r="G16" s="34">
        <v>45136.666666666664</v>
      </c>
      <c r="H16" s="43">
        <v>0</v>
      </c>
      <c r="I16" s="44">
        <v>0</v>
      </c>
      <c r="J16" s="60">
        <v>0.15225238482678499</v>
      </c>
      <c r="K16" s="61">
        <v>45166.510416666664</v>
      </c>
      <c r="L16" s="63">
        <v>0.26878015500851199</v>
      </c>
      <c r="M16" s="64">
        <v>45183.75</v>
      </c>
      <c r="N16" s="97">
        <v>0.215438676487094</v>
      </c>
      <c r="O16" s="98">
        <v>45046.78125</v>
      </c>
      <c r="P16" s="100">
        <v>0.24653813245345399</v>
      </c>
      <c r="Q16" s="101">
        <v>45047.9375</v>
      </c>
      <c r="R16" s="103">
        <v>0.34700199477121402</v>
      </c>
      <c r="S16" s="104">
        <v>45049.697916666664</v>
      </c>
      <c r="T16" s="106">
        <v>0.41141605444788698</v>
      </c>
      <c r="U16" s="20">
        <v>45051.739583333336</v>
      </c>
    </row>
    <row r="17" spans="1:21" x14ac:dyDescent="0.25">
      <c r="A17" s="2" t="s">
        <v>14</v>
      </c>
      <c r="B17" s="21">
        <v>8.1549751061042799E-2</v>
      </c>
      <c r="C17" s="20">
        <v>44776.625694444447</v>
      </c>
      <c r="D17" s="59">
        <v>0</v>
      </c>
      <c r="E17" s="108">
        <v>44781.000694444447</v>
      </c>
      <c r="F17" s="57">
        <v>0.10729609555229699</v>
      </c>
      <c r="G17" s="34">
        <v>45136.666666666664</v>
      </c>
      <c r="H17" s="43">
        <v>0</v>
      </c>
      <c r="I17" s="44">
        <v>0</v>
      </c>
      <c r="J17" s="60">
        <v>0.14915841719692599</v>
      </c>
      <c r="K17" s="61">
        <v>45166.510416666664</v>
      </c>
      <c r="L17" s="63">
        <v>0.25332701569766197</v>
      </c>
      <c r="M17" s="64">
        <v>45183.75</v>
      </c>
      <c r="N17" s="97">
        <v>0.215438676487094</v>
      </c>
      <c r="O17" s="98">
        <v>45046.78125</v>
      </c>
      <c r="P17" s="100">
        <v>0.24653813245345399</v>
      </c>
      <c r="Q17" s="101">
        <v>45047.9375</v>
      </c>
      <c r="R17" s="103">
        <v>0.34479698448377699</v>
      </c>
      <c r="S17" s="104">
        <v>45049.802083333336</v>
      </c>
      <c r="T17" s="106">
        <v>0.34973677227357902</v>
      </c>
      <c r="U17" s="20">
        <v>45051.520833333336</v>
      </c>
    </row>
    <row r="18" spans="1:21" x14ac:dyDescent="0.25">
      <c r="A18" s="2" t="s">
        <v>15</v>
      </c>
      <c r="B18" s="21">
        <v>0.43361055733404802</v>
      </c>
      <c r="C18" s="20">
        <v>44776.625694444447</v>
      </c>
      <c r="D18" s="58">
        <v>0.15462933529162801</v>
      </c>
      <c r="E18" s="108">
        <v>44781.615277777775</v>
      </c>
      <c r="F18" s="57">
        <v>0.54231424721250299</v>
      </c>
      <c r="G18" s="34">
        <v>45136.65625</v>
      </c>
      <c r="H18" s="41">
        <v>0.23835528444981899</v>
      </c>
      <c r="I18" s="42">
        <v>0.77083333333333337</v>
      </c>
      <c r="J18" s="60">
        <v>0.90785969693767898</v>
      </c>
      <c r="K18" s="61">
        <v>45166.510416666664</v>
      </c>
      <c r="L18" s="63">
        <v>1.9438066769315101</v>
      </c>
      <c r="M18" s="64">
        <v>45183.75</v>
      </c>
      <c r="N18" s="97">
        <v>0.861754705948377</v>
      </c>
      <c r="O18" s="98">
        <v>45046.78125</v>
      </c>
      <c r="P18" s="100">
        <v>1.02441376516373</v>
      </c>
      <c r="Q18" s="101">
        <v>45048</v>
      </c>
      <c r="R18" s="103">
        <v>2.0626530776727101</v>
      </c>
      <c r="S18" s="104">
        <v>45050.416666666664</v>
      </c>
      <c r="T18" s="106">
        <v>4.6806073916529201</v>
      </c>
      <c r="U18" s="20">
        <v>45051.739583333336</v>
      </c>
    </row>
    <row r="19" spans="1:21" x14ac:dyDescent="0.25">
      <c r="A19" s="2" t="s">
        <v>16</v>
      </c>
      <c r="B19" s="21">
        <v>0.283546008743847</v>
      </c>
      <c r="C19" s="20">
        <v>44776.625694444447</v>
      </c>
      <c r="D19" s="58">
        <v>0.15462933529162801</v>
      </c>
      <c r="E19" s="108">
        <v>44781.615277777775</v>
      </c>
      <c r="F19" s="57">
        <v>0.40212515642043301</v>
      </c>
      <c r="G19" s="34">
        <v>45136.65625</v>
      </c>
      <c r="H19" s="41">
        <v>0.17646182124931101</v>
      </c>
      <c r="I19" s="42">
        <v>0.77083333333333337</v>
      </c>
      <c r="J19" s="60">
        <v>0.56433180973960195</v>
      </c>
      <c r="K19" s="61">
        <v>45166.510416666664</v>
      </c>
      <c r="L19" s="63">
        <v>1.01286491503636</v>
      </c>
      <c r="M19" s="64">
        <v>45183.75</v>
      </c>
      <c r="N19" s="97">
        <v>0.62742814817229897</v>
      </c>
      <c r="O19" s="98">
        <v>45046.802083333336</v>
      </c>
      <c r="P19" s="100">
        <v>0.80667421629674996</v>
      </c>
      <c r="Q19" s="101">
        <v>45047.9375</v>
      </c>
      <c r="R19" s="103">
        <v>1.3186244816938499</v>
      </c>
      <c r="S19" s="104">
        <v>45049.697916666664</v>
      </c>
      <c r="T19" s="106">
        <v>1.47543845551157</v>
      </c>
      <c r="U19" s="20">
        <v>45051.739583333336</v>
      </c>
    </row>
    <row r="20" spans="1:21" x14ac:dyDescent="0.25">
      <c r="A20" s="2" t="s">
        <v>17</v>
      </c>
      <c r="B20" s="21">
        <v>0.28905210154241401</v>
      </c>
      <c r="C20" s="20">
        <v>44776.625694444447</v>
      </c>
      <c r="D20" s="58">
        <v>0.15462933529162801</v>
      </c>
      <c r="E20" s="108">
        <v>44781.615277777775</v>
      </c>
      <c r="F20" s="57">
        <v>0.39659577629574799</v>
      </c>
      <c r="G20" s="34">
        <v>45136.65625</v>
      </c>
      <c r="H20" s="41">
        <v>0.17646182124931101</v>
      </c>
      <c r="I20" s="42">
        <v>0.77083333333333337</v>
      </c>
      <c r="J20" s="60">
        <v>0.551039595254876</v>
      </c>
      <c r="K20" s="61">
        <v>45166.510416666664</v>
      </c>
      <c r="L20" s="63">
        <v>0.93975915928368003</v>
      </c>
      <c r="M20" s="64">
        <v>45183.75</v>
      </c>
      <c r="N20" s="97">
        <v>0.63123391525783501</v>
      </c>
      <c r="O20" s="98">
        <v>45046.802083333336</v>
      </c>
      <c r="P20" s="100">
        <v>0.80129898378317599</v>
      </c>
      <c r="Q20" s="101">
        <v>45047.958333333336</v>
      </c>
      <c r="R20" s="103">
        <v>1.3032513232195</v>
      </c>
      <c r="S20" s="104">
        <v>45049.802083333336</v>
      </c>
      <c r="T20" s="106">
        <v>1.3450945084345001</v>
      </c>
      <c r="U20" s="20">
        <v>45051.520833333336</v>
      </c>
    </row>
    <row r="21" spans="1:21" x14ac:dyDescent="0.25">
      <c r="A21" s="2" t="s">
        <v>18</v>
      </c>
      <c r="B21" s="21">
        <v>1.7344422293361901</v>
      </c>
      <c r="C21" s="20">
        <v>44776.625694444447</v>
      </c>
      <c r="D21" s="58">
        <v>0.66003344543256104</v>
      </c>
      <c r="E21" s="108">
        <v>44781.625694444447</v>
      </c>
      <c r="F21" s="57">
        <v>2.1692569888500102</v>
      </c>
      <c r="G21" s="34">
        <v>45136.65625</v>
      </c>
      <c r="H21" s="41">
        <v>0.95342113779927895</v>
      </c>
      <c r="I21" s="42">
        <v>0.77083333333333337</v>
      </c>
      <c r="J21" s="60">
        <v>3.6314387877507102</v>
      </c>
      <c r="K21" s="61">
        <v>45166.510416666664</v>
      </c>
      <c r="L21" s="63">
        <v>7.7752267077260697</v>
      </c>
      <c r="M21" s="64">
        <v>45183.75</v>
      </c>
      <c r="N21" s="97">
        <v>3.4470188237935</v>
      </c>
      <c r="O21" s="98">
        <v>45046.78125</v>
      </c>
      <c r="P21" s="100">
        <v>4.0976550606549198</v>
      </c>
      <c r="Q21" s="101">
        <v>45048</v>
      </c>
      <c r="R21" s="103">
        <v>8.2506123106908706</v>
      </c>
      <c r="S21" s="104">
        <v>45050.416666666664</v>
      </c>
      <c r="T21" s="106">
        <v>18.722429566611702</v>
      </c>
      <c r="U21" s="20">
        <v>45051.739583333336</v>
      </c>
    </row>
    <row r="22" spans="1:21" x14ac:dyDescent="0.25">
      <c r="A22" s="2" t="s">
        <v>19</v>
      </c>
      <c r="B22" s="21">
        <v>1.1098597828947401</v>
      </c>
      <c r="C22" s="20">
        <v>44776.625694444447</v>
      </c>
      <c r="D22" s="58">
        <v>0.50349909973876406</v>
      </c>
      <c r="E22" s="108">
        <v>44781.625694444447</v>
      </c>
      <c r="F22" s="57">
        <v>1.5710186727108599</v>
      </c>
      <c r="G22" s="34">
        <v>45136.65625</v>
      </c>
      <c r="H22" s="41">
        <v>0.51482242899710595</v>
      </c>
      <c r="I22" s="42">
        <v>0.77083333333333337</v>
      </c>
      <c r="J22" s="60">
        <v>2.25732723895841</v>
      </c>
      <c r="K22" s="61">
        <v>45166.510416666664</v>
      </c>
      <c r="L22" s="63">
        <v>4.05145966014544</v>
      </c>
      <c r="M22" s="64">
        <v>45183.75</v>
      </c>
      <c r="N22" s="97">
        <v>2.4861262839496399</v>
      </c>
      <c r="O22" s="98">
        <v>45046.989583333336</v>
      </c>
      <c r="P22" s="100">
        <v>3.2266968651869998</v>
      </c>
      <c r="Q22" s="101">
        <v>45047.9375</v>
      </c>
      <c r="R22" s="103">
        <v>5.2744979267754202</v>
      </c>
      <c r="S22" s="104">
        <v>45049.697916666664</v>
      </c>
      <c r="T22" s="106">
        <v>5.90175382204629</v>
      </c>
      <c r="U22" s="20">
        <v>45051.739583333336</v>
      </c>
    </row>
    <row r="23" spans="1:21" x14ac:dyDescent="0.25">
      <c r="A23" s="2" t="s">
        <v>20</v>
      </c>
      <c r="B23" s="21">
        <v>1.1221395332995101</v>
      </c>
      <c r="C23" s="20">
        <v>44776.625694444447</v>
      </c>
      <c r="D23" s="58">
        <v>0.49734210593101602</v>
      </c>
      <c r="E23" s="108">
        <v>44781.625694444447</v>
      </c>
      <c r="F23" s="57">
        <v>1.5687828571421401</v>
      </c>
      <c r="G23" s="34">
        <v>45136.65625</v>
      </c>
      <c r="H23" s="41">
        <v>0.51688690241940405</v>
      </c>
      <c r="I23" s="42">
        <v>0.77083333333333337</v>
      </c>
      <c r="J23" s="60">
        <v>2.2041583810195</v>
      </c>
      <c r="K23" s="61">
        <v>45166.510416666664</v>
      </c>
      <c r="L23" s="63">
        <v>3.7590366371347201</v>
      </c>
      <c r="M23" s="64">
        <v>45183.75</v>
      </c>
      <c r="N23" s="97">
        <v>2.4724450190109502</v>
      </c>
      <c r="O23" s="98">
        <v>45047.010416666664</v>
      </c>
      <c r="P23" s="100">
        <v>3.2051959351327</v>
      </c>
      <c r="Q23" s="101">
        <v>45047.958333333336</v>
      </c>
      <c r="R23" s="103">
        <v>5.2130052928780097</v>
      </c>
      <c r="S23" s="104">
        <v>45049.802083333336</v>
      </c>
      <c r="T23" s="106">
        <v>5.3803780337380296</v>
      </c>
      <c r="U23" s="20">
        <v>45051.520833333336</v>
      </c>
    </row>
    <row r="24" spans="1:21" x14ac:dyDescent="0.25">
      <c r="A24" s="2" t="s">
        <v>21</v>
      </c>
      <c r="B24" s="21">
        <v>6.9377689173447701</v>
      </c>
      <c r="C24" s="20">
        <v>44776.625694444447</v>
      </c>
      <c r="D24" s="58">
        <v>2.6401337817302402</v>
      </c>
      <c r="E24" s="108">
        <v>44781.625694444447</v>
      </c>
      <c r="F24" s="57">
        <v>8.6770279554000496</v>
      </c>
      <c r="G24" s="34">
        <v>45136.65625</v>
      </c>
      <c r="H24" s="41">
        <v>3.81368455119711</v>
      </c>
      <c r="I24" s="42">
        <v>0.77083333333333337</v>
      </c>
      <c r="J24" s="60">
        <v>14.5257551510028</v>
      </c>
      <c r="K24" s="61">
        <v>45166.510416666664</v>
      </c>
      <c r="L24" s="63">
        <v>31.100906830904201</v>
      </c>
      <c r="M24" s="64">
        <v>45183.75</v>
      </c>
      <c r="N24" s="97">
        <v>13.788075295174</v>
      </c>
      <c r="O24" s="98">
        <v>45046.78125</v>
      </c>
      <c r="P24" s="100">
        <v>16.390620242619701</v>
      </c>
      <c r="Q24" s="101">
        <v>45048</v>
      </c>
      <c r="R24" s="103">
        <v>33.002449242763397</v>
      </c>
      <c r="S24" s="104">
        <v>45050.416666666664</v>
      </c>
      <c r="T24" s="106">
        <v>74.889718266446806</v>
      </c>
      <c r="U24" s="20">
        <v>45051.739583333336</v>
      </c>
    </row>
    <row r="25" spans="1:21" x14ac:dyDescent="0.25">
      <c r="A25" s="2" t="s">
        <v>22</v>
      </c>
      <c r="B25" s="21">
        <v>4.4394391315789896</v>
      </c>
      <c r="C25" s="20">
        <v>44776.625694444447</v>
      </c>
      <c r="D25" s="58">
        <v>1.99037171190078</v>
      </c>
      <c r="E25" s="108">
        <v>44781.625694444447</v>
      </c>
      <c r="F25" s="57">
        <v>6.2840746908434504</v>
      </c>
      <c r="G25" s="34">
        <v>45136.65625</v>
      </c>
      <c r="H25" s="41">
        <v>2.0592897159884198</v>
      </c>
      <c r="I25" s="42">
        <v>0.77083333333333337</v>
      </c>
      <c r="J25" s="60">
        <v>9.0293089558336401</v>
      </c>
      <c r="K25" s="61">
        <v>45166.510416666664</v>
      </c>
      <c r="L25" s="63">
        <v>16.2058386405817</v>
      </c>
      <c r="M25" s="64">
        <v>45183.75</v>
      </c>
      <c r="N25" s="97">
        <v>9.9445051357985701</v>
      </c>
      <c r="O25" s="98">
        <v>45046.989583333336</v>
      </c>
      <c r="P25" s="100">
        <v>12.906787460747999</v>
      </c>
      <c r="Q25" s="101">
        <v>45047.9375</v>
      </c>
      <c r="R25" s="103">
        <v>21.097991707101599</v>
      </c>
      <c r="S25" s="104">
        <v>45049.697916666664</v>
      </c>
      <c r="T25" s="106">
        <v>23.607015288185099</v>
      </c>
      <c r="U25" s="20">
        <v>45051.739583333336</v>
      </c>
    </row>
    <row r="26" spans="1:21" x14ac:dyDescent="0.25">
      <c r="A26" s="2" t="s">
        <v>23</v>
      </c>
      <c r="B26" s="21">
        <v>4.4885581331980502</v>
      </c>
      <c r="C26" s="20">
        <v>44776.625694444447</v>
      </c>
      <c r="D26" s="58">
        <v>1.97008281941547</v>
      </c>
      <c r="E26" s="108">
        <v>44781.625694444447</v>
      </c>
      <c r="F26" s="57">
        <v>6.2751314285685602</v>
      </c>
      <c r="G26" s="34">
        <v>45136.65625</v>
      </c>
      <c r="H26" s="41">
        <v>2.06754760967761</v>
      </c>
      <c r="I26" s="42">
        <v>0.77083333333333337</v>
      </c>
      <c r="J26" s="60">
        <v>8.8166335240780196</v>
      </c>
      <c r="K26" s="61">
        <v>45166.510416666664</v>
      </c>
      <c r="L26" s="63">
        <v>15.036146548538801</v>
      </c>
      <c r="M26" s="64">
        <v>45183.75</v>
      </c>
      <c r="N26" s="97">
        <v>9.8897800760438095</v>
      </c>
      <c r="O26" s="98">
        <v>45047.010416666664</v>
      </c>
      <c r="P26" s="100">
        <v>12.8207837405308</v>
      </c>
      <c r="Q26" s="101">
        <v>45047.958333333336</v>
      </c>
      <c r="R26" s="103">
        <v>20.852021171512</v>
      </c>
      <c r="S26" s="104">
        <v>45049.802083333336</v>
      </c>
      <c r="T26" s="106">
        <v>21.521512134952101</v>
      </c>
      <c r="U26" s="20">
        <v>45051.520833333336</v>
      </c>
    </row>
    <row r="27" spans="1:21" x14ac:dyDescent="0.25">
      <c r="A27" s="2" t="s">
        <v>24</v>
      </c>
      <c r="B27" s="21">
        <v>27.751075669378999</v>
      </c>
      <c r="C27" s="20">
        <v>44776.625694444447</v>
      </c>
      <c r="D27" s="58">
        <v>10.5605351269209</v>
      </c>
      <c r="E27" s="108">
        <v>44781.625694444447</v>
      </c>
      <c r="F27" s="57">
        <v>34.708111821600198</v>
      </c>
      <c r="G27" s="34">
        <v>45136.65625</v>
      </c>
      <c r="H27" s="41">
        <v>15.254738204788399</v>
      </c>
      <c r="I27" s="42">
        <v>0.77083333333333337</v>
      </c>
      <c r="J27" s="60">
        <v>58.103020604011398</v>
      </c>
      <c r="K27" s="61">
        <v>45166.510416666664</v>
      </c>
      <c r="L27" s="63">
        <v>124.403627323617</v>
      </c>
      <c r="M27" s="64">
        <v>45183.75</v>
      </c>
      <c r="N27" s="97">
        <v>55.152301180696099</v>
      </c>
      <c r="O27" s="98">
        <v>45046.78125</v>
      </c>
      <c r="P27" s="100">
        <v>65.562480970478802</v>
      </c>
      <c r="Q27" s="101">
        <v>45048</v>
      </c>
      <c r="R27" s="103">
        <v>132.00979697105299</v>
      </c>
      <c r="S27" s="104">
        <v>45050.416666666664</v>
      </c>
      <c r="T27" s="106">
        <v>299.558873065787</v>
      </c>
      <c r="U27" s="20">
        <v>45051.739583333336</v>
      </c>
    </row>
    <row r="28" spans="1:21" x14ac:dyDescent="0.25">
      <c r="A28" s="2" t="s">
        <v>25</v>
      </c>
      <c r="B28" s="21">
        <v>17.757756526315902</v>
      </c>
      <c r="C28" s="20">
        <v>44776.625694444447</v>
      </c>
      <c r="D28" s="58">
        <v>7.9614868476031404</v>
      </c>
      <c r="E28" s="108">
        <v>44781.625694444447</v>
      </c>
      <c r="F28" s="57">
        <v>25.136298763373802</v>
      </c>
      <c r="G28" s="34">
        <v>45136.65625</v>
      </c>
      <c r="H28" s="41">
        <v>8.2371588639537006</v>
      </c>
      <c r="I28" s="42">
        <v>0.77083333333333337</v>
      </c>
      <c r="J28" s="60">
        <v>36.117235823334497</v>
      </c>
      <c r="K28" s="61">
        <v>45166.510416666664</v>
      </c>
      <c r="L28" s="63">
        <v>64.823354562326998</v>
      </c>
      <c r="M28" s="64">
        <v>45183.75</v>
      </c>
      <c r="N28" s="97">
        <v>39.778020543194202</v>
      </c>
      <c r="O28" s="98">
        <v>45046.989583333336</v>
      </c>
      <c r="P28" s="100">
        <v>51.627149842991997</v>
      </c>
      <c r="Q28" s="101">
        <v>45047.9375</v>
      </c>
      <c r="R28" s="103">
        <v>84.391966828406694</v>
      </c>
      <c r="S28" s="104">
        <v>45049.697916666664</v>
      </c>
      <c r="T28" s="106">
        <v>94.428061152740696</v>
      </c>
      <c r="U28" s="20">
        <v>45051.739583333336</v>
      </c>
    </row>
    <row r="29" spans="1:21" x14ac:dyDescent="0.25">
      <c r="A29" s="2" t="s">
        <v>26</v>
      </c>
      <c r="B29" s="21">
        <v>17.954232532792201</v>
      </c>
      <c r="C29" s="20">
        <v>44776.625694444447</v>
      </c>
      <c r="D29" s="58">
        <v>7.8803312776618801</v>
      </c>
      <c r="E29" s="108">
        <v>44781.625694444447</v>
      </c>
      <c r="F29" s="57">
        <v>25.100525714274202</v>
      </c>
      <c r="G29" s="34">
        <v>45136.65625</v>
      </c>
      <c r="H29" s="41">
        <v>8.2701904387104594</v>
      </c>
      <c r="I29" s="42">
        <v>0.77083333333333337</v>
      </c>
      <c r="J29" s="60">
        <v>35.2665340963121</v>
      </c>
      <c r="K29" s="61">
        <v>45166.510416666664</v>
      </c>
      <c r="L29" s="63">
        <v>60.144586194155501</v>
      </c>
      <c r="M29" s="64">
        <v>45183.75</v>
      </c>
      <c r="N29" s="97">
        <v>39.559120304175202</v>
      </c>
      <c r="O29" s="98">
        <v>45047.010416666664</v>
      </c>
      <c r="P29" s="100">
        <v>51.283134962123199</v>
      </c>
      <c r="Q29" s="101">
        <v>45047.958333333336</v>
      </c>
      <c r="R29" s="103">
        <v>83.408084686048198</v>
      </c>
      <c r="S29" s="104">
        <v>45049.802083333336</v>
      </c>
      <c r="T29" s="106">
        <v>86.086048539808402</v>
      </c>
      <c r="U29" s="20">
        <v>45051.520833333336</v>
      </c>
    </row>
    <row r="30" spans="1:21" x14ac:dyDescent="0.25">
      <c r="A30" s="2" t="s">
        <v>30</v>
      </c>
      <c r="B30" s="21">
        <v>22.620213794999898</v>
      </c>
      <c r="C30" s="22">
        <v>0.63611111111111107</v>
      </c>
      <c r="D30" s="58">
        <v>32.007500319999998</v>
      </c>
      <c r="E30" s="108">
        <v>44781.625694444447</v>
      </c>
      <c r="F30" s="57">
        <v>20.131538750000001</v>
      </c>
      <c r="G30" s="34">
        <v>45136.65625</v>
      </c>
      <c r="H30" s="41">
        <v>2.7664001109999998</v>
      </c>
      <c r="I30" s="42">
        <v>0.8125</v>
      </c>
      <c r="J30" s="60">
        <v>2.5487565000000001</v>
      </c>
      <c r="K30" s="61">
        <v>45166.5625</v>
      </c>
      <c r="L30" s="63">
        <v>6.6940258559999997</v>
      </c>
      <c r="M30" s="64">
        <v>45183.75</v>
      </c>
      <c r="N30" s="97">
        <v>87.058386479999996</v>
      </c>
      <c r="O30" s="98">
        <v>45046.875</v>
      </c>
      <c r="P30" s="100">
        <v>93.038532979999999</v>
      </c>
      <c r="Q30" s="101">
        <v>45048.052083333336</v>
      </c>
      <c r="R30" s="103">
        <v>136.5531871</v>
      </c>
      <c r="S30" s="104">
        <v>45049.927083333336</v>
      </c>
      <c r="T30" s="106">
        <v>130.92322350000001</v>
      </c>
      <c r="U30" s="20">
        <v>45050.770833333336</v>
      </c>
    </row>
    <row r="31" spans="1:21" x14ac:dyDescent="0.25">
      <c r="A31" s="2" t="s">
        <v>31</v>
      </c>
      <c r="B31" s="21">
        <v>22.364671984258202</v>
      </c>
      <c r="C31" s="22">
        <v>0.63611111111111107</v>
      </c>
      <c r="D31" s="58">
        <v>23.970478424313601</v>
      </c>
      <c r="E31" s="108">
        <v>44781.625694444447</v>
      </c>
      <c r="F31" s="57">
        <v>11.742687795237201</v>
      </c>
      <c r="G31" s="34">
        <v>45136.65625</v>
      </c>
      <c r="H31" s="41">
        <v>6.6345603949445398</v>
      </c>
      <c r="I31" s="42">
        <v>0.85416666666666696</v>
      </c>
      <c r="J31" s="60">
        <v>6.4236681151493897</v>
      </c>
      <c r="K31" s="61">
        <v>45166.5625</v>
      </c>
      <c r="L31" s="63">
        <v>8.9088582431588499</v>
      </c>
      <c r="M31" s="64">
        <v>45183.75</v>
      </c>
      <c r="N31" s="97">
        <v>15.5113343788042</v>
      </c>
      <c r="O31" s="98">
        <v>45046.875</v>
      </c>
      <c r="P31" s="100">
        <v>15.68231746382</v>
      </c>
      <c r="Q31" s="101">
        <v>45048.052083333336</v>
      </c>
      <c r="R31" s="103">
        <v>16.669847305181399</v>
      </c>
      <c r="S31" s="104">
        <v>45049.927083333336</v>
      </c>
      <c r="T31" s="106">
        <v>16.561486514041</v>
      </c>
      <c r="U31" s="20">
        <v>45050.770833333336</v>
      </c>
    </row>
  </sheetData>
  <mergeCells count="10">
    <mergeCell ref="N2:O2"/>
    <mergeCell ref="P2:Q2"/>
    <mergeCell ref="R2:S2"/>
    <mergeCell ref="T2:U2"/>
    <mergeCell ref="L2:M2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Y155"/>
  <sheetViews>
    <sheetView tabSelected="1" topLeftCell="CG1" zoomScale="70" zoomScaleNormal="70" workbookViewId="0">
      <selection activeCell="CT96" sqref="CT96"/>
    </sheetView>
  </sheetViews>
  <sheetFormatPr defaultRowHeight="15" x14ac:dyDescent="0.25"/>
  <cols>
    <col min="1" max="1" width="16.85546875" style="2" customWidth="1"/>
    <col min="2" max="2" width="11.85546875" customWidth="1"/>
    <col min="3" max="3" width="15.140625" customWidth="1"/>
    <col min="4" max="4" width="14.42578125" customWidth="1"/>
    <col min="5" max="5" width="12.85546875" style="2" customWidth="1"/>
    <col min="6" max="6" width="22.7109375" customWidth="1"/>
    <col min="7" max="7" width="12.7109375" customWidth="1"/>
    <col min="8" max="8" width="9.7109375" customWidth="1"/>
    <col min="9" max="9" width="20.140625" customWidth="1"/>
    <col min="10" max="10" width="17" customWidth="1"/>
    <col min="11" max="11" width="20.140625" customWidth="1"/>
    <col min="13" max="13" width="19.5703125" style="2" customWidth="1"/>
    <col min="14" max="14" width="11.28515625" style="2" customWidth="1"/>
    <col min="15" max="15" width="16.5703125" customWidth="1"/>
    <col min="16" max="16" width="14.42578125" customWidth="1"/>
    <col min="17" max="17" width="15.85546875" customWidth="1"/>
    <col min="18" max="18" width="22.7109375" customWidth="1"/>
    <col min="19" max="19" width="14" customWidth="1"/>
    <col min="20" max="20" width="10.5703125" customWidth="1"/>
    <col min="21" max="21" width="21.7109375" customWidth="1"/>
    <col min="22" max="22" width="18.28515625" customWidth="1"/>
    <col min="23" max="23" width="21.7109375" customWidth="1"/>
    <col min="25" max="25" width="22.42578125" customWidth="1"/>
    <col min="26" max="26" width="14.85546875" customWidth="1"/>
    <col min="27" max="27" width="15.7109375" customWidth="1"/>
    <col min="28" max="28" width="15" customWidth="1"/>
    <col min="29" max="29" width="13.5703125" customWidth="1"/>
    <col min="30" max="30" width="18.42578125" customWidth="1"/>
    <col min="31" max="31" width="16.28515625" customWidth="1"/>
    <col min="32" max="32" width="10" customWidth="1"/>
    <col min="33" max="33" width="22.140625" customWidth="1"/>
    <col min="34" max="34" width="12.28515625" customWidth="1"/>
    <col min="35" max="35" width="22.140625" customWidth="1"/>
    <col min="37" max="37" width="17.5703125" customWidth="1"/>
    <col min="38" max="38" width="11.42578125" customWidth="1"/>
    <col min="39" max="39" width="17.140625" customWidth="1"/>
    <col min="40" max="40" width="16.140625" customWidth="1"/>
    <col min="41" max="41" width="15.7109375" customWidth="1"/>
    <col min="42" max="42" width="17.28515625" customWidth="1"/>
    <col min="43" max="43" width="11.42578125" customWidth="1"/>
    <col min="44" max="44" width="10" customWidth="1"/>
    <col min="45" max="45" width="21.7109375" customWidth="1"/>
    <col min="46" max="46" width="15.140625" customWidth="1"/>
    <col min="47" max="47" width="20.7109375" customWidth="1"/>
    <col min="49" max="49" width="19.28515625" customWidth="1"/>
    <col min="50" max="50" width="15" customWidth="1"/>
    <col min="51" max="51" width="14.28515625" customWidth="1"/>
    <col min="52" max="52" width="15.42578125" customWidth="1"/>
    <col min="53" max="53" width="19" customWidth="1"/>
    <col min="54" max="54" width="16.28515625" customWidth="1"/>
    <col min="55" max="55" width="17.7109375" customWidth="1"/>
    <col min="56" max="56" width="9.42578125" customWidth="1"/>
    <col min="57" max="57" width="19" customWidth="1"/>
    <col min="58" max="58" width="19.140625" customWidth="1"/>
    <col min="59" max="59" width="19.85546875" customWidth="1"/>
    <col min="61" max="61" width="22" customWidth="1"/>
    <col min="62" max="62" width="17.85546875" customWidth="1"/>
    <col min="63" max="63" width="21" customWidth="1"/>
    <col min="64" max="64" width="14.85546875" customWidth="1"/>
    <col min="65" max="65" width="16.140625" customWidth="1"/>
    <col min="66" max="66" width="15.5703125" customWidth="1"/>
    <col min="67" max="68" width="14.42578125" customWidth="1"/>
    <col min="69" max="69" width="22.42578125" customWidth="1"/>
    <col min="70" max="70" width="14.42578125" customWidth="1"/>
    <col min="71" max="71" width="24.85546875" customWidth="1"/>
    <col min="73" max="73" width="17.28515625" customWidth="1"/>
    <col min="74" max="74" width="15" customWidth="1"/>
    <col min="75" max="75" width="12.140625" customWidth="1"/>
    <col min="76" max="76" width="15.7109375" customWidth="1"/>
    <col min="77" max="77" width="19" customWidth="1"/>
    <col min="78" max="78" width="15.7109375" customWidth="1"/>
    <col min="79" max="79" width="14.42578125" customWidth="1"/>
    <col min="81" max="81" width="24.42578125" customWidth="1"/>
    <col min="82" max="82" width="15.85546875" customWidth="1"/>
    <col min="83" max="83" width="15.28515625" customWidth="1"/>
    <col min="84" max="84" width="18.140625" customWidth="1"/>
    <col min="85" max="85" width="13.5703125" customWidth="1"/>
    <col min="86" max="86" width="18.140625" customWidth="1"/>
    <col min="87" max="87" width="15.42578125" customWidth="1"/>
    <col min="89" max="89" width="17.28515625" customWidth="1"/>
    <col min="90" max="90" width="15.7109375" customWidth="1"/>
    <col min="91" max="91" width="17.28515625" customWidth="1"/>
    <col min="92" max="92" width="17.7109375" customWidth="1"/>
    <col min="93" max="93" width="23.42578125" customWidth="1"/>
    <col min="94" max="94" width="20.7109375" customWidth="1"/>
    <col min="95" max="95" width="14.85546875" customWidth="1"/>
    <col min="97" max="97" width="23.42578125" customWidth="1"/>
    <col min="98" max="98" width="14.28515625" customWidth="1"/>
    <col min="99" max="99" width="17.140625" customWidth="1"/>
    <col min="100" max="100" width="16.28515625" customWidth="1"/>
    <col min="101" max="101" width="22" customWidth="1"/>
    <col min="102" max="102" width="18.5703125" customWidth="1"/>
    <col min="103" max="103" width="16.7109375" customWidth="1"/>
  </cols>
  <sheetData>
    <row r="1" spans="1:103" x14ac:dyDescent="0.25">
      <c r="A1" s="15" t="s">
        <v>29</v>
      </c>
      <c r="B1" s="16">
        <f>MAX(B3:B94)</f>
        <v>2.7100659833378001E-2</v>
      </c>
      <c r="C1" s="122" t="s">
        <v>49</v>
      </c>
      <c r="D1" s="123">
        <f>INDEX(C3:C94, MATCH(MAX(G3:G94), G3:G94, 0))</f>
        <v>12.6789259225</v>
      </c>
      <c r="E1" s="2" t="s">
        <v>50</v>
      </c>
      <c r="F1" s="124">
        <f>AVERAGE(C3:C61)</f>
        <v>0.72434460278813562</v>
      </c>
      <c r="G1" s="18">
        <f>MAX(G3:G94)</f>
        <v>80.273877098790663</v>
      </c>
      <c r="H1" s="127" t="s">
        <v>52</v>
      </c>
      <c r="I1" s="127"/>
      <c r="J1" s="127" t="s">
        <v>53</v>
      </c>
      <c r="K1" s="127"/>
      <c r="M1" s="28" t="s">
        <v>36</v>
      </c>
      <c r="N1" s="5">
        <f>MAX(N3:N99)</f>
        <v>1.03130225848837E-2</v>
      </c>
      <c r="O1" s="122" t="s">
        <v>49</v>
      </c>
      <c r="P1" s="123">
        <f>INDEX(O3:O99, MATCH(MAX(S3:S99), S3:S99, 0))</f>
        <v>32.007500319999998</v>
      </c>
      <c r="Q1" s="2" t="s">
        <v>50</v>
      </c>
      <c r="R1" s="124">
        <f>AVERAGE(O3:O54)</f>
        <v>1.2926608501057688</v>
      </c>
      <c r="S1" s="18">
        <f>MAX(S3:S99)</f>
        <v>52.388619007464662</v>
      </c>
      <c r="T1" s="127" t="s">
        <v>52</v>
      </c>
      <c r="U1" s="127"/>
      <c r="V1" s="127" t="s">
        <v>53</v>
      </c>
      <c r="W1" s="127"/>
      <c r="Y1" s="2" t="s">
        <v>37</v>
      </c>
      <c r="Z1" s="32">
        <f>MAX(Z3:Z100)</f>
        <v>3.3894640450781402E-2</v>
      </c>
      <c r="AA1" s="122" t="s">
        <v>49</v>
      </c>
      <c r="AB1" s="123">
        <f>INDEX(AA3:AA100, MATCH(MAX(AE3:AE100), AE3:AE100, 0))</f>
        <v>20.131538750000001</v>
      </c>
      <c r="AC1" s="2" t="s">
        <v>50</v>
      </c>
      <c r="AD1" s="124">
        <f>AVERAGE(AA3:AA55)</f>
        <v>0.97169415937735837</v>
      </c>
      <c r="AE1" s="18">
        <f>MAX(AE3:AE100)</f>
        <v>75.463396074733694</v>
      </c>
      <c r="AF1" s="127" t="s">
        <v>52</v>
      </c>
      <c r="AG1" s="127"/>
      <c r="AH1" s="127" t="s">
        <v>53</v>
      </c>
      <c r="AI1" s="127"/>
      <c r="AK1" s="4" t="s">
        <v>38</v>
      </c>
      <c r="AL1" s="32">
        <f>MAX(AL3:AL100)</f>
        <v>1.4897205278113701E-2</v>
      </c>
      <c r="AM1" s="122" t="s">
        <v>49</v>
      </c>
      <c r="AN1" s="123">
        <f>INDEX(AM3:AM99, MATCH(MAX(AQ3:AQ99), AQ3:AQ99, 0))</f>
        <v>2.44355038</v>
      </c>
      <c r="AO1" s="2" t="s">
        <v>50</v>
      </c>
      <c r="AP1" s="124">
        <f>AVERAGE(AM3:AM69)</f>
        <v>0.60516832516417907</v>
      </c>
      <c r="AQ1" s="18">
        <f>MAX(AQ3:AQ99)</f>
        <v>43.539555051420827</v>
      </c>
      <c r="AR1" s="127" t="s">
        <v>52</v>
      </c>
      <c r="AS1" s="127"/>
      <c r="AT1" s="127" t="s">
        <v>53</v>
      </c>
      <c r="AU1" s="127"/>
      <c r="AW1" s="52" t="s">
        <v>39</v>
      </c>
      <c r="AX1" s="79">
        <f>MAX(AX3:AX99)</f>
        <v>5.6741231058604902E-2</v>
      </c>
      <c r="AY1" s="122" t="s">
        <v>49</v>
      </c>
      <c r="AZ1" s="123">
        <f>INDEX(AY3:AY99, MATCH(MAX(BC3:BC99), BC3:BC99, 0))</f>
        <v>2.247064306</v>
      </c>
      <c r="BA1" s="2" t="s">
        <v>50</v>
      </c>
      <c r="BB1" s="124">
        <f>AVERAGE(AY3:AY44)</f>
        <v>0.37912394164285723</v>
      </c>
      <c r="BC1" s="32">
        <f>MAX(BC3:BC99)</f>
        <v>95.676352165121884</v>
      </c>
      <c r="BD1" s="130" t="s">
        <v>52</v>
      </c>
      <c r="BE1" s="130"/>
      <c r="BF1" s="130" t="s">
        <v>53</v>
      </c>
      <c r="BG1" s="130"/>
      <c r="BI1" s="67" t="s">
        <v>40</v>
      </c>
      <c r="BJ1">
        <f>MAX(BJ3:BJ99)</f>
        <v>0.12148791730821901</v>
      </c>
      <c r="BK1" s="122" t="s">
        <v>49</v>
      </c>
      <c r="BL1" s="123">
        <f>INDEX(BK3:BK99, MATCH(MAX(BO3:BO99), BO3:BO99, 0))</f>
        <v>1.4444654269999999</v>
      </c>
      <c r="BM1" s="2" t="s">
        <v>50</v>
      </c>
      <c r="BN1" s="124">
        <f>AVERAGE(BK3:BK59)</f>
        <v>0.4703275891052634</v>
      </c>
      <c r="BO1" s="18">
        <f>MAX(BO3:BO99)</f>
        <v>124.59799853071195</v>
      </c>
      <c r="BP1" s="130" t="s">
        <v>52</v>
      </c>
      <c r="BQ1" s="130"/>
      <c r="BR1" s="130" t="s">
        <v>53</v>
      </c>
      <c r="BS1" s="130"/>
      <c r="BU1" s="81" t="s">
        <v>44</v>
      </c>
      <c r="BV1" s="5">
        <f>MAX(BV3:BV87)</f>
        <v>5.3859668999999999E-2</v>
      </c>
      <c r="CA1" s="6">
        <f>MAX(CA3:CA87)</f>
        <v>88.490803262610711</v>
      </c>
      <c r="CC1" s="89" t="s">
        <v>45</v>
      </c>
      <c r="CD1" s="79">
        <f>MAX(CD3:CD155)</f>
        <v>6.7690018744910693E-2</v>
      </c>
      <c r="CI1" s="6">
        <f>MAX(CI3:CI155)</f>
        <v>84.380016860651793</v>
      </c>
      <c r="CK1" s="92" t="s">
        <v>46</v>
      </c>
      <c r="CL1" s="5">
        <f>MAX(CL3:CL155)</f>
        <v>0.12891581735454399</v>
      </c>
      <c r="CQ1" s="7">
        <f>MAX(CQ3:CQ123)</f>
        <v>109.984122680624</v>
      </c>
      <c r="CS1" s="9" t="s">
        <v>47</v>
      </c>
      <c r="CT1" s="80">
        <f>MAX(CT3:CT121)</f>
        <v>0.13438043402341099</v>
      </c>
      <c r="CY1" s="6">
        <f>MAX(CY3:CY120)</f>
        <v>103.02241841356445</v>
      </c>
    </row>
    <row r="2" spans="1:103" x14ac:dyDescent="0.25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9" t="s">
        <v>35</v>
      </c>
      <c r="H2" s="19" t="s">
        <v>48</v>
      </c>
      <c r="I2" s="19" t="s">
        <v>51</v>
      </c>
      <c r="J2" s="19" t="s">
        <v>48</v>
      </c>
      <c r="K2" s="19" t="s">
        <v>51</v>
      </c>
      <c r="M2" s="23" t="s">
        <v>27</v>
      </c>
      <c r="N2" s="24" t="s">
        <v>28</v>
      </c>
      <c r="O2" s="23" t="s">
        <v>34</v>
      </c>
      <c r="P2" s="23" t="s">
        <v>32</v>
      </c>
      <c r="Q2" s="23" t="s">
        <v>33</v>
      </c>
      <c r="R2" s="23" t="s">
        <v>43</v>
      </c>
      <c r="S2" s="24" t="s">
        <v>35</v>
      </c>
      <c r="T2" s="24" t="s">
        <v>48</v>
      </c>
      <c r="U2" s="24" t="s">
        <v>51</v>
      </c>
      <c r="V2" s="24" t="s">
        <v>48</v>
      </c>
      <c r="W2" s="24" t="s">
        <v>51</v>
      </c>
      <c r="Y2" s="30" t="s">
        <v>27</v>
      </c>
      <c r="Z2" s="31" t="s">
        <v>28</v>
      </c>
      <c r="AA2" s="30" t="s">
        <v>34</v>
      </c>
      <c r="AB2" s="30" t="s">
        <v>32</v>
      </c>
      <c r="AC2" s="30" t="s">
        <v>33</v>
      </c>
      <c r="AD2" s="30" t="s">
        <v>43</v>
      </c>
      <c r="AE2" s="31" t="s">
        <v>35</v>
      </c>
      <c r="AF2" s="31" t="s">
        <v>48</v>
      </c>
      <c r="AG2" s="31" t="s">
        <v>51</v>
      </c>
      <c r="AH2" s="31" t="s">
        <v>48</v>
      </c>
      <c r="AI2" s="31" t="s">
        <v>51</v>
      </c>
      <c r="AK2" s="39" t="s">
        <v>27</v>
      </c>
      <c r="AL2" s="40" t="s">
        <v>28</v>
      </c>
      <c r="AM2" s="39" t="s">
        <v>34</v>
      </c>
      <c r="AN2" s="39" t="s">
        <v>32</v>
      </c>
      <c r="AO2" s="39" t="s">
        <v>33</v>
      </c>
      <c r="AP2" s="39" t="s">
        <v>43</v>
      </c>
      <c r="AQ2" s="40" t="s">
        <v>35</v>
      </c>
      <c r="AR2" s="40" t="s">
        <v>48</v>
      </c>
      <c r="AS2" s="40" t="s">
        <v>51</v>
      </c>
      <c r="AT2" s="40" t="s">
        <v>48</v>
      </c>
      <c r="AU2" s="40" t="s">
        <v>51</v>
      </c>
      <c r="AW2" s="48" t="s">
        <v>27</v>
      </c>
      <c r="AX2" s="49" t="s">
        <v>28</v>
      </c>
      <c r="AY2" s="48" t="s">
        <v>34</v>
      </c>
      <c r="AZ2" s="48" t="s">
        <v>32</v>
      </c>
      <c r="BA2" s="48" t="s">
        <v>33</v>
      </c>
      <c r="BB2" s="48" t="s">
        <v>43</v>
      </c>
      <c r="BC2" s="49" t="s">
        <v>35</v>
      </c>
      <c r="BD2" s="49" t="s">
        <v>48</v>
      </c>
      <c r="BE2" s="49" t="s">
        <v>51</v>
      </c>
      <c r="BF2" s="49" t="s">
        <v>48</v>
      </c>
      <c r="BG2" s="49" t="s">
        <v>51</v>
      </c>
      <c r="BI2" s="55" t="s">
        <v>27</v>
      </c>
      <c r="BJ2" s="56" t="s">
        <v>28</v>
      </c>
      <c r="BK2" s="55" t="s">
        <v>34</v>
      </c>
      <c r="BL2" s="55" t="s">
        <v>32</v>
      </c>
      <c r="BM2" s="55" t="s">
        <v>33</v>
      </c>
      <c r="BN2" s="55" t="s">
        <v>43</v>
      </c>
      <c r="BO2" s="56" t="s">
        <v>35</v>
      </c>
      <c r="BP2" s="56" t="s">
        <v>48</v>
      </c>
      <c r="BQ2" s="56" t="s">
        <v>51</v>
      </c>
      <c r="BR2" s="56" t="s">
        <v>48</v>
      </c>
      <c r="BS2" s="56" t="s">
        <v>51</v>
      </c>
      <c r="BU2" s="74" t="s">
        <v>27</v>
      </c>
      <c r="BV2" s="77" t="s">
        <v>28</v>
      </c>
      <c r="BW2" s="74" t="s">
        <v>34</v>
      </c>
      <c r="BX2" s="74" t="s">
        <v>32</v>
      </c>
      <c r="BY2" s="74" t="s">
        <v>33</v>
      </c>
      <c r="BZ2" s="74" t="s">
        <v>43</v>
      </c>
      <c r="CA2" s="77" t="s">
        <v>35</v>
      </c>
      <c r="CC2" s="75" t="s">
        <v>27</v>
      </c>
      <c r="CD2" s="85" t="s">
        <v>28</v>
      </c>
      <c r="CE2" s="75" t="s">
        <v>34</v>
      </c>
      <c r="CF2" s="75" t="s">
        <v>32</v>
      </c>
      <c r="CG2" s="75" t="s">
        <v>33</v>
      </c>
      <c r="CH2" s="75" t="s">
        <v>43</v>
      </c>
      <c r="CI2" s="85" t="s">
        <v>35</v>
      </c>
      <c r="CK2" s="76" t="s">
        <v>27</v>
      </c>
      <c r="CL2" s="86" t="s">
        <v>28</v>
      </c>
      <c r="CM2" s="76" t="s">
        <v>34</v>
      </c>
      <c r="CN2" s="76" t="s">
        <v>32</v>
      </c>
      <c r="CO2" s="76" t="s">
        <v>33</v>
      </c>
      <c r="CP2" s="76" t="s">
        <v>43</v>
      </c>
      <c r="CQ2" s="86" t="s">
        <v>35</v>
      </c>
      <c r="CS2" s="14" t="s">
        <v>27</v>
      </c>
      <c r="CT2" s="19" t="s">
        <v>28</v>
      </c>
      <c r="CU2" s="14" t="s">
        <v>34</v>
      </c>
      <c r="CV2" s="14" t="s">
        <v>32</v>
      </c>
      <c r="CW2" s="14" t="s">
        <v>33</v>
      </c>
      <c r="CX2" s="14" t="s">
        <v>43</v>
      </c>
      <c r="CY2" s="19" t="s">
        <v>35</v>
      </c>
    </row>
    <row r="3" spans="1:103" x14ac:dyDescent="0.25">
      <c r="A3" s="10">
        <v>44776.000694444447</v>
      </c>
      <c r="B3" s="11">
        <v>1.4955602719514201E-3</v>
      </c>
      <c r="C3" s="12">
        <v>0.76957219099999996</v>
      </c>
      <c r="D3" s="9">
        <v>157</v>
      </c>
      <c r="E3" s="13">
        <f>D3/60</f>
        <v>2.6166666666666667</v>
      </c>
      <c r="F3" s="12">
        <f>E3*B3</f>
        <v>3.9133827116062158E-3</v>
      </c>
      <c r="G3" s="13">
        <f>37.141*F3^0.4897</f>
        <v>2.4599510474069515</v>
      </c>
      <c r="H3" s="11">
        <f>IF((C3-$F$1)/($D$1-$F$1)&lt;0, 0, IF((C3-$F$1)/($D$1-$F$1)&gt;1, 1, (C3-$F$1)/($D$1-$F$1)))</f>
        <v>3.7832850019840301E-3</v>
      </c>
      <c r="I3" s="125">
        <f>G3*H3</f>
        <v>9.306695903269626E-3</v>
      </c>
      <c r="J3" s="21">
        <f>IF((F3-$K$96)/($I$96-$K$96)&lt;0, 0, IF((F3-$K$96)/($I$96-$K$96)&gt;1, 1, (F3-$K$96)/($I$96-$K$96)))</f>
        <v>8.5915955270933462E-5</v>
      </c>
      <c r="K3" s="125">
        <f>G3*J3</f>
        <v>2.1134904415770156E-4</v>
      </c>
      <c r="M3" s="25">
        <v>44781.000694444447</v>
      </c>
      <c r="N3" s="26">
        <v>3.8910191295340401E-3</v>
      </c>
      <c r="O3" s="27">
        <v>1.4441644075</v>
      </c>
      <c r="P3" s="28">
        <v>1227</v>
      </c>
      <c r="Q3" s="29">
        <f>P3/60</f>
        <v>20.45</v>
      </c>
      <c r="R3" s="26">
        <f t="shared" ref="R3:R34" si="0">Q3*N3</f>
        <v>7.9571341198971121E-2</v>
      </c>
      <c r="S3" s="29">
        <f>37.141*R3^0.4897</f>
        <v>10.753606437639453</v>
      </c>
      <c r="T3" s="29">
        <f>IF((O3-$R$1)/($P$1-$R$1)&lt;0, 0, IF((O3-$R$1)/($P$1-$R$1)&gt;1, 1, (O3-$R$1)/($P$1-$R$1)))</f>
        <v>4.9325850308522831E-3</v>
      </c>
      <c r="U3" s="126">
        <f>S3*T3</f>
        <v>5.3043078141977111E-2</v>
      </c>
      <c r="V3" s="128">
        <f>IF((R3-$W$102)/($U$101-$W$102)&lt;0, 0, IF((R3-$W$102)/($U$101-$W$102)&gt;1, 1, (R3-$W$102)/($U$101-$W$102)))</f>
        <v>1.7098913979403711E-2</v>
      </c>
      <c r="W3" s="126">
        <f>S3*V3</f>
        <v>0.18387499144555899</v>
      </c>
      <c r="Y3" s="35">
        <v>45136</v>
      </c>
      <c r="Z3" s="71">
        <v>5.2961871226464398E-3</v>
      </c>
      <c r="AA3" s="70">
        <v>0.85462156099999997</v>
      </c>
      <c r="AB3" s="36">
        <v>2986</v>
      </c>
      <c r="AC3" s="37">
        <f>AB3/60</f>
        <v>49.766666666666666</v>
      </c>
      <c r="AD3" s="37">
        <f t="shared" ref="AD3:AD34" si="1">Z3*AC3</f>
        <v>0.26357357913703783</v>
      </c>
      <c r="AE3" s="38">
        <f>37.141*AD3^0.4897</f>
        <v>19.331664100320655</v>
      </c>
      <c r="AF3" s="38">
        <f>IF((AA3-$AD$1)/($AB$1-$AD$1)&lt;0, 0, IF((AA3-$AD$1)/($AB$1-$AD$1)&gt;1, 1, (AA3-$AD$1)/($AB$1-$AD$1)))</f>
        <v>0</v>
      </c>
      <c r="AG3" s="38">
        <f>AE3*AF3</f>
        <v>0</v>
      </c>
      <c r="AH3" s="38">
        <f t="shared" ref="AH3:AH66" si="2">IF((AD3-$AI$102)/($AG$102-$AI$102)&lt;0, 0, IF((AD3-$AI$102)/($AG$102-$AI$102)&gt;1, 1, (AD3-$AI$102)/($AG$102-$AI$102)))</f>
        <v>0</v>
      </c>
      <c r="AI3" s="38">
        <f>AE3*AH3</f>
        <v>0</v>
      </c>
      <c r="AK3" s="45">
        <v>45151</v>
      </c>
      <c r="AL3" s="4">
        <v>4.0646084233256904E-3</v>
      </c>
      <c r="AM3" s="3">
        <v>0.42386643899999998</v>
      </c>
      <c r="AN3" s="4">
        <v>648</v>
      </c>
      <c r="AO3" s="46">
        <f>AN3/60</f>
        <v>10.8</v>
      </c>
      <c r="AP3" s="47">
        <f t="shared" ref="AP3:AP34" si="3">AO3*AL3</f>
        <v>4.3897770971917459E-2</v>
      </c>
      <c r="AQ3" s="50">
        <f>37.141*AP3^0.4897</f>
        <v>8.0363282851212663</v>
      </c>
      <c r="AR3" s="50">
        <f>IF((AM3-$AP$1)/($AN$1-$AP$1)&lt;0, 0, IF((AM3-$AP$1)/($AN$1-$AP$1)&gt;1, 1, (AM3-$AP$1)/($AN$1-$AP$1)))</f>
        <v>0</v>
      </c>
      <c r="AS3" s="50">
        <f>AQ3*AR3</f>
        <v>0</v>
      </c>
      <c r="AT3" s="50">
        <f t="shared" ref="AT3:AT66" si="4">IF((AP3-$AU$101)/($AS$101-$AU$101)&lt;0, 0, IF((AP3-$AU$101)/($AS$101-$AU$101)&gt;1, 1, (AP3-$AU$101)/($AS$101-$AU$101)))</f>
        <v>0</v>
      </c>
      <c r="AU3" s="50">
        <f>AQ3*AT3</f>
        <v>0</v>
      </c>
      <c r="AW3" s="51">
        <v>45166</v>
      </c>
      <c r="AX3" s="72">
        <v>6.2353489379986899E-3</v>
      </c>
      <c r="AY3" s="73">
        <v>0.31440712500000001</v>
      </c>
      <c r="AZ3" s="52">
        <v>1909</v>
      </c>
      <c r="BA3" s="53">
        <f>AZ3/60</f>
        <v>31.816666666666666</v>
      </c>
      <c r="BB3" s="72">
        <f t="shared" ref="BB3:BB34" si="5">BA3*AX3</f>
        <v>0.19838801871065831</v>
      </c>
      <c r="BC3" s="54">
        <f>37.141*BB3^0.4897</f>
        <v>16.820809941256019</v>
      </c>
      <c r="BD3" s="54">
        <f>IF((AY3-$BB$1)/($AZ$1-$BB$1)&lt;0, 0, IF((AY3-$BB$1)/($AZ$1-$BB$1)&gt;1, 1, (AY3-$BB$1)/($AZ$1-$BB$1)))</f>
        <v>0</v>
      </c>
      <c r="BE3" s="54">
        <f>BD3*BC3</f>
        <v>0</v>
      </c>
      <c r="BF3" s="54">
        <f t="shared" ref="BF3:BF66" si="6">IF((BB3-$BG$101)/($BE$101-$BG$101)&lt;0, 0, IF((BB3-$BG$101)/($BE$101-$BG$101)&gt;1, 1, (BB3-$BG$101)/($BE$101-$BG$101)))</f>
        <v>0</v>
      </c>
      <c r="BG3" s="54">
        <f>BF3*BC3</f>
        <v>0</v>
      </c>
      <c r="BI3" s="66">
        <v>45183</v>
      </c>
      <c r="BJ3" s="67">
        <v>4.27396022763828E-3</v>
      </c>
      <c r="BK3" s="68">
        <v>0.44939223900000003</v>
      </c>
      <c r="BL3" s="68">
        <v>1143</v>
      </c>
      <c r="BM3" s="68">
        <f>BL3/60</f>
        <v>19.05</v>
      </c>
      <c r="BN3" s="68">
        <f t="shared" ref="BN3:BN34" si="7">BM3*BJ3</f>
        <v>8.1418942336509231E-2</v>
      </c>
      <c r="BO3" s="69">
        <f>37.141*BN3^0.4897</f>
        <v>10.875164845487898</v>
      </c>
      <c r="BP3" s="69">
        <f>IF((BK3-$BN$1)/($BL$1-$BN$1)&lt;0, 0, IF((BK3-$BN$1)/($BL$1-$BN$1)&gt;1, 1, (BK3-$BN$1)/($BL$1-$BN$1)))</f>
        <v>0</v>
      </c>
      <c r="BQ3" s="69">
        <f>BO3*BP3</f>
        <v>0</v>
      </c>
      <c r="BR3" s="69">
        <f t="shared" ref="BR3:BR66" si="8">IF((BN3-$BS$101)/($BQ$101-$BS$101)&lt;0, 0, IF((BN3-$BS$101)/($BQ$101-$BS$101)&gt;1, 1, (BN3-$BS$101)/($BQ$101-$BS$101)))</f>
        <v>0</v>
      </c>
      <c r="BS3" s="69">
        <f>BO3*BR3</f>
        <v>0</v>
      </c>
      <c r="BU3" s="82">
        <v>45046.333333333336</v>
      </c>
      <c r="BV3" s="112">
        <v>3.5411462999999997E-2</v>
      </c>
      <c r="BW3" s="83">
        <v>66.647934039999996</v>
      </c>
      <c r="BX3" s="112">
        <v>8404</v>
      </c>
      <c r="BY3" s="83">
        <f t="shared" ref="BY3:BY35" si="9">BX3/60</f>
        <v>140.06666666666666</v>
      </c>
      <c r="BZ3" s="84">
        <f t="shared" ref="BZ3:BZ35" si="10">BY3*BV3</f>
        <v>4.9599655841999999</v>
      </c>
      <c r="CA3" s="83">
        <f t="shared" ref="CA3:CA35" si="11">IF(37.141*BZ3^0.4897&gt;22.6, 37.141*BZ3^0.4897, 0)</f>
        <v>81.363475963061646</v>
      </c>
      <c r="CC3" s="87">
        <v>45047.208333333336</v>
      </c>
      <c r="CD3" s="109">
        <v>4.1196521753590898E-2</v>
      </c>
      <c r="CE3" s="88">
        <v>81.405228940000001</v>
      </c>
      <c r="CF3" s="89">
        <v>6517</v>
      </c>
      <c r="CG3" s="90">
        <f>CF3/60</f>
        <v>108.61666666666666</v>
      </c>
      <c r="CH3" s="91">
        <f>CG3*CD3</f>
        <v>4.4746288711358648</v>
      </c>
      <c r="CI3" s="91">
        <f>IF(37.141*CH3^0.4897&gt;22.6, 37.141*CH3^0.4897, 0)</f>
        <v>77.362288004399332</v>
      </c>
      <c r="CK3" s="93">
        <v>45049.25</v>
      </c>
      <c r="CL3">
        <v>2.9960694842799201E-2</v>
      </c>
      <c r="CM3" s="95">
        <v>98.886564129999996</v>
      </c>
      <c r="CN3" s="4">
        <v>10583</v>
      </c>
      <c r="CO3" s="95">
        <f>CN3/60</f>
        <v>176.38333333333333</v>
      </c>
      <c r="CP3" s="94">
        <f>CO3*CL3</f>
        <v>5.2845672253557323</v>
      </c>
      <c r="CQ3" s="96">
        <f>IF(37.141*CP3^0.4897&gt;22.6, 37.141*CP3^0.4897, 0)</f>
        <v>83.928857084319972</v>
      </c>
      <c r="CS3" s="10">
        <v>45050.510416666664</v>
      </c>
      <c r="CT3" s="110">
        <v>9.0417263281074398E-2</v>
      </c>
      <c r="CU3" s="21">
        <v>100.5402337</v>
      </c>
      <c r="CV3" s="111">
        <v>4097</v>
      </c>
      <c r="CW3" s="21">
        <f>CV3/60</f>
        <v>68.283333333333331</v>
      </c>
      <c r="CX3" s="21">
        <f>CW3*CT3</f>
        <v>6.1739921277093632</v>
      </c>
      <c r="CY3" s="21">
        <f>IF(37.141*CX3^0.4897&gt;22.6, 37.141*CX3^0.4897, 0)</f>
        <v>90.571966624080133</v>
      </c>
    </row>
    <row r="4" spans="1:103" x14ac:dyDescent="0.25">
      <c r="A4" s="10">
        <v>44776.011111111111</v>
      </c>
      <c r="B4" s="11">
        <v>1.8309745607605499E-3</v>
      </c>
      <c r="C4" s="12">
        <v>0.771817164</v>
      </c>
      <c r="D4" s="9">
        <v>166</v>
      </c>
      <c r="E4" s="13">
        <f t="shared" ref="E4:E67" si="12">D4/60</f>
        <v>2.7666666666666666</v>
      </c>
      <c r="F4" s="12">
        <f t="shared" ref="F4:F34" si="13">E4*B4</f>
        <v>5.0656962847708551E-3</v>
      </c>
      <c r="G4" s="13">
        <f t="shared" ref="G4:G67" si="14">37.141*F4^0.4897</f>
        <v>2.791356996271706</v>
      </c>
      <c r="H4" s="11">
        <f t="shared" ref="H4:H67" si="15">IF((C4-$F$1)/($D$1-$F$1)&lt;0, 0, IF((C4-$F$1)/($D$1-$F$1)&gt;1, 1, (C4-$F$1)/($D$1-$F$1)))</f>
        <v>3.9710768568353844E-3</v>
      </c>
      <c r="I4" s="125">
        <f t="shared" ref="I4:I67" si="16">G4*H4</f>
        <v>1.1084693167060107E-2</v>
      </c>
      <c r="J4" s="21">
        <f>IF((F4-$K$96)/($I$96-$K$96)&lt;0, 0, IF((F4-$K$96)/($I$96-$K$96)&gt;1, 1, (F4-$K$96)/($I$96-$K$96)))</f>
        <v>3.2489723565196522E-4</v>
      </c>
      <c r="K4" s="125">
        <f t="shared" ref="K4:K67" si="17">G4*J4</f>
        <v>9.0690417180645029E-4</v>
      </c>
      <c r="M4" s="25">
        <v>44781.011111111111</v>
      </c>
      <c r="N4" s="26">
        <v>4.1140294020959103E-3</v>
      </c>
      <c r="O4" s="27">
        <v>1.5123822984999999</v>
      </c>
      <c r="P4" s="28">
        <v>1319</v>
      </c>
      <c r="Q4" s="29">
        <f t="shared" ref="Q4:Q67" si="18">P4/60</f>
        <v>21.983333333333334</v>
      </c>
      <c r="R4" s="26">
        <f t="shared" si="0"/>
        <v>9.044007968940844E-2</v>
      </c>
      <c r="S4" s="29">
        <f t="shared" ref="S4:S67" si="19">37.141*R4^0.4897</f>
        <v>11.449421484108383</v>
      </c>
      <c r="T4" s="29">
        <f t="shared" ref="T4:T67" si="20">IF((O4-$R$1)/($P$1-$R$1)&lt;0, 0, IF((O4-$R$1)/($P$1-$R$1)&gt;1, 1, (O4-$R$1)/($P$1-$R$1)))</f>
        <v>7.1535926016997597E-3</v>
      </c>
      <c r="U4" s="126">
        <f t="shared" ref="U4:U67" si="21">S4*T4</f>
        <v>8.190449682246001E-2</v>
      </c>
      <c r="V4" s="128">
        <f>IF((R4-$W$102)/($U$101-$W$102)&lt;0, 0, IF((R4-$W$102)/($U$101-$W$102)&gt;1, 1, (R4-$W$102)/($U$101-$W$102)))</f>
        <v>2.2608312830159065E-2</v>
      </c>
      <c r="W4" s="126">
        <f t="shared" ref="W4:W67" si="22">S4*V4</f>
        <v>0.25885210263706637</v>
      </c>
      <c r="Y4" s="35">
        <v>45136.010416666664</v>
      </c>
      <c r="Z4" s="71">
        <v>6.5578895527806597E-3</v>
      </c>
      <c r="AA4" s="70">
        <v>0.99067576999999996</v>
      </c>
      <c r="AB4" s="36">
        <v>4022</v>
      </c>
      <c r="AC4" s="37">
        <f t="shared" ref="AC4:AC67" si="23">AB4/60</f>
        <v>67.033333333333331</v>
      </c>
      <c r="AD4" s="37">
        <f t="shared" si="1"/>
        <v>0.43959719635473021</v>
      </c>
      <c r="AE4" s="38">
        <f t="shared" ref="AE4:AE67" si="24">37.141*AD4^0.4897</f>
        <v>24.834623711052632</v>
      </c>
      <c r="AF4" s="38">
        <f t="shared" ref="AF4:AF67" si="25">IF((AA4-$AD$1)/($AB$1-$AD$1)&lt;0, 0, IF((AA4-$AD$1)/($AB$1-$AD$1)&gt;1, 1, (AA4-$AD$1)/($AB$1-$AD$1)))</f>
        <v>9.9069752538241945E-4</v>
      </c>
      <c r="AG4" s="38">
        <f t="shared" ref="AG4:AG67" si="26">AE4*AF4</f>
        <v>2.46036002543434E-2</v>
      </c>
      <c r="AH4" s="38">
        <f t="shared" si="2"/>
        <v>0</v>
      </c>
      <c r="AI4" s="38">
        <f t="shared" ref="AI4:AI67" si="27">AE4*AH4</f>
        <v>0</v>
      </c>
      <c r="AK4" s="45">
        <v>45151.010416666664</v>
      </c>
      <c r="AL4" s="4">
        <v>5.7380357523475096E-3</v>
      </c>
      <c r="AM4" s="3">
        <v>0.81307424100000003</v>
      </c>
      <c r="AN4" s="4">
        <v>1934</v>
      </c>
      <c r="AO4" s="46">
        <f t="shared" ref="AO4:AO67" si="28">AN4/60</f>
        <v>32.233333333333334</v>
      </c>
      <c r="AP4" s="47">
        <f t="shared" si="3"/>
        <v>0.18495601908400139</v>
      </c>
      <c r="AQ4" s="50">
        <f t="shared" ref="AQ4:AQ67" si="29">37.141*AP4^0.4897</f>
        <v>16.253130487710635</v>
      </c>
      <c r="AR4" s="50">
        <f t="shared" ref="AR4:AR67" si="30">IF((AM4-$AP$1)/($AN$1-$AP$1)&lt;0, 0, IF((AM4-$AP$1)/($AN$1-$AP$1)&gt;1, 1, (AM4-$AP$1)/($AN$1-$AP$1)))</f>
        <v>0.11309178921156748</v>
      </c>
      <c r="AS4" s="50">
        <f t="shared" ref="AS4:AS67" si="31">AQ4*AR4</f>
        <v>1.8380956071442722</v>
      </c>
      <c r="AT4" s="50">
        <f t="shared" si="4"/>
        <v>5.0837140486535259E-2</v>
      </c>
      <c r="AU4" s="50">
        <f t="shared" ref="AU4:AU67" si="32">AQ4*AT4</f>
        <v>0.82626267794973485</v>
      </c>
      <c r="AW4" s="51">
        <v>45166.010416666664</v>
      </c>
      <c r="AX4" s="72">
        <v>1.2652725073571E-2</v>
      </c>
      <c r="AY4" s="73">
        <v>0.50323377899999999</v>
      </c>
      <c r="AZ4" s="52">
        <v>5418</v>
      </c>
      <c r="BA4" s="53">
        <f t="shared" ref="BA4:BA67" si="33">AZ4/60</f>
        <v>90.3</v>
      </c>
      <c r="BB4" s="72">
        <f t="shared" si="5"/>
        <v>1.1425410741434612</v>
      </c>
      <c r="BC4" s="54">
        <f t="shared" ref="BC4:BC67" si="34">37.141*BB4^0.4897</f>
        <v>39.645456583396225</v>
      </c>
      <c r="BD4" s="54">
        <f t="shared" ref="BD4:BD67" si="35">IF((AY4-$BB$1)/($AZ$1-$BB$1)&lt;0, 0, IF((AY4-$BB$1)/($AZ$1-$BB$1)&gt;1, 1, (AY4-$BB$1)/($AZ$1-$BB$1)))</f>
        <v>6.6442076912800976E-2</v>
      </c>
      <c r="BE4" s="54">
        <f t="shared" ref="BE4:BE67" si="36">BD4*BC4</f>
        <v>2.6341264755571236</v>
      </c>
      <c r="BF4" s="54">
        <f t="shared" si="6"/>
        <v>7.9165455568056847E-2</v>
      </c>
      <c r="BG4" s="54">
        <f t="shared" ref="BG4:BG67" si="37">BF4*BC4</f>
        <v>3.1385506316281808</v>
      </c>
      <c r="BI4" s="66">
        <v>45183.010416666664</v>
      </c>
      <c r="BJ4" s="67">
        <v>7.1462194869225202E-3</v>
      </c>
      <c r="BK4" s="68">
        <v>0.44939223900000003</v>
      </c>
      <c r="BL4" s="68">
        <v>1456</v>
      </c>
      <c r="BM4" s="68">
        <f t="shared" ref="BM4:BM67" si="38">BL4/60</f>
        <v>24.266666666666666</v>
      </c>
      <c r="BN4" s="68">
        <f t="shared" si="7"/>
        <v>0.17341492621598648</v>
      </c>
      <c r="BO4" s="69">
        <f t="shared" ref="BO4:BO67" si="39">37.141*BN4^0.4897</f>
        <v>15.748320319549777</v>
      </c>
      <c r="BP4" s="69">
        <f t="shared" ref="BP4:BP67" si="40">IF((BK4-$BN$1)/($BL$1-$BN$1)&lt;0, 0, IF((BK4-$BN$1)/($BL$1-$BN$1)&gt;1, 1, (BK4-$BN$1)/($BL$1-$BN$1)))</f>
        <v>0</v>
      </c>
      <c r="BQ4" s="69">
        <f t="shared" ref="BQ4:BQ67" si="41">BO4*BP4</f>
        <v>0</v>
      </c>
      <c r="BR4" s="69">
        <f t="shared" si="8"/>
        <v>1.2204498294645539E-3</v>
      </c>
      <c r="BS4" s="69">
        <f t="shared" ref="BS4:BS67" si="42">BO4*BR4</f>
        <v>1.9220034848347695E-2</v>
      </c>
      <c r="BU4" s="82">
        <v>45046.34375</v>
      </c>
      <c r="BV4" s="112">
        <v>3.6160985E-2</v>
      </c>
      <c r="BW4" s="83">
        <v>70.271667750000006</v>
      </c>
      <c r="BX4" s="112">
        <v>8366</v>
      </c>
      <c r="BY4" s="83">
        <f t="shared" si="9"/>
        <v>139.43333333333334</v>
      </c>
      <c r="BZ4" s="84">
        <f t="shared" si="10"/>
        <v>5.0420466751666666</v>
      </c>
      <c r="CA4" s="83">
        <f t="shared" si="11"/>
        <v>82.020077037983313</v>
      </c>
      <c r="CC4" s="87">
        <v>45047.21875</v>
      </c>
      <c r="CD4" s="109">
        <v>3.6583768725802698E-2</v>
      </c>
      <c r="CE4" s="88">
        <v>78.755362430000005</v>
      </c>
      <c r="CF4" s="89">
        <v>7427</v>
      </c>
      <c r="CG4" s="90">
        <f t="shared" ref="CG4:CG67" si="43">CF4/60</f>
        <v>123.78333333333333</v>
      </c>
      <c r="CH4" s="91">
        <f t="shared" ref="CH4:CH67" si="44">CG4*CD4</f>
        <v>4.5284608387756107</v>
      </c>
      <c r="CI4" s="91">
        <f t="shared" ref="CI4:CI67" si="45">IF(37.141*CH4^0.4897&gt;22.6, 37.141*CH4^0.4897, 0)</f>
        <v>77.81666415726292</v>
      </c>
      <c r="CK4" s="93">
        <v>45049.260416666664</v>
      </c>
      <c r="CL4">
        <v>3.5885456546612703E-2</v>
      </c>
      <c r="CM4" s="95">
        <v>94.720978599999995</v>
      </c>
      <c r="CN4" s="4">
        <v>10343</v>
      </c>
      <c r="CO4" s="95">
        <f t="shared" ref="CO4:CO67" si="46">CN4/60</f>
        <v>172.38333333333333</v>
      </c>
      <c r="CP4" s="94">
        <f t="shared" ref="CP4:CP67" si="47">CO4*CL4</f>
        <v>6.1860546176935864</v>
      </c>
      <c r="CQ4" s="96">
        <f t="shared" ref="CQ4:CQ67" si="48">IF(37.141*CP4^0.4897&gt;22.6, 37.141*CP4^0.4897, 0)</f>
        <v>90.658578702129986</v>
      </c>
      <c r="CS4" s="10">
        <v>45050.520833333336</v>
      </c>
      <c r="CT4" s="110">
        <v>0.107946160049172</v>
      </c>
      <c r="CU4" s="21">
        <v>96.393321510000007</v>
      </c>
      <c r="CV4" s="111">
        <v>4021</v>
      </c>
      <c r="CW4" s="21">
        <f t="shared" ref="CW4:CW67" si="49">CV4/60</f>
        <v>67.016666666666666</v>
      </c>
      <c r="CX4" s="21">
        <f t="shared" ref="CX4:CX67" si="50">CW4*CT4</f>
        <v>7.2341918259620099</v>
      </c>
      <c r="CY4" s="21">
        <f t="shared" ref="CY4:CY67" si="51">IF(37.141*CX4^0.4897&gt;22.6, 37.141*CX4^0.4897, 0)</f>
        <v>97.880659249697544</v>
      </c>
    </row>
    <row r="5" spans="1:103" x14ac:dyDescent="0.25">
      <c r="A5" s="10">
        <v>44776.021527777775</v>
      </c>
      <c r="B5" s="11">
        <v>1.9109347783652299E-3</v>
      </c>
      <c r="C5" s="12">
        <v>0.78552173950000004</v>
      </c>
      <c r="D5" s="9">
        <v>156</v>
      </c>
      <c r="E5" s="13">
        <f t="shared" si="12"/>
        <v>2.6</v>
      </c>
      <c r="F5" s="12">
        <f t="shared" si="13"/>
        <v>4.9684304237495982E-3</v>
      </c>
      <c r="G5" s="13">
        <f t="shared" si="14"/>
        <v>2.7649809345134853</v>
      </c>
      <c r="H5" s="11">
        <f t="shared" si="15"/>
        <v>5.1174637635355473E-3</v>
      </c>
      <c r="I5" s="125">
        <f t="shared" si="16"/>
        <v>1.4149689739239414E-2</v>
      </c>
      <c r="J5" s="21">
        <f>IF((F5-$K$96)/($I$96-$K$96)&lt;0, 0, IF((F5-$K$96)/($I$96-$K$96)&gt;1, 1, (F5-$K$96)/($I$96-$K$96)))</f>
        <v>3.0472501817093209E-4</v>
      </c>
      <c r="K5" s="125">
        <f t="shared" si="17"/>
        <v>8.4255886551190258E-4</v>
      </c>
      <c r="M5" s="25">
        <v>44781.021527777775</v>
      </c>
      <c r="N5" s="26">
        <v>4.8180465017357297E-3</v>
      </c>
      <c r="O5" s="27">
        <v>1.3533179835</v>
      </c>
      <c r="P5" s="28">
        <v>1142</v>
      </c>
      <c r="Q5" s="29">
        <f t="shared" si="18"/>
        <v>19.033333333333335</v>
      </c>
      <c r="R5" s="26">
        <f t="shared" si="0"/>
        <v>9.1703485083036732E-2</v>
      </c>
      <c r="S5" s="29">
        <f t="shared" si="19"/>
        <v>11.527468362180842</v>
      </c>
      <c r="T5" s="29">
        <f t="shared" si="20"/>
        <v>1.9748478078059138E-3</v>
      </c>
      <c r="U5" s="126">
        <f t="shared" si="21"/>
        <v>2.2764995624604864E-2</v>
      </c>
      <c r="V5" s="128">
        <f>IF((R5-$W$102)/($U$101-$W$102)&lt;0, 0, IF((R5-$W$102)/($U$101-$W$102)&gt;1, 1, (R5-$W$102)/($U$101-$W$102)))</f>
        <v>2.324873712869362E-2</v>
      </c>
      <c r="W5" s="126">
        <f t="shared" si="22"/>
        <v>0.2679990817116748</v>
      </c>
      <c r="Y5" s="35">
        <v>45136.020833333336</v>
      </c>
      <c r="Z5" s="71">
        <v>8.2701496035337604E-3</v>
      </c>
      <c r="AA5" s="70">
        <v>1.1441742989999999</v>
      </c>
      <c r="AB5" s="36">
        <v>4666</v>
      </c>
      <c r="AC5" s="37">
        <f t="shared" si="23"/>
        <v>77.766666666666666</v>
      </c>
      <c r="AD5" s="37">
        <f t="shared" si="1"/>
        <v>0.64314196750147545</v>
      </c>
      <c r="AE5" s="38">
        <f t="shared" si="24"/>
        <v>29.921368797033395</v>
      </c>
      <c r="AF5" s="38">
        <f t="shared" si="25"/>
        <v>9.0021679876807585E-3</v>
      </c>
      <c r="AG5" s="38">
        <f t="shared" si="26"/>
        <v>0.26935718833224398</v>
      </c>
      <c r="AH5" s="38">
        <f t="shared" si="2"/>
        <v>4.2826437280071745E-2</v>
      </c>
      <c r="AI5" s="38">
        <f t="shared" si="27"/>
        <v>1.2814256241200466</v>
      </c>
      <c r="AK5" s="45">
        <v>45151.020833333336</v>
      </c>
      <c r="AL5" s="4">
        <v>5.5164617106820803E-3</v>
      </c>
      <c r="AM5" s="3">
        <v>0.50323377899999999</v>
      </c>
      <c r="AN5" s="4">
        <v>830</v>
      </c>
      <c r="AO5" s="46">
        <f t="shared" si="28"/>
        <v>13.833333333333334</v>
      </c>
      <c r="AP5" s="47">
        <f t="shared" si="3"/>
        <v>7.6311053664435441E-2</v>
      </c>
      <c r="AQ5" s="50">
        <f t="shared" si="29"/>
        <v>10.535536766165974</v>
      </c>
      <c r="AR5" s="50">
        <f t="shared" si="30"/>
        <v>0</v>
      </c>
      <c r="AS5" s="50">
        <f t="shared" si="31"/>
        <v>0</v>
      </c>
      <c r="AT5" s="50">
        <f t="shared" si="4"/>
        <v>0</v>
      </c>
      <c r="AU5" s="50">
        <f t="shared" si="32"/>
        <v>0</v>
      </c>
      <c r="AW5" s="51">
        <v>45166.020833333336</v>
      </c>
      <c r="AX5" s="72">
        <v>9.1951867851858098E-3</v>
      </c>
      <c r="AY5" s="73">
        <v>0.376777213</v>
      </c>
      <c r="AZ5" s="52">
        <v>3866</v>
      </c>
      <c r="BA5" s="53">
        <f t="shared" si="33"/>
        <v>64.433333333333337</v>
      </c>
      <c r="BB5" s="72">
        <f t="shared" si="5"/>
        <v>0.59247653519213905</v>
      </c>
      <c r="BC5" s="54">
        <f t="shared" si="34"/>
        <v>28.742904854222196</v>
      </c>
      <c r="BD5" s="54">
        <f t="shared" si="35"/>
        <v>0</v>
      </c>
      <c r="BE5" s="54">
        <f t="shared" si="36"/>
        <v>0</v>
      </c>
      <c r="BF5" s="54">
        <f t="shared" si="6"/>
        <v>0</v>
      </c>
      <c r="BG5" s="54">
        <f t="shared" si="37"/>
        <v>0</v>
      </c>
      <c r="BI5" s="66">
        <v>45183.020833333336</v>
      </c>
      <c r="BJ5" s="67">
        <v>4.5827994986773497E-3</v>
      </c>
      <c r="BK5" s="68">
        <v>0.44894941300000002</v>
      </c>
      <c r="BL5" s="68">
        <v>1318</v>
      </c>
      <c r="BM5" s="68">
        <f t="shared" si="38"/>
        <v>21.966666666666665</v>
      </c>
      <c r="BN5" s="68">
        <f t="shared" si="7"/>
        <v>0.10066882898761244</v>
      </c>
      <c r="BO5" s="69">
        <f t="shared" si="39"/>
        <v>12.066221194363402</v>
      </c>
      <c r="BP5" s="69">
        <f t="shared" si="40"/>
        <v>0</v>
      </c>
      <c r="BQ5" s="69">
        <f t="shared" si="41"/>
        <v>0</v>
      </c>
      <c r="BR5" s="69">
        <f t="shared" si="8"/>
        <v>0</v>
      </c>
      <c r="BS5" s="69">
        <f t="shared" si="42"/>
        <v>0</v>
      </c>
      <c r="BU5" s="82">
        <v>45046.354166666664</v>
      </c>
      <c r="BV5" s="112">
        <v>3.3322849000000002E-2</v>
      </c>
      <c r="BW5" s="83">
        <v>68.466857000000005</v>
      </c>
      <c r="BX5" s="112">
        <v>8273</v>
      </c>
      <c r="BY5" s="83">
        <f t="shared" si="9"/>
        <v>137.88333333333333</v>
      </c>
      <c r="BZ5" s="84">
        <f t="shared" si="10"/>
        <v>4.5946654962833335</v>
      </c>
      <c r="CA5" s="83">
        <f t="shared" si="11"/>
        <v>78.371710774317449</v>
      </c>
      <c r="CC5" s="87">
        <v>45047.229166666664</v>
      </c>
      <c r="CD5" s="109">
        <v>3.1500656650923303E-2</v>
      </c>
      <c r="CE5" s="88">
        <v>80.079324720000002</v>
      </c>
      <c r="CF5" s="89">
        <v>8170</v>
      </c>
      <c r="CG5" s="90">
        <f t="shared" si="43"/>
        <v>136.16666666666666</v>
      </c>
      <c r="CH5" s="91">
        <f t="shared" si="44"/>
        <v>4.2893394139673893</v>
      </c>
      <c r="CI5" s="91">
        <f t="shared" si="45"/>
        <v>75.776610972721528</v>
      </c>
      <c r="CK5" s="93">
        <v>45049.270833333336</v>
      </c>
      <c r="CL5">
        <v>3.1084247223509401E-2</v>
      </c>
      <c r="CM5" s="95">
        <v>100.9486689</v>
      </c>
      <c r="CN5" s="4">
        <v>10100</v>
      </c>
      <c r="CO5" s="95">
        <f t="shared" si="46"/>
        <v>168.33333333333334</v>
      </c>
      <c r="CP5" s="94">
        <f t="shared" si="47"/>
        <v>5.2325149492907492</v>
      </c>
      <c r="CQ5" s="96">
        <f t="shared" si="48"/>
        <v>83.523005505687152</v>
      </c>
      <c r="CS5" s="10">
        <v>45050.53125</v>
      </c>
      <c r="CT5" s="110">
        <v>9.0791497850966602E-2</v>
      </c>
      <c r="CU5" s="21">
        <v>96.400480259999995</v>
      </c>
      <c r="CV5" s="111">
        <v>4179</v>
      </c>
      <c r="CW5" s="21">
        <f t="shared" si="49"/>
        <v>69.650000000000006</v>
      </c>
      <c r="CX5" s="21">
        <f t="shared" si="50"/>
        <v>6.3236278253198241</v>
      </c>
      <c r="CY5" s="21">
        <f t="shared" si="51"/>
        <v>91.64036085817429</v>
      </c>
    </row>
    <row r="6" spans="1:103" x14ac:dyDescent="0.25">
      <c r="A6" s="10">
        <v>44776.031944444447</v>
      </c>
      <c r="B6" s="11">
        <v>1.68743229133343E-3</v>
      </c>
      <c r="C6" s="12">
        <v>0.77333739349999997</v>
      </c>
      <c r="D6" s="9">
        <v>140</v>
      </c>
      <c r="E6" s="13">
        <f t="shared" si="12"/>
        <v>2.3333333333333335</v>
      </c>
      <c r="F6" s="12">
        <f t="shared" si="13"/>
        <v>3.9373420131113366E-3</v>
      </c>
      <c r="G6" s="13">
        <f t="shared" si="14"/>
        <v>2.4673148397084299</v>
      </c>
      <c r="H6" s="11">
        <f t="shared" si="15"/>
        <v>4.0982439620098057E-3</v>
      </c>
      <c r="I6" s="125">
        <f t="shared" si="16"/>
        <v>1.0111658144212264E-2</v>
      </c>
      <c r="J6" s="21">
        <f>IF((F6-$K$96)/($I$96-$K$96)&lt;0, 0, IF((F6-$K$96)/($I$96-$K$96)&gt;1, 1, (F6-$K$96)/($I$96-$K$96)))</f>
        <v>9.0884936530959696E-5</v>
      </c>
      <c r="K6" s="125">
        <f t="shared" si="17"/>
        <v>2.2424175260879565E-4</v>
      </c>
      <c r="M6" s="25">
        <v>44781.031944444447</v>
      </c>
      <c r="N6" s="26">
        <v>3.3458903436103201E-3</v>
      </c>
      <c r="O6" s="27">
        <v>1.3056302835</v>
      </c>
      <c r="P6" s="28">
        <v>1133</v>
      </c>
      <c r="Q6" s="29">
        <f t="shared" si="18"/>
        <v>18.883333333333333</v>
      </c>
      <c r="R6" s="26">
        <f t="shared" si="0"/>
        <v>6.3181562655174883E-2</v>
      </c>
      <c r="S6" s="29">
        <f t="shared" si="19"/>
        <v>9.6051177537464021</v>
      </c>
      <c r="T6" s="29">
        <f t="shared" si="20"/>
        <v>4.2225300923169173E-4</v>
      </c>
      <c r="U6" s="126">
        <f t="shared" si="21"/>
        <v>4.0557898755441656E-3</v>
      </c>
      <c r="V6" s="128">
        <f>IF((R6-$W$102)/($U$101-$W$102)&lt;0, 0, IF((R6-$W$102)/($U$101-$W$102)&gt;1, 1, (R6-$W$102)/($U$101-$W$102)))</f>
        <v>8.7908819890514904E-3</v>
      </c>
      <c r="W6" s="126">
        <f t="shared" si="22"/>
        <v>8.4437456664127955E-2</v>
      </c>
      <c r="Y6" s="35">
        <v>45136.03125</v>
      </c>
      <c r="Z6" s="71">
        <v>5.0806678921883897E-3</v>
      </c>
      <c r="AA6" s="70">
        <v>0.73432993800000002</v>
      </c>
      <c r="AB6" s="36">
        <v>2568</v>
      </c>
      <c r="AC6" s="37">
        <f t="shared" si="23"/>
        <v>42.8</v>
      </c>
      <c r="AD6" s="37">
        <f t="shared" si="1"/>
        <v>0.21745258578566307</v>
      </c>
      <c r="AE6" s="38">
        <f t="shared" si="24"/>
        <v>17.593855701595938</v>
      </c>
      <c r="AF6" s="38">
        <f t="shared" si="25"/>
        <v>0</v>
      </c>
      <c r="AG6" s="38">
        <f t="shared" si="26"/>
        <v>0</v>
      </c>
      <c r="AH6" s="38">
        <f t="shared" si="2"/>
        <v>0</v>
      </c>
      <c r="AI6" s="38">
        <f t="shared" si="27"/>
        <v>0</v>
      </c>
      <c r="AK6" s="45">
        <v>45151.03125</v>
      </c>
      <c r="AL6" s="4">
        <v>8.1778152933130593E-3</v>
      </c>
      <c r="AM6" s="3">
        <v>0.69769667099999999</v>
      </c>
      <c r="AN6" s="4">
        <v>1804</v>
      </c>
      <c r="AO6" s="46">
        <f t="shared" si="28"/>
        <v>30.066666666666666</v>
      </c>
      <c r="AP6" s="47">
        <f t="shared" si="3"/>
        <v>0.24587964648561264</v>
      </c>
      <c r="AQ6" s="50">
        <f t="shared" si="29"/>
        <v>18.684885468832288</v>
      </c>
      <c r="AR6" s="50">
        <f t="shared" si="30"/>
        <v>5.033140178475267E-2</v>
      </c>
      <c r="AS6" s="50">
        <f t="shared" si="31"/>
        <v>0.94043647783388462</v>
      </c>
      <c r="AT6" s="50">
        <f t="shared" si="4"/>
        <v>9.9086244882307078E-2</v>
      </c>
      <c r="AU6" s="50">
        <f t="shared" si="32"/>
        <v>1.8514151371625771</v>
      </c>
      <c r="AW6" s="51">
        <v>45166.03125</v>
      </c>
      <c r="AX6" s="72">
        <v>1.5173261866540701E-2</v>
      </c>
      <c r="AY6" s="73">
        <v>0.42386643899999998</v>
      </c>
      <c r="AZ6" s="52">
        <v>4454</v>
      </c>
      <c r="BA6" s="53">
        <f t="shared" si="33"/>
        <v>74.233333333333334</v>
      </c>
      <c r="BB6" s="72">
        <f t="shared" si="5"/>
        <v>1.1263618058928713</v>
      </c>
      <c r="BC6" s="54">
        <f t="shared" si="34"/>
        <v>39.369533421059508</v>
      </c>
      <c r="BD6" s="54">
        <f t="shared" si="35"/>
        <v>2.3952851071099918E-2</v>
      </c>
      <c r="BE6" s="54">
        <f t="shared" si="36"/>
        <v>0.94301257077332923</v>
      </c>
      <c r="BF6" s="54">
        <f t="shared" si="6"/>
        <v>7.6580209410852224E-2</v>
      </c>
      <c r="BG6" s="54">
        <f t="shared" si="37"/>
        <v>3.0149271137922824</v>
      </c>
      <c r="BI6" s="66">
        <v>45183.03125</v>
      </c>
      <c r="BJ6" s="67">
        <v>7.4133539473626503E-3</v>
      </c>
      <c r="BK6" s="68">
        <v>0.59425534599999996</v>
      </c>
      <c r="BL6" s="68">
        <v>2084</v>
      </c>
      <c r="BM6" s="68">
        <f t="shared" si="38"/>
        <v>34.733333333333334</v>
      </c>
      <c r="BN6" s="68">
        <f t="shared" si="7"/>
        <v>0.25749049377172939</v>
      </c>
      <c r="BO6" s="69">
        <f t="shared" si="39"/>
        <v>19.111877468079864</v>
      </c>
      <c r="BP6" s="69">
        <f t="shared" si="40"/>
        <v>0.12721788649803784</v>
      </c>
      <c r="BQ6" s="69">
        <f t="shared" si="41"/>
        <v>2.4313726584985909</v>
      </c>
      <c r="BR6" s="69">
        <f t="shared" si="8"/>
        <v>8.4169065450147244E-3</v>
      </c>
      <c r="BS6" s="69">
        <f t="shared" si="42"/>
        <v>0.16086288654860084</v>
      </c>
      <c r="BU6" s="82">
        <v>45046.364583333336</v>
      </c>
      <c r="BV6" s="112">
        <v>3.3540121999999999E-2</v>
      </c>
      <c r="BW6" s="83">
        <v>69.36581735</v>
      </c>
      <c r="BX6" s="112">
        <v>7907</v>
      </c>
      <c r="BY6" s="83">
        <f t="shared" si="9"/>
        <v>131.78333333333333</v>
      </c>
      <c r="BZ6" s="84">
        <f t="shared" si="10"/>
        <v>4.4200290775666664</v>
      </c>
      <c r="CA6" s="83">
        <f t="shared" si="11"/>
        <v>76.898572358647399</v>
      </c>
      <c r="CC6" s="87">
        <v>45047.239583333336</v>
      </c>
      <c r="CD6" s="109">
        <v>3.2423821818007299E-2</v>
      </c>
      <c r="CE6" s="88">
        <v>81.397704649999994</v>
      </c>
      <c r="CF6" s="89">
        <v>8109</v>
      </c>
      <c r="CG6" s="90">
        <f t="shared" si="43"/>
        <v>135.15</v>
      </c>
      <c r="CH6" s="91">
        <f t="shared" si="44"/>
        <v>4.3820795187036863</v>
      </c>
      <c r="CI6" s="91">
        <f t="shared" si="45"/>
        <v>76.574542920371201</v>
      </c>
      <c r="CK6" s="93">
        <v>45049.28125</v>
      </c>
      <c r="CL6">
        <v>3.0161015858154699E-2</v>
      </c>
      <c r="CM6" s="95">
        <v>103.3988808</v>
      </c>
      <c r="CN6" s="4">
        <v>10265</v>
      </c>
      <c r="CO6" s="95">
        <f t="shared" si="46"/>
        <v>171.08333333333334</v>
      </c>
      <c r="CP6" s="94">
        <f t="shared" si="47"/>
        <v>5.1600471297326331</v>
      </c>
      <c r="CQ6" s="96">
        <f t="shared" si="48"/>
        <v>82.954527517052853</v>
      </c>
      <c r="CS6" s="10">
        <v>45050.541666666664</v>
      </c>
      <c r="CT6" s="110">
        <v>9.3448856240914993E-2</v>
      </c>
      <c r="CU6" s="21">
        <v>100.9486689</v>
      </c>
      <c r="CV6" s="111">
        <v>4142</v>
      </c>
      <c r="CW6" s="21">
        <f t="shared" si="49"/>
        <v>69.033333333333331</v>
      </c>
      <c r="CX6" s="21">
        <f t="shared" si="50"/>
        <v>6.4510860424978311</v>
      </c>
      <c r="CY6" s="21">
        <f t="shared" si="51"/>
        <v>92.540276268151132</v>
      </c>
    </row>
    <row r="7" spans="1:103" x14ac:dyDescent="0.25">
      <c r="A7" s="10">
        <v>44776.042361111111</v>
      </c>
      <c r="B7" s="11">
        <v>1.72438646685688E-3</v>
      </c>
      <c r="C7" s="12">
        <v>0.69855224699999996</v>
      </c>
      <c r="D7" s="9">
        <v>158</v>
      </c>
      <c r="E7" s="13">
        <f t="shared" si="12"/>
        <v>2.6333333333333333</v>
      </c>
      <c r="F7" s="12">
        <f t="shared" si="13"/>
        <v>4.5408843627231174E-3</v>
      </c>
      <c r="G7" s="13">
        <f t="shared" si="14"/>
        <v>2.6457893704180964</v>
      </c>
      <c r="H7" s="11">
        <f t="shared" si="15"/>
        <v>0</v>
      </c>
      <c r="I7" s="125">
        <f t="shared" si="16"/>
        <v>0</v>
      </c>
      <c r="J7" s="21">
        <f>IF((F7-$K$96)/($I$96-$K$96)&lt;0, 0, IF((F7-$K$96)/($I$96-$K$96)&gt;1, 1, (F7-$K$96)/($I$96-$K$96)))</f>
        <v>2.1605513918533016E-4</v>
      </c>
      <c r="K7" s="125">
        <f t="shared" si="17"/>
        <v>5.7163639068074886E-4</v>
      </c>
      <c r="M7" s="25">
        <v>44781.042361111111</v>
      </c>
      <c r="N7" s="26">
        <v>4.0338568213079302E-3</v>
      </c>
      <c r="O7" s="27">
        <v>1.3930697775000001</v>
      </c>
      <c r="P7" s="28">
        <v>1250</v>
      </c>
      <c r="Q7" s="29">
        <f t="shared" si="18"/>
        <v>20.833333333333332</v>
      </c>
      <c r="R7" s="26">
        <f t="shared" si="0"/>
        <v>8.4038683777248546E-2</v>
      </c>
      <c r="S7" s="29">
        <f t="shared" si="19"/>
        <v>11.045136245479773</v>
      </c>
      <c r="T7" s="29">
        <f t="shared" si="20"/>
        <v>3.2690689297806383E-3</v>
      </c>
      <c r="U7" s="126">
        <f t="shared" si="21"/>
        <v>3.6107311725291899E-2</v>
      </c>
      <c r="V7" s="128">
        <f>IF((R7-$W$102)/($U$101-$W$102)&lt;0, 0, IF((R7-$W$102)/($U$101-$W$102)&gt;1, 1, (R7-$W$102)/($U$101-$W$102)))</f>
        <v>1.9363424445668669E-2</v>
      </c>
      <c r="W7" s="126">
        <f t="shared" si="22"/>
        <v>0.21387166118146408</v>
      </c>
      <c r="Y7" s="35">
        <v>45136.041666666664</v>
      </c>
      <c r="Z7" s="71">
        <v>8.18501275629426E-3</v>
      </c>
      <c r="AA7" s="70">
        <v>1.317101139</v>
      </c>
      <c r="AB7" s="36">
        <v>5208</v>
      </c>
      <c r="AC7" s="37">
        <f t="shared" si="23"/>
        <v>86.8</v>
      </c>
      <c r="AD7" s="37">
        <f t="shared" si="1"/>
        <v>0.71045910724634176</v>
      </c>
      <c r="AE7" s="38">
        <f t="shared" si="24"/>
        <v>31.416100892084852</v>
      </c>
      <c r="AF7" s="38">
        <f t="shared" si="25"/>
        <v>1.8027650380405141E-2</v>
      </c>
      <c r="AG7" s="38">
        <f t="shared" si="26"/>
        <v>0.56635848319803972</v>
      </c>
      <c r="AH7" s="38">
        <f t="shared" si="2"/>
        <v>6.0674893843541265E-2</v>
      </c>
      <c r="AI7" s="38">
        <f t="shared" si="27"/>
        <v>1.9061685866052305</v>
      </c>
      <c r="AK7" s="45">
        <v>45151.041666666664</v>
      </c>
      <c r="AL7" s="4">
        <v>7.37397531382136E-3</v>
      </c>
      <c r="AM7" s="3">
        <v>0.69769667099999999</v>
      </c>
      <c r="AN7" s="4">
        <v>1779</v>
      </c>
      <c r="AO7" s="46">
        <f t="shared" si="28"/>
        <v>29.65</v>
      </c>
      <c r="AP7" s="47">
        <f t="shared" si="3"/>
        <v>0.2186383680548033</v>
      </c>
      <c r="AQ7" s="50">
        <f t="shared" si="29"/>
        <v>17.640772512635152</v>
      </c>
      <c r="AR7" s="50">
        <f t="shared" si="30"/>
        <v>5.033140178475267E-2</v>
      </c>
      <c r="AS7" s="50">
        <f t="shared" si="31"/>
        <v>0.88788480912686074</v>
      </c>
      <c r="AT7" s="50">
        <f t="shared" si="4"/>
        <v>7.7512229300174387E-2</v>
      </c>
      <c r="AU7" s="50">
        <f t="shared" si="32"/>
        <v>1.3673756040315894</v>
      </c>
      <c r="AW7" s="51">
        <v>45166.041666666664</v>
      </c>
      <c r="AX7" s="72">
        <v>1.2167439556441201E-2</v>
      </c>
      <c r="AY7" s="73">
        <v>0.42386643899999998</v>
      </c>
      <c r="AZ7" s="52">
        <v>4533</v>
      </c>
      <c r="BA7" s="53">
        <f t="shared" si="33"/>
        <v>75.55</v>
      </c>
      <c r="BB7" s="72">
        <f t="shared" si="5"/>
        <v>0.91925005848913266</v>
      </c>
      <c r="BC7" s="54">
        <f t="shared" si="34"/>
        <v>35.640768428102852</v>
      </c>
      <c r="BD7" s="54">
        <f t="shared" si="35"/>
        <v>2.3952851071099918E-2</v>
      </c>
      <c r="BE7" s="54">
        <f t="shared" si="36"/>
        <v>0.85369801821790758</v>
      </c>
      <c r="BF7" s="54">
        <f t="shared" si="6"/>
        <v>4.3486324026516178E-2</v>
      </c>
      <c r="BG7" s="54">
        <f t="shared" si="37"/>
        <v>1.5498860044185083</v>
      </c>
      <c r="BI7" s="66">
        <v>45183.041666666664</v>
      </c>
      <c r="BJ7" s="67">
        <v>5.4663213325717901E-3</v>
      </c>
      <c r="BK7" s="68">
        <v>0.399936554</v>
      </c>
      <c r="BL7" s="68">
        <v>1096</v>
      </c>
      <c r="BM7" s="68">
        <f t="shared" si="38"/>
        <v>18.266666666666666</v>
      </c>
      <c r="BN7" s="68">
        <f t="shared" si="7"/>
        <v>9.985146967497803E-2</v>
      </c>
      <c r="BO7" s="69">
        <f t="shared" si="39"/>
        <v>12.018145912051784</v>
      </c>
      <c r="BP7" s="69">
        <f t="shared" si="40"/>
        <v>0</v>
      </c>
      <c r="BQ7" s="69">
        <f t="shared" si="41"/>
        <v>0</v>
      </c>
      <c r="BR7" s="69">
        <f t="shared" si="8"/>
        <v>0</v>
      </c>
      <c r="BS7" s="69">
        <f t="shared" si="42"/>
        <v>0</v>
      </c>
      <c r="BU7" s="82">
        <v>45046.375</v>
      </c>
      <c r="BV7" s="112">
        <v>3.4657274000000002E-2</v>
      </c>
      <c r="BW7" s="83">
        <v>69.36581735</v>
      </c>
      <c r="BX7" s="112">
        <v>8100</v>
      </c>
      <c r="BY7" s="83">
        <f t="shared" si="9"/>
        <v>135</v>
      </c>
      <c r="BZ7" s="84">
        <f t="shared" si="10"/>
        <v>4.6787319900000002</v>
      </c>
      <c r="CA7" s="83">
        <f t="shared" si="11"/>
        <v>79.07065870598538</v>
      </c>
      <c r="CC7" s="87">
        <v>45047.25</v>
      </c>
      <c r="CD7" s="109">
        <v>3.1521529038454801E-2</v>
      </c>
      <c r="CE7" s="88">
        <v>80.961047410000006</v>
      </c>
      <c r="CF7" s="89">
        <v>7804</v>
      </c>
      <c r="CG7" s="90">
        <f t="shared" si="43"/>
        <v>130.06666666666666</v>
      </c>
      <c r="CH7" s="91">
        <f t="shared" si="44"/>
        <v>4.0999002102683546</v>
      </c>
      <c r="CI7" s="91">
        <f t="shared" si="45"/>
        <v>74.118849769232312</v>
      </c>
      <c r="CK7" s="93">
        <v>45049.291666666664</v>
      </c>
      <c r="CL7">
        <v>3.2941322561112499E-2</v>
      </c>
      <c r="CM7" s="95">
        <v>108.62303609999999</v>
      </c>
      <c r="CN7" s="4">
        <v>10340</v>
      </c>
      <c r="CO7" s="95">
        <f t="shared" si="46"/>
        <v>172.33333333333334</v>
      </c>
      <c r="CP7" s="94">
        <f t="shared" si="47"/>
        <v>5.6768879213650543</v>
      </c>
      <c r="CQ7" s="96">
        <f t="shared" si="48"/>
        <v>86.924342915009575</v>
      </c>
      <c r="CS7" s="10">
        <v>45050.552083333336</v>
      </c>
      <c r="CT7" s="110">
        <v>9.6062476792138099E-2</v>
      </c>
      <c r="CU7" s="21">
        <v>97.649612750000003</v>
      </c>
      <c r="CV7" s="111">
        <v>4160</v>
      </c>
      <c r="CW7" s="21">
        <f t="shared" si="49"/>
        <v>69.333333333333329</v>
      </c>
      <c r="CX7" s="21">
        <f t="shared" si="50"/>
        <v>6.6603317242549078</v>
      </c>
      <c r="CY7" s="21">
        <f t="shared" si="51"/>
        <v>93.998195275073385</v>
      </c>
    </row>
    <row r="8" spans="1:103" x14ac:dyDescent="0.25">
      <c r="A8" s="10">
        <v>44776.052777777775</v>
      </c>
      <c r="B8" s="11">
        <v>1.4704661606273399E-3</v>
      </c>
      <c r="C8" s="12">
        <v>0.71226070049999901</v>
      </c>
      <c r="D8" s="9">
        <v>143</v>
      </c>
      <c r="E8" s="13">
        <f t="shared" si="12"/>
        <v>2.3833333333333333</v>
      </c>
      <c r="F8" s="12">
        <f t="shared" si="13"/>
        <v>3.5046110161618266E-3</v>
      </c>
      <c r="G8" s="13">
        <f t="shared" si="14"/>
        <v>2.3305783803926121</v>
      </c>
      <c r="H8" s="11">
        <f t="shared" si="15"/>
        <v>0</v>
      </c>
      <c r="I8" s="125">
        <f t="shared" si="16"/>
        <v>0</v>
      </c>
      <c r="J8" s="21">
        <f>IF((F8-$K$96)/($I$96-$K$96)&lt;0, 0, IF((F8-$K$96)/($I$96-$K$96)&gt;1, 1, (F8-$K$96)/($I$96-$K$96)))</f>
        <v>1.1397403275139005E-6</v>
      </c>
      <c r="K8" s="125">
        <f t="shared" si="17"/>
        <v>2.6562541665654917E-6</v>
      </c>
      <c r="M8" s="25">
        <v>44781.052777777775</v>
      </c>
      <c r="N8" s="26">
        <v>3.37164121232515E-3</v>
      </c>
      <c r="O8" s="27">
        <v>1.357638297</v>
      </c>
      <c r="P8" s="28">
        <v>1223</v>
      </c>
      <c r="Q8" s="29">
        <f t="shared" si="18"/>
        <v>20.383333333333333</v>
      </c>
      <c r="R8" s="26">
        <f t="shared" si="0"/>
        <v>6.8725286711227643E-2</v>
      </c>
      <c r="S8" s="29">
        <f t="shared" si="19"/>
        <v>10.008974257758966</v>
      </c>
      <c r="T8" s="29">
        <f t="shared" si="20"/>
        <v>2.1155066415997452E-3</v>
      </c>
      <c r="U8" s="126">
        <f t="shared" si="21"/>
        <v>2.1174051517889973E-2</v>
      </c>
      <c r="V8" s="128">
        <f>IF((R8-$W$102)/($U$101-$W$102)&lt;0, 0, IF((R8-$W$102)/($U$101-$W$102)&gt;1, 1, (R8-$W$102)/($U$101-$W$102)))</f>
        <v>1.1601013723308809E-2</v>
      </c>
      <c r="W8" s="126">
        <f t="shared" si="22"/>
        <v>0.11611424772050637</v>
      </c>
      <c r="Y8" s="35">
        <v>45136.052083333336</v>
      </c>
      <c r="Z8" s="71">
        <v>9.4849839824454E-3</v>
      </c>
      <c r="AA8" s="70">
        <v>1.1441742989999999</v>
      </c>
      <c r="AB8" s="36">
        <v>4584</v>
      </c>
      <c r="AC8" s="37">
        <f t="shared" si="23"/>
        <v>76.400000000000006</v>
      </c>
      <c r="AD8" s="37">
        <f t="shared" si="1"/>
        <v>0.72465277625882862</v>
      </c>
      <c r="AE8" s="38">
        <f t="shared" si="24"/>
        <v>31.72190310962235</v>
      </c>
      <c r="AF8" s="38">
        <f t="shared" si="25"/>
        <v>9.0021679876807585E-3</v>
      </c>
      <c r="AG8" s="38">
        <f t="shared" si="26"/>
        <v>0.28556590068175303</v>
      </c>
      <c r="AH8" s="38">
        <f t="shared" si="2"/>
        <v>6.4438201164764092E-2</v>
      </c>
      <c r="AI8" s="38">
        <f t="shared" si="27"/>
        <v>2.0441023739070006</v>
      </c>
      <c r="AK8" s="45">
        <v>45151.052083333336</v>
      </c>
      <c r="AL8" s="4">
        <v>5.1172948044195098E-3</v>
      </c>
      <c r="AM8" s="3">
        <v>0.66168135500000003</v>
      </c>
      <c r="AN8" s="4">
        <v>1412</v>
      </c>
      <c r="AO8" s="46">
        <f t="shared" si="28"/>
        <v>23.533333333333335</v>
      </c>
      <c r="AP8" s="47">
        <f t="shared" si="3"/>
        <v>0.12042700439733914</v>
      </c>
      <c r="AQ8" s="50">
        <f t="shared" si="29"/>
        <v>13.172981394580948</v>
      </c>
      <c r="AR8" s="50">
        <f t="shared" si="30"/>
        <v>3.0740633965156895E-2</v>
      </c>
      <c r="AS8" s="50">
        <f t="shared" si="31"/>
        <v>0.4049457992806349</v>
      </c>
      <c r="AT8" s="50">
        <f t="shared" si="4"/>
        <v>0</v>
      </c>
      <c r="AU8" s="50">
        <f t="shared" si="32"/>
        <v>0</v>
      </c>
      <c r="AW8" s="51">
        <v>45166.052083333336</v>
      </c>
      <c r="AX8" s="72">
        <v>1.31922622969669E-2</v>
      </c>
      <c r="AY8" s="73">
        <v>0.44894941300000002</v>
      </c>
      <c r="AZ8" s="52">
        <v>4857</v>
      </c>
      <c r="BA8" s="53">
        <f t="shared" si="33"/>
        <v>80.95</v>
      </c>
      <c r="BB8" s="72">
        <f t="shared" si="5"/>
        <v>1.0679136329394707</v>
      </c>
      <c r="BC8" s="54">
        <f t="shared" si="34"/>
        <v>38.355507714735971</v>
      </c>
      <c r="BD8" s="54">
        <f t="shared" si="35"/>
        <v>3.7380996036869431E-2</v>
      </c>
      <c r="BE8" s="54">
        <f t="shared" si="36"/>
        <v>1.4337670818766601</v>
      </c>
      <c r="BF8" s="54">
        <f t="shared" si="6"/>
        <v>6.724091716456039E-2</v>
      </c>
      <c r="BG8" s="54">
        <f t="shared" si="37"/>
        <v>2.5790595170512183</v>
      </c>
      <c r="BI8" s="66">
        <v>45183.052083333336</v>
      </c>
      <c r="BJ8" s="67">
        <v>7.2387601189118E-3</v>
      </c>
      <c r="BK8" s="68">
        <v>0.50323377899999999</v>
      </c>
      <c r="BL8" s="68">
        <v>1870</v>
      </c>
      <c r="BM8" s="68">
        <f t="shared" si="38"/>
        <v>31.166666666666668</v>
      </c>
      <c r="BN8" s="68">
        <f t="shared" si="7"/>
        <v>0.22560802370608443</v>
      </c>
      <c r="BO8" s="69">
        <f t="shared" si="39"/>
        <v>17.913948094183343</v>
      </c>
      <c r="BP8" s="69">
        <f t="shared" si="40"/>
        <v>3.3779808785430195E-2</v>
      </c>
      <c r="BQ8" s="69">
        <f t="shared" si="41"/>
        <v>0.60512974121363494</v>
      </c>
      <c r="BR8" s="69">
        <f t="shared" si="8"/>
        <v>5.6879232924173934E-3</v>
      </c>
      <c r="BS8" s="69">
        <f t="shared" si="42"/>
        <v>0.10189316262406162</v>
      </c>
      <c r="BU8" s="82">
        <v>45046.385416666664</v>
      </c>
      <c r="BV8" s="112">
        <v>4.1305267999999999E-2</v>
      </c>
      <c r="BW8" s="83">
        <v>67.106545600000004</v>
      </c>
      <c r="BX8" s="112">
        <v>8147</v>
      </c>
      <c r="BY8" s="83">
        <f t="shared" si="9"/>
        <v>135.78333333333333</v>
      </c>
      <c r="BZ8" s="84">
        <f t="shared" si="10"/>
        <v>5.6085669732666661</v>
      </c>
      <c r="CA8" s="83">
        <f t="shared" si="11"/>
        <v>86.410471155116355</v>
      </c>
      <c r="CC8" s="87">
        <v>45047.260416666664</v>
      </c>
      <c r="CD8" s="109">
        <v>3.3800052556195302E-2</v>
      </c>
      <c r="CE8" s="88">
        <v>82.276892649999994</v>
      </c>
      <c r="CF8" s="89">
        <v>7813</v>
      </c>
      <c r="CG8" s="90">
        <f t="shared" si="43"/>
        <v>130.21666666666667</v>
      </c>
      <c r="CH8" s="91">
        <f t="shared" si="44"/>
        <v>4.4013301770258986</v>
      </c>
      <c r="CI8" s="91">
        <f t="shared" si="45"/>
        <v>76.739091393463653</v>
      </c>
      <c r="CK8" s="93">
        <v>45049.302083333336</v>
      </c>
      <c r="CL8">
        <v>3.1407270262268798E-2</v>
      </c>
      <c r="CM8" s="95">
        <v>93.457733590000004</v>
      </c>
      <c r="CN8" s="4">
        <v>10267</v>
      </c>
      <c r="CO8" s="95">
        <f t="shared" si="46"/>
        <v>171.11666666666667</v>
      </c>
      <c r="CP8" s="94">
        <f t="shared" si="47"/>
        <v>5.3743073963785628</v>
      </c>
      <c r="CQ8" s="96">
        <f t="shared" si="48"/>
        <v>84.623799863901397</v>
      </c>
      <c r="CS8" s="10">
        <v>45050.5625</v>
      </c>
      <c r="CT8" s="110">
        <v>8.65790585873258E-2</v>
      </c>
      <c r="CU8" s="21">
        <v>96.400480259999995</v>
      </c>
      <c r="CV8" s="111">
        <v>4320</v>
      </c>
      <c r="CW8" s="21">
        <f t="shared" si="49"/>
        <v>72</v>
      </c>
      <c r="CX8" s="21">
        <f t="shared" si="50"/>
        <v>6.2336922182874579</v>
      </c>
      <c r="CY8" s="21">
        <f t="shared" si="51"/>
        <v>90.999790681567461</v>
      </c>
    </row>
    <row r="9" spans="1:103" x14ac:dyDescent="0.25">
      <c r="A9" s="10">
        <v>44776.063194444447</v>
      </c>
      <c r="B9" s="11">
        <v>1.6665107529161901E-3</v>
      </c>
      <c r="C9" s="12">
        <v>0.773592222</v>
      </c>
      <c r="D9" s="9">
        <v>148</v>
      </c>
      <c r="E9" s="13">
        <f t="shared" si="12"/>
        <v>2.4666666666666668</v>
      </c>
      <c r="F9" s="12">
        <f t="shared" si="13"/>
        <v>4.1107265238599358E-3</v>
      </c>
      <c r="G9" s="13">
        <f t="shared" si="14"/>
        <v>2.519936075085202</v>
      </c>
      <c r="H9" s="11">
        <f t="shared" si="15"/>
        <v>4.1195603505293967E-3</v>
      </c>
      <c r="I9" s="125">
        <f t="shared" si="16"/>
        <v>1.0381028740789666E-2</v>
      </c>
      <c r="J9" s="21">
        <f>IF((F9-$K$96)/($I$96-$K$96)&lt;0, 0, IF((F9-$K$96)/($I$96-$K$96)&gt;1, 1, (F9-$K$96)/($I$96-$K$96)))</f>
        <v>1.2684359686604782E-4</v>
      </c>
      <c r="K9" s="125">
        <f t="shared" si="17"/>
        <v>3.1963775563631817E-4</v>
      </c>
      <c r="M9" s="25">
        <v>44781.063194444447</v>
      </c>
      <c r="N9" s="26">
        <v>4.3578673023543599E-3</v>
      </c>
      <c r="O9" s="27">
        <v>1.362681324</v>
      </c>
      <c r="P9" s="28">
        <v>1302</v>
      </c>
      <c r="Q9" s="29">
        <f t="shared" si="18"/>
        <v>21.7</v>
      </c>
      <c r="R9" s="26">
        <f t="shared" si="0"/>
        <v>9.4565720461089603E-2</v>
      </c>
      <c r="S9" s="29">
        <f t="shared" si="19"/>
        <v>11.70227778463963</v>
      </c>
      <c r="T9" s="29">
        <f t="shared" si="20"/>
        <v>2.2796952581459248E-3</v>
      </c>
      <c r="U9" s="126">
        <f t="shared" si="21"/>
        <v>2.6677627175149363E-2</v>
      </c>
      <c r="V9" s="128">
        <f>IF((R9-$W$102)/($U$101-$W$102)&lt;0, 0, IF((R9-$W$102)/($U$101-$W$102)&gt;1, 1, (R9-$W$102)/($U$101-$W$102)))</f>
        <v>2.4699613540552279E-2</v>
      </c>
      <c r="W9" s="126">
        <f t="shared" si="22"/>
        <v>0.28904173882478912</v>
      </c>
      <c r="Y9" s="35">
        <v>45136.0625</v>
      </c>
      <c r="Z9" s="71">
        <v>8.8037191334718896E-3</v>
      </c>
      <c r="AA9" s="70">
        <v>1.257509953</v>
      </c>
      <c r="AB9" s="36">
        <v>5123</v>
      </c>
      <c r="AC9" s="37">
        <f t="shared" si="23"/>
        <v>85.38333333333334</v>
      </c>
      <c r="AD9" s="37">
        <f t="shared" si="1"/>
        <v>0.75169088534627493</v>
      </c>
      <c r="AE9" s="38">
        <f t="shared" si="24"/>
        <v>32.296096210611431</v>
      </c>
      <c r="AF9" s="38">
        <f t="shared" si="25"/>
        <v>1.4917437992296022E-2</v>
      </c>
      <c r="AG9" s="38">
        <f t="shared" si="26"/>
        <v>0.48177501261502254</v>
      </c>
      <c r="AH9" s="38">
        <f t="shared" si="2"/>
        <v>7.1607081444506504E-2</v>
      </c>
      <c r="AI9" s="38">
        <f t="shared" si="27"/>
        <v>2.3126291916928707</v>
      </c>
      <c r="AK9" s="45">
        <v>45151.0625</v>
      </c>
      <c r="AL9" s="4">
        <v>5.4349889838434303E-3</v>
      </c>
      <c r="AM9" s="3">
        <v>0.66168135500000003</v>
      </c>
      <c r="AN9" s="4">
        <v>1463</v>
      </c>
      <c r="AO9" s="46">
        <f t="shared" si="28"/>
        <v>24.383333333333333</v>
      </c>
      <c r="AP9" s="47">
        <f t="shared" si="3"/>
        <v>0.13252314805604898</v>
      </c>
      <c r="AQ9" s="50">
        <f t="shared" si="29"/>
        <v>13.805109624900602</v>
      </c>
      <c r="AR9" s="50">
        <f t="shared" si="30"/>
        <v>3.0740633965156895E-2</v>
      </c>
      <c r="AS9" s="50">
        <f t="shared" si="31"/>
        <v>0.42437782182793382</v>
      </c>
      <c r="AT9" s="50">
        <f t="shared" si="4"/>
        <v>9.3123794718815503E-3</v>
      </c>
      <c r="AU9" s="50">
        <f t="shared" si="32"/>
        <v>0.12855841947799879</v>
      </c>
      <c r="AW9" s="51">
        <v>45166.0625</v>
      </c>
      <c r="AX9" s="72">
        <v>9.3324856544559701E-3</v>
      </c>
      <c r="AY9" s="73">
        <v>0.376777213</v>
      </c>
      <c r="AZ9" s="52">
        <v>3974</v>
      </c>
      <c r="BA9" s="53">
        <f t="shared" si="33"/>
        <v>66.233333333333334</v>
      </c>
      <c r="BB9" s="72">
        <f t="shared" si="5"/>
        <v>0.6181216331801338</v>
      </c>
      <c r="BC9" s="54">
        <f t="shared" si="34"/>
        <v>29.345566839890022</v>
      </c>
      <c r="BD9" s="54">
        <f t="shared" si="35"/>
        <v>0</v>
      </c>
      <c r="BE9" s="54">
        <f t="shared" si="36"/>
        <v>0</v>
      </c>
      <c r="BF9" s="54">
        <f t="shared" si="6"/>
        <v>0</v>
      </c>
      <c r="BG9" s="54">
        <f t="shared" si="37"/>
        <v>0</v>
      </c>
      <c r="BI9" s="66">
        <v>45183.0625</v>
      </c>
      <c r="BJ9" s="67">
        <v>7.0337175579352797E-3</v>
      </c>
      <c r="BK9" s="68">
        <v>0.53251963199999997</v>
      </c>
      <c r="BL9" s="68">
        <v>1826</v>
      </c>
      <c r="BM9" s="68">
        <f t="shared" si="38"/>
        <v>30.433333333333334</v>
      </c>
      <c r="BN9" s="68">
        <f t="shared" si="7"/>
        <v>0.21405947101316367</v>
      </c>
      <c r="BO9" s="69">
        <f t="shared" si="39"/>
        <v>17.458877260440204</v>
      </c>
      <c r="BP9" s="69">
        <f t="shared" si="40"/>
        <v>6.3843165181986211E-2</v>
      </c>
      <c r="BQ9" s="69">
        <f t="shared" si="41"/>
        <v>1.1146299848303067</v>
      </c>
      <c r="BR9" s="69">
        <f t="shared" si="8"/>
        <v>4.6994237556553867E-3</v>
      </c>
      <c r="BS9" s="69">
        <f t="shared" si="42"/>
        <v>8.2046662544784335E-2</v>
      </c>
      <c r="BU9" s="82">
        <v>45046.395833333336</v>
      </c>
      <c r="BV9" s="112">
        <v>3.4257292000000002E-2</v>
      </c>
      <c r="BW9" s="83">
        <v>68.466857000000005</v>
      </c>
      <c r="BX9" s="112">
        <v>8087</v>
      </c>
      <c r="BY9" s="83">
        <f t="shared" si="9"/>
        <v>134.78333333333333</v>
      </c>
      <c r="BZ9" s="84">
        <f t="shared" si="10"/>
        <v>4.6173120067333331</v>
      </c>
      <c r="CA9" s="83">
        <f t="shared" si="11"/>
        <v>78.560636745669044</v>
      </c>
      <c r="CC9" s="87">
        <v>45047.270833333336</v>
      </c>
      <c r="CD9" s="109">
        <v>3.34618052358433E-2</v>
      </c>
      <c r="CE9" s="88">
        <v>82.718647970000006</v>
      </c>
      <c r="CF9" s="89">
        <v>7687</v>
      </c>
      <c r="CG9" s="90">
        <f t="shared" si="43"/>
        <v>128.11666666666667</v>
      </c>
      <c r="CH9" s="91">
        <f t="shared" si="44"/>
        <v>4.2870149474654582</v>
      </c>
      <c r="CI9" s="91">
        <f t="shared" si="45"/>
        <v>75.756498835522578</v>
      </c>
      <c r="CK9" s="93">
        <v>45049.3125</v>
      </c>
      <c r="CL9">
        <v>3.02222231060927E-2</v>
      </c>
      <c r="CM9" s="95">
        <v>98.893656829999998</v>
      </c>
      <c r="CN9" s="4">
        <v>10519</v>
      </c>
      <c r="CO9" s="95">
        <f t="shared" si="46"/>
        <v>175.31666666666666</v>
      </c>
      <c r="CP9" s="94">
        <f t="shared" si="47"/>
        <v>5.2984594142164854</v>
      </c>
      <c r="CQ9" s="96">
        <f t="shared" si="48"/>
        <v>84.036829210087575</v>
      </c>
      <c r="CS9" s="10">
        <v>45050.572916666664</v>
      </c>
      <c r="CT9" s="110">
        <v>8.9017828530349397E-2</v>
      </c>
      <c r="CU9" s="21">
        <v>97.229596529999995</v>
      </c>
      <c r="CV9" s="111">
        <v>4311</v>
      </c>
      <c r="CW9" s="21">
        <f t="shared" si="49"/>
        <v>71.849999999999994</v>
      </c>
      <c r="CX9" s="21">
        <f t="shared" si="50"/>
        <v>6.3959309799056037</v>
      </c>
      <c r="CY9" s="21">
        <f t="shared" si="51"/>
        <v>92.151979388979882</v>
      </c>
    </row>
    <row r="10" spans="1:103" x14ac:dyDescent="0.25">
      <c r="A10" s="10">
        <v>44776.073611111111</v>
      </c>
      <c r="B10" s="11">
        <v>1.83290314890138E-3</v>
      </c>
      <c r="C10" s="12">
        <v>0.76798645399999999</v>
      </c>
      <c r="D10" s="9">
        <v>159</v>
      </c>
      <c r="E10" s="13">
        <f t="shared" si="12"/>
        <v>2.65</v>
      </c>
      <c r="F10" s="12">
        <f t="shared" si="13"/>
        <v>4.8571933445886572E-3</v>
      </c>
      <c r="G10" s="13">
        <f t="shared" si="14"/>
        <v>2.7344911288796694</v>
      </c>
      <c r="H10" s="11">
        <f t="shared" si="15"/>
        <v>3.6506381984205073E-3</v>
      </c>
      <c r="I10" s="125">
        <f t="shared" si="16"/>
        <v>9.9826377683301364E-3</v>
      </c>
      <c r="J10" s="21">
        <f>IF((F10-$K$96)/($I$96-$K$96)&lt;0, 0, IF((F10-$K$96)/($I$96-$K$96)&gt;1, 1, (F10-$K$96)/($I$96-$K$96)))</f>
        <v>2.8165527376904987E-4</v>
      </c>
      <c r="K10" s="125">
        <f t="shared" si="17"/>
        <v>7.7018384752364146E-4</v>
      </c>
      <c r="M10" s="25">
        <v>44781.073611111111</v>
      </c>
      <c r="N10" s="26">
        <v>4.8753227192836202E-3</v>
      </c>
      <c r="O10" s="27">
        <v>1.428025611</v>
      </c>
      <c r="P10" s="28">
        <v>1360</v>
      </c>
      <c r="Q10" s="29">
        <f t="shared" si="18"/>
        <v>22.666666666666668</v>
      </c>
      <c r="R10" s="26">
        <f t="shared" si="0"/>
        <v>0.11050731497042873</v>
      </c>
      <c r="S10" s="29">
        <f t="shared" si="19"/>
        <v>12.629965915920756</v>
      </c>
      <c r="T10" s="29">
        <f t="shared" si="20"/>
        <v>4.4071453157654211E-3</v>
      </c>
      <c r="U10" s="126">
        <f t="shared" si="21"/>
        <v>5.5662095124627088E-2</v>
      </c>
      <c r="V10" s="128">
        <f>IF((R10-$W$102)/($U$101-$W$102)&lt;0, 0, IF((R10-$W$102)/($U$101-$W$102)&gt;1, 1, (R10-$W$102)/($U$101-$W$102)))</f>
        <v>3.2780459587794596E-2</v>
      </c>
      <c r="W10" s="126">
        <f t="shared" si="22"/>
        <v>0.41401608730206352</v>
      </c>
      <c r="Y10" s="35">
        <v>45136.072916666664</v>
      </c>
      <c r="Z10" s="71">
        <v>6.6931413721323099E-3</v>
      </c>
      <c r="AA10" s="70">
        <v>0.85462156099999997</v>
      </c>
      <c r="AB10" s="36">
        <v>3239</v>
      </c>
      <c r="AC10" s="37">
        <f t="shared" si="23"/>
        <v>53.983333333333334</v>
      </c>
      <c r="AD10" s="37">
        <f t="shared" si="1"/>
        <v>0.36131808173894253</v>
      </c>
      <c r="AE10" s="38">
        <f t="shared" si="24"/>
        <v>22.560679543175702</v>
      </c>
      <c r="AF10" s="38">
        <f t="shared" si="25"/>
        <v>0</v>
      </c>
      <c r="AG10" s="38">
        <f t="shared" si="26"/>
        <v>0</v>
      </c>
      <c r="AH10" s="38">
        <f t="shared" si="2"/>
        <v>0</v>
      </c>
      <c r="AI10" s="38">
        <f t="shared" si="27"/>
        <v>0</v>
      </c>
      <c r="AK10" s="45">
        <v>45151.072916666664</v>
      </c>
      <c r="AL10" s="4">
        <v>5.0742199706757703E-3</v>
      </c>
      <c r="AM10" s="3">
        <v>0.59425534599999996</v>
      </c>
      <c r="AN10" s="4">
        <v>1203</v>
      </c>
      <c r="AO10" s="46">
        <f t="shared" si="28"/>
        <v>20.05</v>
      </c>
      <c r="AP10" s="47">
        <f t="shared" si="3"/>
        <v>0.10173811041204919</v>
      </c>
      <c r="AQ10" s="50">
        <f t="shared" si="29"/>
        <v>12.128814236870042</v>
      </c>
      <c r="AR10" s="50">
        <f t="shared" si="30"/>
        <v>0</v>
      </c>
      <c r="AS10" s="50">
        <f t="shared" si="31"/>
        <v>0</v>
      </c>
      <c r="AT10" s="50">
        <f t="shared" si="4"/>
        <v>0</v>
      </c>
      <c r="AU10" s="50">
        <f t="shared" si="32"/>
        <v>0</v>
      </c>
      <c r="AW10" s="51">
        <v>45166.072916666664</v>
      </c>
      <c r="AX10" s="72">
        <v>1.13237827412186E-2</v>
      </c>
      <c r="AY10" s="73">
        <v>0.44894941300000002</v>
      </c>
      <c r="AZ10" s="52">
        <v>5103</v>
      </c>
      <c r="BA10" s="53">
        <f t="shared" si="33"/>
        <v>85.05</v>
      </c>
      <c r="BB10" s="72">
        <f t="shared" si="5"/>
        <v>0.96308772214064187</v>
      </c>
      <c r="BC10" s="54">
        <f t="shared" si="34"/>
        <v>36.463198159789307</v>
      </c>
      <c r="BD10" s="54">
        <f t="shared" si="35"/>
        <v>3.7380996036869431E-2</v>
      </c>
      <c r="BE10" s="54">
        <f t="shared" si="36"/>
        <v>1.3630306659026687</v>
      </c>
      <c r="BF10" s="54">
        <f t="shared" si="6"/>
        <v>5.049103831523321E-2</v>
      </c>
      <c r="BG10" s="54">
        <f t="shared" si="37"/>
        <v>1.841064735381863</v>
      </c>
      <c r="BI10" s="66">
        <v>45183.072916666664</v>
      </c>
      <c r="BJ10" s="67">
        <v>5.6874719280770904E-3</v>
      </c>
      <c r="BK10" s="68">
        <v>0.50323377899999999</v>
      </c>
      <c r="BL10" s="68">
        <v>1705</v>
      </c>
      <c r="BM10" s="68">
        <f t="shared" si="38"/>
        <v>28.416666666666668</v>
      </c>
      <c r="BN10" s="68">
        <f t="shared" si="7"/>
        <v>0.16161899395619067</v>
      </c>
      <c r="BO10" s="69">
        <f t="shared" si="39"/>
        <v>15.21431208453186</v>
      </c>
      <c r="BP10" s="69">
        <f t="shared" si="40"/>
        <v>3.3779808785430195E-2</v>
      </c>
      <c r="BQ10" s="69">
        <f t="shared" si="41"/>
        <v>0.51393655301734609</v>
      </c>
      <c r="BR10" s="69">
        <f t="shared" si="8"/>
        <v>2.1077581363468457E-4</v>
      </c>
      <c r="BS10" s="69">
        <f t="shared" si="42"/>
        <v>3.2068090085092169E-3</v>
      </c>
      <c r="BU10" s="82">
        <v>45046.40625</v>
      </c>
      <c r="BV10" s="112">
        <v>3.8110062E-2</v>
      </c>
      <c r="BW10" s="83">
        <v>68.466857000000005</v>
      </c>
      <c r="BX10" s="112">
        <v>8003</v>
      </c>
      <c r="BY10" s="83">
        <f t="shared" si="9"/>
        <v>133.38333333333333</v>
      </c>
      <c r="BZ10" s="84">
        <f t="shared" si="10"/>
        <v>5.0832471030999997</v>
      </c>
      <c r="CA10" s="83">
        <f t="shared" si="11"/>
        <v>82.347600517405539</v>
      </c>
      <c r="CC10" s="87">
        <v>45047.28125</v>
      </c>
      <c r="CD10" s="109">
        <v>3.4986892084342601E-2</v>
      </c>
      <c r="CE10" s="88">
        <v>84.460540300000005</v>
      </c>
      <c r="CF10" s="89">
        <v>7820</v>
      </c>
      <c r="CG10" s="90">
        <f t="shared" si="43"/>
        <v>130.33333333333334</v>
      </c>
      <c r="CH10" s="91">
        <f t="shared" si="44"/>
        <v>4.5599582683259863</v>
      </c>
      <c r="CI10" s="91">
        <f t="shared" si="45"/>
        <v>78.08124505381646</v>
      </c>
      <c r="CK10" s="93">
        <v>45049.322916666664</v>
      </c>
      <c r="CL10">
        <v>3.2448527286859603E-2</v>
      </c>
      <c r="CM10" s="95">
        <v>91.345373739999999</v>
      </c>
      <c r="CN10" s="4">
        <v>10834</v>
      </c>
      <c r="CO10" s="95">
        <f t="shared" si="46"/>
        <v>180.56666666666666</v>
      </c>
      <c r="CP10" s="94">
        <f t="shared" si="47"/>
        <v>5.8591224104306159</v>
      </c>
      <c r="CQ10" s="96">
        <f t="shared" si="48"/>
        <v>88.279772023546002</v>
      </c>
      <c r="CS10" s="10">
        <v>45050.583333333336</v>
      </c>
      <c r="CT10" s="110">
        <v>9.4037453556883394E-2</v>
      </c>
      <c r="CU10" s="21">
        <v>105.42475589999999</v>
      </c>
      <c r="CV10" s="111">
        <v>4040</v>
      </c>
      <c r="CW10" s="21">
        <f t="shared" si="49"/>
        <v>67.333333333333329</v>
      </c>
      <c r="CX10" s="21">
        <f t="shared" si="50"/>
        <v>6.331855206163481</v>
      </c>
      <c r="CY10" s="21">
        <f t="shared" si="51"/>
        <v>91.698727955316642</v>
      </c>
    </row>
    <row r="11" spans="1:103" x14ac:dyDescent="0.25">
      <c r="A11" s="10">
        <v>44776.084027777775</v>
      </c>
      <c r="B11" s="11">
        <v>1.6837174444085899E-3</v>
      </c>
      <c r="C11" s="12">
        <v>0.7563906655</v>
      </c>
      <c r="D11" s="9">
        <v>156</v>
      </c>
      <c r="E11" s="13">
        <f t="shared" si="12"/>
        <v>2.6</v>
      </c>
      <c r="F11" s="12">
        <f t="shared" si="13"/>
        <v>4.3776653554623342E-3</v>
      </c>
      <c r="G11" s="13">
        <f t="shared" si="14"/>
        <v>2.5987833405071061</v>
      </c>
      <c r="H11" s="11">
        <f t="shared" si="15"/>
        <v>2.6806511959581352E-3</v>
      </c>
      <c r="I11" s="125">
        <f t="shared" si="16"/>
        <v>6.9664316697664519E-3</v>
      </c>
      <c r="J11" s="21">
        <f>IF((F11-$K$96)/($I$96-$K$96)&lt;0, 0, IF((F11-$K$96)/($I$96-$K$96)&gt;1, 1, (F11-$K$96)/($I$96-$K$96)))</f>
        <v>1.8220472880564633E-4</v>
      </c>
      <c r="K11" s="125">
        <f t="shared" si="17"/>
        <v>4.735106137817289E-4</v>
      </c>
      <c r="M11" s="25">
        <v>44781.084027777775</v>
      </c>
      <c r="N11" s="26">
        <v>4.1854080675101501E-3</v>
      </c>
      <c r="O11" s="27">
        <v>1.4664620669999999</v>
      </c>
      <c r="P11" s="28">
        <v>1517</v>
      </c>
      <c r="Q11" s="29">
        <f t="shared" si="18"/>
        <v>25.283333333333335</v>
      </c>
      <c r="R11" s="26">
        <f t="shared" si="0"/>
        <v>0.10582106730688164</v>
      </c>
      <c r="S11" s="29">
        <f t="shared" si="19"/>
        <v>12.364784977486735</v>
      </c>
      <c r="T11" s="29">
        <f t="shared" si="20"/>
        <v>5.6585422516886629E-3</v>
      </c>
      <c r="U11" s="126">
        <f t="shared" si="21"/>
        <v>6.9966658228153941E-2</v>
      </c>
      <c r="V11" s="128">
        <f>IF((R11-$W$102)/($U$101-$W$102)&lt;0, 0, IF((R11-$W$102)/($U$101-$W$102)&gt;1, 1, (R11-$W$102)/($U$101-$W$102)))</f>
        <v>3.0404985422635759E-2</v>
      </c>
      <c r="W11" s="126">
        <f t="shared" si="22"/>
        <v>0.37595110699450979</v>
      </c>
      <c r="Y11" s="35">
        <v>45136.083333333336</v>
      </c>
      <c r="Z11" s="71">
        <v>7.2577035099906304E-3</v>
      </c>
      <c r="AA11" s="70">
        <v>1.257509953</v>
      </c>
      <c r="AB11" s="36">
        <v>4899</v>
      </c>
      <c r="AC11" s="37">
        <f t="shared" si="23"/>
        <v>81.650000000000006</v>
      </c>
      <c r="AD11" s="37">
        <f t="shared" si="1"/>
        <v>0.59259149159073499</v>
      </c>
      <c r="AE11" s="38">
        <f t="shared" si="24"/>
        <v>28.745635725673324</v>
      </c>
      <c r="AF11" s="38">
        <f t="shared" si="25"/>
        <v>1.4917437992296022E-2</v>
      </c>
      <c r="AG11" s="38">
        <f t="shared" si="26"/>
        <v>0.42881123848686109</v>
      </c>
      <c r="AH11" s="38">
        <f t="shared" si="2"/>
        <v>2.9423491507641321E-2</v>
      </c>
      <c r="AI11" s="38">
        <f t="shared" si="27"/>
        <v>0.84579696865609999</v>
      </c>
      <c r="AK11" s="45">
        <v>45151.083333333336</v>
      </c>
      <c r="AL11" s="4">
        <v>5.2715473421977403E-3</v>
      </c>
      <c r="AM11" s="3">
        <v>0.66168135500000003</v>
      </c>
      <c r="AN11" s="4">
        <v>1543</v>
      </c>
      <c r="AO11" s="46">
        <f t="shared" si="28"/>
        <v>25.716666666666665</v>
      </c>
      <c r="AP11" s="47">
        <f t="shared" si="3"/>
        <v>0.13556662581685189</v>
      </c>
      <c r="AQ11" s="50">
        <f t="shared" si="29"/>
        <v>13.959466228967017</v>
      </c>
      <c r="AR11" s="50">
        <f t="shared" si="30"/>
        <v>3.0740633965156895E-2</v>
      </c>
      <c r="AS11" s="50">
        <f t="shared" si="31"/>
        <v>0.42912284169364412</v>
      </c>
      <c r="AT11" s="50">
        <f t="shared" si="4"/>
        <v>1.1722693540004582E-2</v>
      </c>
      <c r="AU11" s="50">
        <f t="shared" si="32"/>
        <v>0.16364254458422378</v>
      </c>
      <c r="AW11" s="51">
        <v>45166.083333333336</v>
      </c>
      <c r="AX11" s="72">
        <v>1.1123627719475299E-2</v>
      </c>
      <c r="AY11" s="73">
        <v>0.44894941300000002</v>
      </c>
      <c r="AZ11" s="52">
        <v>4906</v>
      </c>
      <c r="BA11" s="53">
        <f t="shared" si="33"/>
        <v>81.766666666666666</v>
      </c>
      <c r="BB11" s="72">
        <f t="shared" si="5"/>
        <v>0.90954195986243025</v>
      </c>
      <c r="BC11" s="54">
        <f t="shared" si="34"/>
        <v>35.455946879836603</v>
      </c>
      <c r="BD11" s="54">
        <f t="shared" si="35"/>
        <v>3.7380996036869431E-2</v>
      </c>
      <c r="BE11" s="54">
        <f t="shared" si="36"/>
        <v>1.3253786097986251</v>
      </c>
      <c r="BF11" s="54">
        <f t="shared" si="6"/>
        <v>4.1935090418189623E-2</v>
      </c>
      <c r="BG11" s="54">
        <f t="shared" si="37"/>
        <v>1.4868483382684763</v>
      </c>
      <c r="BI11" s="66">
        <v>45183.083333333336</v>
      </c>
      <c r="BJ11" s="67">
        <v>7.53180491795766E-3</v>
      </c>
      <c r="BK11" s="68">
        <v>0.50323377899999999</v>
      </c>
      <c r="BL11" s="68">
        <v>1802</v>
      </c>
      <c r="BM11" s="68">
        <f t="shared" si="38"/>
        <v>30.033333333333335</v>
      </c>
      <c r="BN11" s="68">
        <f t="shared" si="7"/>
        <v>0.22620520770266173</v>
      </c>
      <c r="BO11" s="69">
        <f t="shared" si="39"/>
        <v>17.937153117662032</v>
      </c>
      <c r="BP11" s="69">
        <f t="shared" si="40"/>
        <v>3.3779808785430195E-2</v>
      </c>
      <c r="BQ11" s="69">
        <f t="shared" si="41"/>
        <v>0.60591360246960646</v>
      </c>
      <c r="BR11" s="69">
        <f t="shared" si="8"/>
        <v>5.7390393170548525E-3</v>
      </c>
      <c r="BS11" s="69">
        <f t="shared" si="42"/>
        <v>0.10294202697829542</v>
      </c>
      <c r="BU11" s="82">
        <v>45046.416666666664</v>
      </c>
      <c r="BV11" s="112">
        <v>3.4052740999999997E-2</v>
      </c>
      <c r="BW11" s="83">
        <v>67.106545600000004</v>
      </c>
      <c r="BX11" s="112">
        <v>8206</v>
      </c>
      <c r="BY11" s="83">
        <f t="shared" si="9"/>
        <v>136.76666666666668</v>
      </c>
      <c r="BZ11" s="84">
        <f t="shared" si="10"/>
        <v>4.657279877433333</v>
      </c>
      <c r="CA11" s="83">
        <f t="shared" si="11"/>
        <v>78.892914151061035</v>
      </c>
      <c r="CC11" s="87">
        <v>45047.291666666664</v>
      </c>
      <c r="CD11" s="109">
        <v>3.5245215936784001E-2</v>
      </c>
      <c r="CE11" s="88">
        <v>82.284398269999997</v>
      </c>
      <c r="CF11" s="89">
        <v>7332</v>
      </c>
      <c r="CG11" s="90">
        <f t="shared" si="43"/>
        <v>122.2</v>
      </c>
      <c r="CH11" s="91">
        <f t="shared" si="44"/>
        <v>4.3069653874750049</v>
      </c>
      <c r="CI11" s="91">
        <f t="shared" si="45"/>
        <v>75.928936726700002</v>
      </c>
      <c r="CK11" s="93">
        <v>45049.333333333336</v>
      </c>
      <c r="CL11">
        <v>3.0481391456111302E-2</v>
      </c>
      <c r="CM11" s="95">
        <v>94.720978599999995</v>
      </c>
      <c r="CN11" s="4">
        <v>10666</v>
      </c>
      <c r="CO11" s="95">
        <f t="shared" si="46"/>
        <v>177.76666666666668</v>
      </c>
      <c r="CP11" s="94">
        <f t="shared" si="47"/>
        <v>5.4185753545147195</v>
      </c>
      <c r="CQ11" s="96">
        <f t="shared" si="48"/>
        <v>84.964427348275436</v>
      </c>
      <c r="CS11" s="10">
        <v>45050.59375</v>
      </c>
      <c r="CT11" s="110">
        <v>8.9374571000463393E-2</v>
      </c>
      <c r="CU11" s="21">
        <v>99.714355679999997</v>
      </c>
      <c r="CV11" s="111">
        <v>4048</v>
      </c>
      <c r="CW11" s="21">
        <f t="shared" si="49"/>
        <v>67.466666666666669</v>
      </c>
      <c r="CX11" s="21">
        <f t="shared" si="50"/>
        <v>6.029804390164597</v>
      </c>
      <c r="CY11" s="21">
        <f t="shared" si="51"/>
        <v>89.529896267971509</v>
      </c>
    </row>
    <row r="12" spans="1:103" x14ac:dyDescent="0.25">
      <c r="A12" s="10">
        <v>44776.094444444447</v>
      </c>
      <c r="B12" s="11">
        <v>1.7097107206537E-3</v>
      </c>
      <c r="C12" s="12">
        <v>0.72541048299999999</v>
      </c>
      <c r="D12" s="9">
        <v>144</v>
      </c>
      <c r="E12" s="13">
        <f t="shared" si="12"/>
        <v>2.4</v>
      </c>
      <c r="F12" s="12">
        <f t="shared" si="13"/>
        <v>4.1033057295688799E-3</v>
      </c>
      <c r="G12" s="13">
        <f t="shared" si="14"/>
        <v>2.5177073751060881</v>
      </c>
      <c r="H12" s="11">
        <f t="shared" si="15"/>
        <v>8.9160814867422636E-5</v>
      </c>
      <c r="I12" s="125">
        <f t="shared" si="16"/>
        <v>2.2448084116217853E-4</v>
      </c>
      <c r="J12" s="21">
        <f>IF((F12-$K$96)/($I$96-$K$96)&lt;0, 0, IF((F12-$K$96)/($I$96-$K$96)&gt;1, 1, (F12-$K$96)/($I$96-$K$96)))</f>
        <v>1.253045792215274E-4</v>
      </c>
      <c r="K12" s="125">
        <f t="shared" si="17"/>
        <v>3.1548026324060459E-4</v>
      </c>
      <c r="M12" s="25">
        <v>44781.094444444447</v>
      </c>
      <c r="N12" s="26">
        <v>4.8426555676493203E-3</v>
      </c>
      <c r="O12" s="27">
        <v>1.3805518125</v>
      </c>
      <c r="P12" s="28">
        <v>1236</v>
      </c>
      <c r="Q12" s="29">
        <f t="shared" si="18"/>
        <v>20.6</v>
      </c>
      <c r="R12" s="26">
        <f t="shared" si="0"/>
        <v>9.9758704693576006E-2</v>
      </c>
      <c r="S12" s="29">
        <f t="shared" si="19"/>
        <v>12.012677009828534</v>
      </c>
      <c r="T12" s="29">
        <f t="shared" si="20"/>
        <v>2.8615146265172351E-3</v>
      </c>
      <c r="U12" s="126">
        <f t="shared" si="21"/>
        <v>3.4374450967251675E-2</v>
      </c>
      <c r="V12" s="128">
        <f>IF((R12-$W$102)/($U$101-$W$102)&lt;0, 0, IF((R12-$W$102)/($U$101-$W$102)&gt;1, 1, (R12-$W$102)/($U$101-$W$102)))</f>
        <v>2.7331954118773337E-2</v>
      </c>
      <c r="W12" s="126">
        <f t="shared" si="22"/>
        <v>0.32832993687627676</v>
      </c>
      <c r="Y12" s="35">
        <v>45136.09375</v>
      </c>
      <c r="Z12" s="71">
        <v>6.1325235940755604E-3</v>
      </c>
      <c r="AA12" s="70">
        <v>0.85462156099999997</v>
      </c>
      <c r="AB12" s="36">
        <v>2994</v>
      </c>
      <c r="AC12" s="37">
        <f t="shared" si="23"/>
        <v>49.9</v>
      </c>
      <c r="AD12" s="37">
        <f t="shared" si="1"/>
        <v>0.30601292734437047</v>
      </c>
      <c r="AE12" s="38">
        <f t="shared" si="24"/>
        <v>20.797941855513933</v>
      </c>
      <c r="AF12" s="38">
        <f t="shared" si="25"/>
        <v>0</v>
      </c>
      <c r="AG12" s="38">
        <f t="shared" si="26"/>
        <v>0</v>
      </c>
      <c r="AH12" s="38">
        <f t="shared" si="2"/>
        <v>0</v>
      </c>
      <c r="AI12" s="38">
        <f t="shared" si="27"/>
        <v>0</v>
      </c>
      <c r="AK12" s="45">
        <v>45151.09375</v>
      </c>
      <c r="AL12" s="4">
        <v>4.9407786066443396E-3</v>
      </c>
      <c r="AM12" s="3">
        <v>0.50323377899999999</v>
      </c>
      <c r="AN12" s="4">
        <v>1008</v>
      </c>
      <c r="AO12" s="46">
        <f t="shared" si="28"/>
        <v>16.8</v>
      </c>
      <c r="AP12" s="47">
        <f t="shared" si="3"/>
        <v>8.3005080591624911E-2</v>
      </c>
      <c r="AQ12" s="50">
        <f t="shared" si="29"/>
        <v>10.978402578063717</v>
      </c>
      <c r="AR12" s="50">
        <f t="shared" si="30"/>
        <v>0</v>
      </c>
      <c r="AS12" s="50">
        <f t="shared" si="31"/>
        <v>0</v>
      </c>
      <c r="AT12" s="50">
        <f t="shared" si="4"/>
        <v>0</v>
      </c>
      <c r="AU12" s="50">
        <f t="shared" si="32"/>
        <v>0</v>
      </c>
      <c r="AW12" s="51">
        <v>45166.09375</v>
      </c>
      <c r="AX12" s="72">
        <v>8.4389228129867905E-3</v>
      </c>
      <c r="AY12" s="73">
        <v>0.35506608000000001</v>
      </c>
      <c r="AZ12" s="52">
        <v>3284</v>
      </c>
      <c r="BA12" s="53">
        <f t="shared" si="33"/>
        <v>54.733333333333334</v>
      </c>
      <c r="BB12" s="72">
        <f t="shared" si="5"/>
        <v>0.46189037529747701</v>
      </c>
      <c r="BC12" s="54">
        <f t="shared" si="34"/>
        <v>25.443584699087346</v>
      </c>
      <c r="BD12" s="54">
        <f t="shared" si="35"/>
        <v>0</v>
      </c>
      <c r="BE12" s="54">
        <f t="shared" si="36"/>
        <v>0</v>
      </c>
      <c r="BF12" s="54">
        <f t="shared" si="6"/>
        <v>0</v>
      </c>
      <c r="BG12" s="54">
        <f t="shared" si="37"/>
        <v>0</v>
      </c>
      <c r="BI12" s="66">
        <v>45183.09375</v>
      </c>
      <c r="BJ12" s="67">
        <v>6.4224885081144503E-3</v>
      </c>
      <c r="BK12" s="68">
        <v>0.50323377899999999</v>
      </c>
      <c r="BL12" s="68">
        <v>1795</v>
      </c>
      <c r="BM12" s="68">
        <f t="shared" si="38"/>
        <v>29.916666666666668</v>
      </c>
      <c r="BN12" s="68">
        <f t="shared" si="7"/>
        <v>0.1921394478677573</v>
      </c>
      <c r="BO12" s="69">
        <f t="shared" si="39"/>
        <v>16.559248042606583</v>
      </c>
      <c r="BP12" s="69">
        <f t="shared" si="40"/>
        <v>3.3779808785430195E-2</v>
      </c>
      <c r="BQ12" s="69">
        <f t="shared" si="41"/>
        <v>0.55936823250975964</v>
      </c>
      <c r="BR12" s="69">
        <f t="shared" si="8"/>
        <v>2.82317715565251E-3</v>
      </c>
      <c r="BS12" s="69">
        <f t="shared" si="42"/>
        <v>4.6749690788670452E-2</v>
      </c>
      <c r="BU12" s="82">
        <v>45046.427083333336</v>
      </c>
      <c r="BV12" s="112">
        <v>3.8224658000000002E-2</v>
      </c>
      <c r="BW12" s="83">
        <v>68.008627450000006</v>
      </c>
      <c r="BX12" s="112">
        <v>7716</v>
      </c>
      <c r="BY12" s="83">
        <f t="shared" si="9"/>
        <v>128.6</v>
      </c>
      <c r="BZ12" s="84">
        <f t="shared" si="10"/>
        <v>4.9156910187999996</v>
      </c>
      <c r="CA12" s="83">
        <f t="shared" si="11"/>
        <v>81.00700208412924</v>
      </c>
      <c r="CC12" s="87">
        <v>45047.302083333336</v>
      </c>
      <c r="CD12" s="109">
        <v>3.6184016590519799E-2</v>
      </c>
      <c r="CE12" s="88">
        <v>82.284398269999997</v>
      </c>
      <c r="CF12" s="89">
        <v>7445</v>
      </c>
      <c r="CG12" s="90">
        <f t="shared" si="43"/>
        <v>124.08333333333333</v>
      </c>
      <c r="CH12" s="91">
        <f t="shared" si="44"/>
        <v>4.4898333919403317</v>
      </c>
      <c r="CI12" s="91">
        <f t="shared" si="45"/>
        <v>77.490905212998626</v>
      </c>
      <c r="CK12" s="93">
        <v>45049.34375</v>
      </c>
      <c r="CL12">
        <v>3.0552664236223E-2</v>
      </c>
      <c r="CM12" s="95">
        <v>97.229596529999995</v>
      </c>
      <c r="CN12" s="4">
        <v>10633</v>
      </c>
      <c r="CO12" s="95">
        <f t="shared" si="46"/>
        <v>177.21666666666667</v>
      </c>
      <c r="CP12" s="94">
        <f t="shared" si="47"/>
        <v>5.414441313729319</v>
      </c>
      <c r="CQ12" s="96">
        <f t="shared" si="48"/>
        <v>84.932677515374522</v>
      </c>
      <c r="CS12" s="10">
        <v>45050.604166666664</v>
      </c>
      <c r="CT12" s="110">
        <v>9.2671575396705494E-2</v>
      </c>
      <c r="CU12" s="21">
        <v>97.642487979999999</v>
      </c>
      <c r="CV12" s="111">
        <v>4169</v>
      </c>
      <c r="CW12" s="21">
        <f t="shared" si="49"/>
        <v>69.483333333333334</v>
      </c>
      <c r="CX12" s="21">
        <f t="shared" si="50"/>
        <v>6.4391299638144206</v>
      </c>
      <c r="CY12" s="21">
        <f t="shared" si="51"/>
        <v>92.456248594811271</v>
      </c>
    </row>
    <row r="13" spans="1:103" x14ac:dyDescent="0.25">
      <c r="A13" s="10">
        <v>44776.104861111111</v>
      </c>
      <c r="B13" s="11">
        <v>1.7989273872607099E-3</v>
      </c>
      <c r="C13" s="12">
        <v>0.74867457049999997</v>
      </c>
      <c r="D13" s="9">
        <v>135</v>
      </c>
      <c r="E13" s="13">
        <f t="shared" si="12"/>
        <v>2.25</v>
      </c>
      <c r="F13" s="12">
        <f t="shared" si="13"/>
        <v>4.0475866213365973E-3</v>
      </c>
      <c r="G13" s="13">
        <f t="shared" si="14"/>
        <v>2.5009070349243157</v>
      </c>
      <c r="H13" s="11">
        <f t="shared" si="15"/>
        <v>2.0352003187051613E-3</v>
      </c>
      <c r="I13" s="125">
        <f t="shared" si="16"/>
        <v>5.0898467945299473E-3</v>
      </c>
      <c r="J13" s="21">
        <f>IF((F13-$K$96)/($I$96-$K$96)&lt;0, 0, IF((F13-$K$96)/($I$96-$K$96)&gt;1, 1, (F13-$K$96)/($I$96-$K$96)))</f>
        <v>1.1374884982881489E-4</v>
      </c>
      <c r="K13" s="125">
        <f t="shared" si="17"/>
        <v>2.8447529875143268E-4</v>
      </c>
      <c r="M13" s="25">
        <v>44781.104861111111</v>
      </c>
      <c r="N13" s="26">
        <v>3.85064610428362E-3</v>
      </c>
      <c r="O13" s="27">
        <v>1.321577692</v>
      </c>
      <c r="P13" s="28">
        <v>1169</v>
      </c>
      <c r="Q13" s="29">
        <f t="shared" si="18"/>
        <v>19.483333333333334</v>
      </c>
      <c r="R13" s="26">
        <f t="shared" si="0"/>
        <v>7.5023421598459206E-2</v>
      </c>
      <c r="S13" s="29">
        <f t="shared" si="19"/>
        <v>10.448104279992853</v>
      </c>
      <c r="T13" s="29">
        <f t="shared" si="20"/>
        <v>9.4146159945177597E-4</v>
      </c>
      <c r="U13" s="126">
        <f t="shared" si="21"/>
        <v>9.8364889666810174E-3</v>
      </c>
      <c r="V13" s="128">
        <f>IF((R13-$W$102)/($U$101-$W$102)&lt;0, 0, IF((R13-$W$102)/($U$101-$W$102)&gt;1, 1, (R13-$W$102)/($U$101-$W$102)))</f>
        <v>1.4793558758792463E-2</v>
      </c>
      <c r="W13" s="126">
        <f t="shared" si="22"/>
        <v>0.1545646445840653</v>
      </c>
      <c r="Y13" s="35">
        <v>45136.104166666664</v>
      </c>
      <c r="Z13" s="71">
        <v>6.2121875116996003E-3</v>
      </c>
      <c r="AA13" s="70">
        <v>0.99067576999999996</v>
      </c>
      <c r="AB13" s="36">
        <v>3444</v>
      </c>
      <c r="AC13" s="37">
        <f t="shared" si="23"/>
        <v>57.4</v>
      </c>
      <c r="AD13" s="37">
        <f t="shared" si="1"/>
        <v>0.35657956317155703</v>
      </c>
      <c r="AE13" s="38">
        <f t="shared" si="24"/>
        <v>22.415302573371232</v>
      </c>
      <c r="AF13" s="38">
        <f t="shared" si="25"/>
        <v>9.9069752538241945E-4</v>
      </c>
      <c r="AG13" s="38">
        <f t="shared" si="26"/>
        <v>2.2206784790137057E-2</v>
      </c>
      <c r="AH13" s="38">
        <f t="shared" si="2"/>
        <v>0</v>
      </c>
      <c r="AI13" s="38">
        <f t="shared" si="27"/>
        <v>0</v>
      </c>
      <c r="AK13" s="45">
        <v>45151.104166666664</v>
      </c>
      <c r="AL13" s="4">
        <v>5.7785316550617097E-3</v>
      </c>
      <c r="AM13" s="3">
        <v>0.69769667099999999</v>
      </c>
      <c r="AN13" s="4">
        <v>1594</v>
      </c>
      <c r="AO13" s="46">
        <f t="shared" si="28"/>
        <v>26.566666666666666</v>
      </c>
      <c r="AP13" s="47">
        <f t="shared" si="3"/>
        <v>0.1535163243028061</v>
      </c>
      <c r="AQ13" s="50">
        <f t="shared" si="29"/>
        <v>14.83588582432855</v>
      </c>
      <c r="AR13" s="50">
        <f t="shared" si="30"/>
        <v>5.033140178475267E-2</v>
      </c>
      <c r="AS13" s="50">
        <f t="shared" si="31"/>
        <v>0.74671093025699675</v>
      </c>
      <c r="AT13" s="50">
        <f t="shared" si="4"/>
        <v>2.5938145131754801E-2</v>
      </c>
      <c r="AU13" s="50">
        <f t="shared" si="32"/>
        <v>0.38481535966957764</v>
      </c>
      <c r="AW13" s="51">
        <v>45166.104166666664</v>
      </c>
      <c r="AX13" s="72">
        <v>7.6190844363772502E-3</v>
      </c>
      <c r="AY13" s="73">
        <v>0.35506608000000001</v>
      </c>
      <c r="AZ13" s="52">
        <v>3355</v>
      </c>
      <c r="BA13" s="53">
        <f t="shared" si="33"/>
        <v>55.916666666666664</v>
      </c>
      <c r="BB13" s="72">
        <f t="shared" si="5"/>
        <v>0.42603380473409458</v>
      </c>
      <c r="BC13" s="54">
        <f t="shared" si="34"/>
        <v>24.456389878309288</v>
      </c>
      <c r="BD13" s="54">
        <f t="shared" si="35"/>
        <v>0</v>
      </c>
      <c r="BE13" s="54">
        <f t="shared" si="36"/>
        <v>0</v>
      </c>
      <c r="BF13" s="54">
        <f t="shared" si="6"/>
        <v>0</v>
      </c>
      <c r="BG13" s="54">
        <f t="shared" si="37"/>
        <v>0</v>
      </c>
      <c r="BI13" s="66">
        <v>45183.104166666664</v>
      </c>
      <c r="BJ13" s="67">
        <v>5.90703193286267E-3</v>
      </c>
      <c r="BK13" s="68">
        <v>0.53201108200000002</v>
      </c>
      <c r="BL13" s="68">
        <v>1919</v>
      </c>
      <c r="BM13" s="68">
        <f t="shared" si="38"/>
        <v>31.983333333333334</v>
      </c>
      <c r="BN13" s="68">
        <f t="shared" si="7"/>
        <v>0.18892657131939106</v>
      </c>
      <c r="BO13" s="69">
        <f t="shared" si="39"/>
        <v>16.423068179312938</v>
      </c>
      <c r="BP13" s="69">
        <f t="shared" si="40"/>
        <v>6.3321113804638007E-2</v>
      </c>
      <c r="BQ13" s="69">
        <f t="shared" si="41"/>
        <v>1.0399269692036037</v>
      </c>
      <c r="BR13" s="69">
        <f t="shared" si="8"/>
        <v>2.5481706622691113E-3</v>
      </c>
      <c r="BS13" s="69">
        <f t="shared" si="42"/>
        <v>4.1848780518970619E-2</v>
      </c>
      <c r="BU13" s="82">
        <v>45046.4375</v>
      </c>
      <c r="BV13" s="112">
        <v>3.7605164000000003E-2</v>
      </c>
      <c r="BW13" s="83">
        <v>68.466857000000005</v>
      </c>
      <c r="BX13" s="112">
        <v>8104</v>
      </c>
      <c r="BY13" s="83">
        <f t="shared" si="9"/>
        <v>135.06666666666666</v>
      </c>
      <c r="BZ13" s="84">
        <f t="shared" si="10"/>
        <v>5.0792041509333332</v>
      </c>
      <c r="CA13" s="83">
        <f t="shared" si="11"/>
        <v>82.315521091065975</v>
      </c>
      <c r="CC13" s="87">
        <v>45047.3125</v>
      </c>
      <c r="CD13" s="109">
        <v>3.1961904212251702E-2</v>
      </c>
      <c r="CE13" s="88">
        <v>81.405228940000001</v>
      </c>
      <c r="CF13" s="89">
        <v>7815</v>
      </c>
      <c r="CG13" s="90">
        <f t="shared" si="43"/>
        <v>130.25</v>
      </c>
      <c r="CH13" s="91">
        <f t="shared" si="44"/>
        <v>4.1630380236457842</v>
      </c>
      <c r="CI13" s="91">
        <f t="shared" si="45"/>
        <v>74.675623016160287</v>
      </c>
      <c r="CK13" s="93">
        <v>45049.354166666664</v>
      </c>
      <c r="CL13">
        <v>3.1220657079788501E-2</v>
      </c>
      <c r="CM13" s="95">
        <v>91.338086169999997</v>
      </c>
      <c r="CN13" s="4">
        <v>10861</v>
      </c>
      <c r="CO13" s="95">
        <f t="shared" si="46"/>
        <v>181.01666666666668</v>
      </c>
      <c r="CP13" s="94">
        <f t="shared" si="47"/>
        <v>5.6514592757263822</v>
      </c>
      <c r="CQ13" s="96">
        <f t="shared" si="48"/>
        <v>86.733453598336567</v>
      </c>
      <c r="CS13" s="10">
        <v>45050.614583333336</v>
      </c>
      <c r="CT13" s="110">
        <v>9.0314417242790296E-2</v>
      </c>
      <c r="CU13" s="21">
        <v>102.9873886</v>
      </c>
      <c r="CV13" s="111">
        <v>4164</v>
      </c>
      <c r="CW13" s="21">
        <f t="shared" si="49"/>
        <v>69.400000000000006</v>
      </c>
      <c r="CX13" s="21">
        <f t="shared" si="50"/>
        <v>6.2678205566496468</v>
      </c>
      <c r="CY13" s="21">
        <f t="shared" si="51"/>
        <v>91.243422981009516</v>
      </c>
    </row>
    <row r="14" spans="1:103" x14ac:dyDescent="0.25">
      <c r="A14" s="10">
        <v>44776.115277777775</v>
      </c>
      <c r="B14" s="11">
        <v>1.7040234354624699E-3</v>
      </c>
      <c r="C14" s="12">
        <v>0.77382161049999998</v>
      </c>
      <c r="D14" s="9">
        <v>156</v>
      </c>
      <c r="E14" s="13">
        <f t="shared" si="12"/>
        <v>2.6</v>
      </c>
      <c r="F14" s="12">
        <f t="shared" si="13"/>
        <v>4.4304609322024218E-3</v>
      </c>
      <c r="G14" s="13">
        <f t="shared" si="14"/>
        <v>2.6140845154105792</v>
      </c>
      <c r="H14" s="11">
        <f t="shared" si="15"/>
        <v>4.1387486845969176E-3</v>
      </c>
      <c r="I14" s="125">
        <f t="shared" si="16"/>
        <v>1.0819038849580706E-2</v>
      </c>
      <c r="J14" s="21">
        <f>IF((F14-$K$96)/($I$96-$K$96)&lt;0, 0, IF((F14-$K$96)/($I$96-$K$96)&gt;1, 1, (F14-$K$96)/($I$96-$K$96)))</f>
        <v>1.9315413947096569E-4</v>
      </c>
      <c r="K14" s="125">
        <f t="shared" si="17"/>
        <v>5.0492124507850672E-4</v>
      </c>
      <c r="M14" s="25">
        <v>44781.115277777775</v>
      </c>
      <c r="N14" s="26">
        <v>3.8042462235734899E-3</v>
      </c>
      <c r="O14" s="27">
        <v>1.3305822285</v>
      </c>
      <c r="P14" s="28">
        <v>1212</v>
      </c>
      <c r="Q14" s="29">
        <f t="shared" si="18"/>
        <v>20.2</v>
      </c>
      <c r="R14" s="26">
        <f t="shared" si="0"/>
        <v>7.6845773716184493E-2</v>
      </c>
      <c r="S14" s="29">
        <f t="shared" si="19"/>
        <v>10.571623815098866</v>
      </c>
      <c r="T14" s="29">
        <f t="shared" si="20"/>
        <v>1.2346272697078739E-3</v>
      </c>
      <c r="U14" s="126">
        <f t="shared" si="21"/>
        <v>1.305201504721425E-2</v>
      </c>
      <c r="V14" s="128">
        <f>IF((R14-$W$102)/($U$101-$W$102)&lt;0, 0, IF((R14-$W$102)/($U$101-$W$102)&gt;1, 1, (R14-$W$102)/($U$101-$W$102)))</f>
        <v>1.5717314967657076E-2</v>
      </c>
      <c r="W14" s="126">
        <f t="shared" si="22"/>
        <v>0.1661575412214934</v>
      </c>
      <c r="Y14" s="35">
        <v>45136.114583333336</v>
      </c>
      <c r="Z14" s="71">
        <v>7.3149308238208803E-3</v>
      </c>
      <c r="AA14" s="70">
        <v>0.99067576999999996</v>
      </c>
      <c r="AB14" s="36">
        <v>3655</v>
      </c>
      <c r="AC14" s="37">
        <f t="shared" si="23"/>
        <v>60.916666666666664</v>
      </c>
      <c r="AD14" s="37">
        <f t="shared" si="1"/>
        <v>0.44560120268442194</v>
      </c>
      <c r="AE14" s="38">
        <f t="shared" si="24"/>
        <v>25.000150459147054</v>
      </c>
      <c r="AF14" s="38">
        <f t="shared" si="25"/>
        <v>9.9069752538241945E-4</v>
      </c>
      <c r="AG14" s="38">
        <f t="shared" si="26"/>
        <v>2.4767587194065143E-2</v>
      </c>
      <c r="AH14" s="38">
        <f t="shared" si="2"/>
        <v>0</v>
      </c>
      <c r="AI14" s="38">
        <f t="shared" si="27"/>
        <v>0</v>
      </c>
      <c r="AK14" s="45">
        <v>45151.114583333336</v>
      </c>
      <c r="AL14" s="4">
        <v>6.2356924298291498E-3</v>
      </c>
      <c r="AM14" s="3">
        <v>0.66228851600000005</v>
      </c>
      <c r="AN14" s="4">
        <v>1365</v>
      </c>
      <c r="AO14" s="46">
        <f t="shared" si="28"/>
        <v>22.75</v>
      </c>
      <c r="AP14" s="47">
        <f t="shared" si="3"/>
        <v>0.14186200277861316</v>
      </c>
      <c r="AQ14" s="50">
        <f t="shared" si="29"/>
        <v>14.273234972770835</v>
      </c>
      <c r="AR14" s="50">
        <f t="shared" si="30"/>
        <v>3.1070903181179155E-2</v>
      </c>
      <c r="AS14" s="50">
        <f t="shared" si="31"/>
        <v>0.44348230192118293</v>
      </c>
      <c r="AT14" s="50">
        <f t="shared" si="4"/>
        <v>1.6708383217286064E-2</v>
      </c>
      <c r="AU14" s="50">
        <f t="shared" si="32"/>
        <v>0.23848267967542475</v>
      </c>
      <c r="AW14" s="51">
        <v>45166.114583333336</v>
      </c>
      <c r="AX14" s="72">
        <v>9.1401589671664292E-3</v>
      </c>
      <c r="AY14" s="73">
        <v>0.35506608000000001</v>
      </c>
      <c r="AZ14" s="52">
        <v>3177</v>
      </c>
      <c r="BA14" s="53">
        <f t="shared" si="33"/>
        <v>52.95</v>
      </c>
      <c r="BB14" s="72">
        <f t="shared" si="5"/>
        <v>0.48397141731146243</v>
      </c>
      <c r="BC14" s="54">
        <f t="shared" si="34"/>
        <v>26.032136115911982</v>
      </c>
      <c r="BD14" s="54">
        <f t="shared" si="35"/>
        <v>0</v>
      </c>
      <c r="BE14" s="54">
        <f t="shared" si="36"/>
        <v>0</v>
      </c>
      <c r="BF14" s="54">
        <f t="shared" si="6"/>
        <v>0</v>
      </c>
      <c r="BG14" s="54">
        <f t="shared" si="37"/>
        <v>0</v>
      </c>
      <c r="BI14" s="66">
        <v>45183.114583333336</v>
      </c>
      <c r="BJ14" s="67">
        <v>6.7335417006775602E-3</v>
      </c>
      <c r="BK14" s="68">
        <v>0.50323377899999999</v>
      </c>
      <c r="BL14" s="68">
        <v>1756</v>
      </c>
      <c r="BM14" s="68">
        <f t="shared" si="38"/>
        <v>29.266666666666666</v>
      </c>
      <c r="BN14" s="68">
        <f t="shared" si="7"/>
        <v>0.19706832043982991</v>
      </c>
      <c r="BO14" s="69">
        <f t="shared" si="39"/>
        <v>16.765922221792664</v>
      </c>
      <c r="BP14" s="69">
        <f t="shared" si="40"/>
        <v>3.3779808785430195E-2</v>
      </c>
      <c r="BQ14" s="69">
        <f t="shared" si="41"/>
        <v>0.56634964676355115</v>
      </c>
      <c r="BR14" s="69">
        <f t="shared" si="8"/>
        <v>3.2450645023881209E-3</v>
      </c>
      <c r="BS14" s="69">
        <f t="shared" si="42"/>
        <v>5.4406499051739547E-2</v>
      </c>
      <c r="BU14" s="82">
        <v>45046.447916666664</v>
      </c>
      <c r="BV14" s="112">
        <v>3.6137886000000001E-2</v>
      </c>
      <c r="BW14" s="83">
        <v>69.822823</v>
      </c>
      <c r="BX14" s="112">
        <v>7627</v>
      </c>
      <c r="BY14" s="83">
        <f t="shared" si="9"/>
        <v>127.11666666666666</v>
      </c>
      <c r="BZ14" s="84">
        <f t="shared" si="10"/>
        <v>4.5937276087000001</v>
      </c>
      <c r="CA14" s="83">
        <f t="shared" si="11"/>
        <v>78.363876316632769</v>
      </c>
      <c r="CC14" s="87">
        <v>45047.322916666664</v>
      </c>
      <c r="CD14" s="109">
        <v>3.0794666003204501E-2</v>
      </c>
      <c r="CE14" s="88">
        <v>82.284398269999997</v>
      </c>
      <c r="CF14" s="89">
        <v>8421</v>
      </c>
      <c r="CG14" s="90">
        <f t="shared" si="43"/>
        <v>140.35</v>
      </c>
      <c r="CH14" s="91">
        <f t="shared" si="44"/>
        <v>4.322031373549752</v>
      </c>
      <c r="CI14" s="91">
        <f t="shared" si="45"/>
        <v>76.058886788717572</v>
      </c>
      <c r="CK14" s="93">
        <v>45049.364583333336</v>
      </c>
      <c r="CL14">
        <v>3.1140920870023601E-2</v>
      </c>
      <c r="CM14" s="95">
        <v>90.492164919999993</v>
      </c>
      <c r="CN14" s="4">
        <v>10848</v>
      </c>
      <c r="CO14" s="95">
        <f t="shared" si="46"/>
        <v>180.8</v>
      </c>
      <c r="CP14" s="94">
        <f t="shared" si="47"/>
        <v>5.630278493300267</v>
      </c>
      <c r="CQ14" s="96">
        <f t="shared" si="48"/>
        <v>86.574117555919557</v>
      </c>
      <c r="CS14" s="10">
        <v>45050.625</v>
      </c>
      <c r="CT14" s="110">
        <v>8.9478898197366902E-2</v>
      </c>
      <c r="CU14" s="21">
        <v>103.80204430000001</v>
      </c>
      <c r="CV14" s="111">
        <v>4036</v>
      </c>
      <c r="CW14" s="21">
        <f t="shared" si="49"/>
        <v>67.266666666666666</v>
      </c>
      <c r="CX14" s="21">
        <f t="shared" si="50"/>
        <v>6.0189472187428805</v>
      </c>
      <c r="CY14" s="21">
        <f t="shared" si="51"/>
        <v>89.45091732537901</v>
      </c>
    </row>
    <row r="15" spans="1:103" x14ac:dyDescent="0.25">
      <c r="A15" s="10">
        <v>44776.125694444447</v>
      </c>
      <c r="B15" s="11">
        <v>2.1815395347090601E-3</v>
      </c>
      <c r="C15" s="12">
        <v>0.75131557849999997</v>
      </c>
      <c r="D15" s="9">
        <v>134</v>
      </c>
      <c r="E15" s="13">
        <f t="shared" si="12"/>
        <v>2.2333333333333334</v>
      </c>
      <c r="F15" s="12">
        <f t="shared" si="13"/>
        <v>4.8721049608502348E-3</v>
      </c>
      <c r="G15" s="13">
        <f t="shared" si="14"/>
        <v>2.7385988992140011</v>
      </c>
      <c r="H15" s="11">
        <f t="shared" si="15"/>
        <v>2.2561204772091861E-3</v>
      </c>
      <c r="I15" s="125">
        <f t="shared" si="16"/>
        <v>6.1786090553792444E-3</v>
      </c>
      <c r="J15" s="21">
        <f>IF((F15-$K$96)/($I$96-$K$96)&lt;0, 0, IF((F15-$K$96)/($I$96-$K$96)&gt;1, 1, (F15-$K$96)/($I$96-$K$96)))</f>
        <v>2.847478322789315E-4</v>
      </c>
      <c r="K15" s="125">
        <f t="shared" si="17"/>
        <v>7.7981010003265482E-4</v>
      </c>
      <c r="M15" s="25">
        <v>44781.125694444447</v>
      </c>
      <c r="N15" s="26">
        <v>3.50163718236056E-3</v>
      </c>
      <c r="O15" s="27">
        <v>1.3305822285</v>
      </c>
      <c r="P15" s="28">
        <v>1177</v>
      </c>
      <c r="Q15" s="29">
        <f t="shared" si="18"/>
        <v>19.616666666666667</v>
      </c>
      <c r="R15" s="26">
        <f t="shared" si="0"/>
        <v>6.869044939397298E-2</v>
      </c>
      <c r="S15" s="29">
        <f t="shared" si="19"/>
        <v>10.006489385883089</v>
      </c>
      <c r="T15" s="29">
        <f t="shared" si="20"/>
        <v>1.2346272697078739E-3</v>
      </c>
      <c r="U15" s="126">
        <f t="shared" si="21"/>
        <v>1.2354284669853659E-2</v>
      </c>
      <c r="V15" s="128">
        <f>IF((R15-$W$102)/($U$101-$W$102)&lt;0, 0, IF((R15-$W$102)/($U$101-$W$102)&gt;1, 1, (R15-$W$102)/($U$101-$W$102)))</f>
        <v>1.1583354574014241E-2</v>
      </c>
      <c r="W15" s="126">
        <f t="shared" si="22"/>
        <v>0.11590871459779384</v>
      </c>
      <c r="Y15" s="35">
        <v>45136.125</v>
      </c>
      <c r="Z15" s="71">
        <v>5.4661244564920596E-3</v>
      </c>
      <c r="AA15" s="70">
        <v>0.99067576999999996</v>
      </c>
      <c r="AB15" s="36">
        <v>3358</v>
      </c>
      <c r="AC15" s="37">
        <f t="shared" si="23"/>
        <v>55.966666666666669</v>
      </c>
      <c r="AD15" s="37">
        <f t="shared" si="1"/>
        <v>0.30592076541500562</v>
      </c>
      <c r="AE15" s="38">
        <f t="shared" si="24"/>
        <v>20.794874277441039</v>
      </c>
      <c r="AF15" s="38">
        <f t="shared" si="25"/>
        <v>9.9069752538241945E-4</v>
      </c>
      <c r="AG15" s="38">
        <f t="shared" si="26"/>
        <v>2.0601430487299364E-2</v>
      </c>
      <c r="AH15" s="38">
        <f t="shared" si="2"/>
        <v>0</v>
      </c>
      <c r="AI15" s="38">
        <f t="shared" si="27"/>
        <v>0</v>
      </c>
      <c r="AK15" s="45">
        <v>45151.125</v>
      </c>
      <c r="AL15" s="4">
        <v>7.8362827960532008E-3</v>
      </c>
      <c r="AM15" s="3">
        <v>0.89859415399999998</v>
      </c>
      <c r="AN15" s="4">
        <v>1965</v>
      </c>
      <c r="AO15" s="46">
        <f t="shared" si="28"/>
        <v>32.75</v>
      </c>
      <c r="AP15" s="47">
        <f t="shared" si="3"/>
        <v>0.25663826157074232</v>
      </c>
      <c r="AQ15" s="50">
        <f t="shared" si="29"/>
        <v>19.080874918651901</v>
      </c>
      <c r="AR15" s="50">
        <f t="shared" si="30"/>
        <v>0.15961090789804608</v>
      </c>
      <c r="AS15" s="50">
        <f t="shared" si="31"/>
        <v>3.0455157692550858</v>
      </c>
      <c r="AT15" s="50">
        <f t="shared" si="4"/>
        <v>0.10760664270718476</v>
      </c>
      <c r="AU15" s="50">
        <f t="shared" si="32"/>
        <v>2.0532288899118583</v>
      </c>
      <c r="AW15" s="51">
        <v>45166.125</v>
      </c>
      <c r="AX15" s="72">
        <v>5.9159568177064997E-3</v>
      </c>
      <c r="AY15" s="73">
        <v>0.314737561</v>
      </c>
      <c r="AZ15" s="52">
        <v>2389</v>
      </c>
      <c r="BA15" s="53">
        <f t="shared" si="33"/>
        <v>39.81666666666667</v>
      </c>
      <c r="BB15" s="72">
        <f t="shared" si="5"/>
        <v>0.23555368062501381</v>
      </c>
      <c r="BC15" s="54">
        <f t="shared" si="34"/>
        <v>18.296415493334056</v>
      </c>
      <c r="BD15" s="54">
        <f t="shared" si="35"/>
        <v>0</v>
      </c>
      <c r="BE15" s="54">
        <f t="shared" si="36"/>
        <v>0</v>
      </c>
      <c r="BF15" s="54">
        <f t="shared" si="6"/>
        <v>0</v>
      </c>
      <c r="BG15" s="54">
        <f t="shared" si="37"/>
        <v>0</v>
      </c>
      <c r="BI15" s="66">
        <v>45183.125</v>
      </c>
      <c r="BJ15" s="67">
        <v>9.8356318343493197E-3</v>
      </c>
      <c r="BK15" s="68">
        <v>0.50323377899999999</v>
      </c>
      <c r="BL15" s="68">
        <v>1884</v>
      </c>
      <c r="BM15" s="68">
        <f t="shared" si="38"/>
        <v>31.4</v>
      </c>
      <c r="BN15" s="68">
        <f t="shared" si="7"/>
        <v>0.30883883959856862</v>
      </c>
      <c r="BO15" s="69">
        <f t="shared" si="39"/>
        <v>20.891773560215846</v>
      </c>
      <c r="BP15" s="69">
        <f t="shared" si="40"/>
        <v>3.3779808785430195E-2</v>
      </c>
      <c r="BQ15" s="69">
        <f t="shared" si="41"/>
        <v>0.70572011605259743</v>
      </c>
      <c r="BR15" s="69">
        <f t="shared" si="8"/>
        <v>1.2812073403840272E-2</v>
      </c>
      <c r="BS15" s="69">
        <f t="shared" si="42"/>
        <v>0.26766693638989486</v>
      </c>
      <c r="BU15" s="82">
        <v>45046.458333333336</v>
      </c>
      <c r="BV15" s="112">
        <v>3.6727320000000001E-2</v>
      </c>
      <c r="BW15" s="83">
        <v>68.466857000000005</v>
      </c>
      <c r="BX15" s="112">
        <v>8054</v>
      </c>
      <c r="BY15" s="83">
        <f t="shared" si="9"/>
        <v>134.23333333333332</v>
      </c>
      <c r="BZ15" s="84">
        <f t="shared" si="10"/>
        <v>4.9300305879999993</v>
      </c>
      <c r="CA15" s="83">
        <f t="shared" si="11"/>
        <v>81.122634952901862</v>
      </c>
      <c r="CC15" s="87">
        <v>45047.333333333336</v>
      </c>
      <c r="CD15" s="109">
        <v>3.4340677199167099E-2</v>
      </c>
      <c r="CE15" s="88">
        <v>78.762941850000004</v>
      </c>
      <c r="CF15" s="89">
        <v>8142</v>
      </c>
      <c r="CG15" s="90">
        <f t="shared" si="43"/>
        <v>135.69999999999999</v>
      </c>
      <c r="CH15" s="91">
        <f t="shared" si="44"/>
        <v>4.660029895926975</v>
      </c>
      <c r="CI15" s="91">
        <f t="shared" si="45"/>
        <v>78.915723136234604</v>
      </c>
      <c r="CK15" s="93">
        <v>45049.375</v>
      </c>
      <c r="CL15">
        <v>3.2708817641857998E-2</v>
      </c>
      <c r="CM15" s="95">
        <v>92.610732819999996</v>
      </c>
      <c r="CN15" s="4">
        <v>10912</v>
      </c>
      <c r="CO15" s="95">
        <f t="shared" si="46"/>
        <v>181.86666666666667</v>
      </c>
      <c r="CP15" s="94">
        <f t="shared" si="47"/>
        <v>5.9486436351325747</v>
      </c>
      <c r="CQ15" s="96">
        <f t="shared" si="48"/>
        <v>88.937734804526301</v>
      </c>
      <c r="CS15" s="10">
        <v>45050.635416666664</v>
      </c>
      <c r="CT15" s="110">
        <v>9.1346916823923499E-2</v>
      </c>
      <c r="CU15" s="21">
        <v>102.9873886</v>
      </c>
      <c r="CV15" s="111">
        <v>4079</v>
      </c>
      <c r="CW15" s="21">
        <f t="shared" si="49"/>
        <v>67.983333333333334</v>
      </c>
      <c r="CX15" s="21">
        <f t="shared" si="50"/>
        <v>6.2100678954130659</v>
      </c>
      <c r="CY15" s="21">
        <f t="shared" si="51"/>
        <v>90.830744619970289</v>
      </c>
    </row>
    <row r="16" spans="1:103" x14ac:dyDescent="0.25">
      <c r="A16" s="10">
        <v>44776.136111111111</v>
      </c>
      <c r="B16" s="11">
        <v>1.66382600606423E-3</v>
      </c>
      <c r="C16" s="12">
        <v>0.75904434850000002</v>
      </c>
      <c r="D16" s="9">
        <v>145</v>
      </c>
      <c r="E16" s="13">
        <f t="shared" si="12"/>
        <v>2.4166666666666665</v>
      </c>
      <c r="F16" s="12">
        <f t="shared" si="13"/>
        <v>4.0209128479885559E-3</v>
      </c>
      <c r="G16" s="13">
        <f t="shared" si="14"/>
        <v>2.4928226307659678</v>
      </c>
      <c r="H16" s="11">
        <f t="shared" si="15"/>
        <v>2.9026316174409327E-3</v>
      </c>
      <c r="I16" s="125">
        <f t="shared" si="16"/>
        <v>7.235745784733582E-3</v>
      </c>
      <c r="J16" s="21">
        <f>IF((F16-$K$96)/($I$96-$K$96)&lt;0, 0, IF((F16-$K$96)/($I$96-$K$96)&gt;1, 1, (F16-$K$96)/($I$96-$K$96)))</f>
        <v>1.0821690726061118E-4</v>
      </c>
      <c r="K16" s="125">
        <f t="shared" si="17"/>
        <v>2.6976555545075352E-4</v>
      </c>
      <c r="M16" s="25">
        <v>44781.136111111111</v>
      </c>
      <c r="N16" s="26">
        <v>3.8685122876322502E-3</v>
      </c>
      <c r="O16" s="27">
        <v>1.3962008465</v>
      </c>
      <c r="P16" s="28">
        <v>1250</v>
      </c>
      <c r="Q16" s="29">
        <f t="shared" si="18"/>
        <v>20.833333333333332</v>
      </c>
      <c r="R16" s="26">
        <f t="shared" si="0"/>
        <v>8.0594005992338541E-2</v>
      </c>
      <c r="S16" s="29">
        <f t="shared" si="19"/>
        <v>10.821066004280896</v>
      </c>
      <c r="T16" s="29">
        <f t="shared" si="20"/>
        <v>3.371008873275017E-3</v>
      </c>
      <c r="U16" s="126">
        <f t="shared" si="21"/>
        <v>3.6477909518725531E-2</v>
      </c>
      <c r="V16" s="128">
        <f>IF((R16-$W$102)/($U$101-$W$102)&lt;0, 0, IF((R16-$W$102)/($U$101-$W$102)&gt;1, 1, (R16-$W$102)/($U$101-$W$102)))</f>
        <v>1.7617306085556936E-2</v>
      </c>
      <c r="W16" s="126">
        <f t="shared" si="22"/>
        <v>0.1906380319694311</v>
      </c>
      <c r="Y16" s="35">
        <v>45136.135416666664</v>
      </c>
      <c r="Z16" s="71">
        <v>6.6934571025538203E-3</v>
      </c>
      <c r="AA16" s="70">
        <v>1.1441742989999999</v>
      </c>
      <c r="AB16" s="36">
        <v>4277</v>
      </c>
      <c r="AC16" s="37">
        <f t="shared" si="23"/>
        <v>71.283333333333331</v>
      </c>
      <c r="AD16" s="37">
        <f t="shared" si="1"/>
        <v>0.47713193379371149</v>
      </c>
      <c r="AE16" s="38">
        <f t="shared" si="24"/>
        <v>25.851328026017967</v>
      </c>
      <c r="AF16" s="38">
        <f t="shared" si="25"/>
        <v>9.0021679876807585E-3</v>
      </c>
      <c r="AG16" s="38">
        <f t="shared" si="26"/>
        <v>0.23271799759485337</v>
      </c>
      <c r="AH16" s="38">
        <f t="shared" si="2"/>
        <v>0</v>
      </c>
      <c r="AI16" s="38">
        <f t="shared" si="27"/>
        <v>0</v>
      </c>
      <c r="AK16" s="45">
        <v>45151.135416666664</v>
      </c>
      <c r="AL16" s="4">
        <v>5.2901740437682502E-3</v>
      </c>
      <c r="AM16" s="3">
        <v>0.66228851600000005</v>
      </c>
      <c r="AN16" s="4">
        <v>1321</v>
      </c>
      <c r="AO16" s="46">
        <f t="shared" si="28"/>
        <v>22.016666666666666</v>
      </c>
      <c r="AP16" s="47">
        <f t="shared" si="3"/>
        <v>0.11647199853029763</v>
      </c>
      <c r="AQ16" s="50">
        <f t="shared" si="29"/>
        <v>12.959321815719266</v>
      </c>
      <c r="AR16" s="50">
        <f t="shared" si="30"/>
        <v>3.1070903181179155E-2</v>
      </c>
      <c r="AS16" s="50">
        <f t="shared" si="31"/>
        <v>0.40265783342995615</v>
      </c>
      <c r="AT16" s="50">
        <f t="shared" si="4"/>
        <v>0</v>
      </c>
      <c r="AU16" s="50">
        <f t="shared" si="32"/>
        <v>0</v>
      </c>
      <c r="AW16" s="51">
        <v>45166.135416666664</v>
      </c>
      <c r="AX16" s="72">
        <v>7.5706265706428997E-3</v>
      </c>
      <c r="AY16" s="73">
        <v>0.314737561</v>
      </c>
      <c r="AZ16" s="52">
        <v>2534</v>
      </c>
      <c r="BA16" s="53">
        <f t="shared" si="33"/>
        <v>42.233333333333334</v>
      </c>
      <c r="BB16" s="72">
        <f t="shared" si="5"/>
        <v>0.31973279550015182</v>
      </c>
      <c r="BC16" s="54">
        <f t="shared" si="34"/>
        <v>21.249458974659046</v>
      </c>
      <c r="BD16" s="54">
        <f t="shared" si="35"/>
        <v>0</v>
      </c>
      <c r="BE16" s="54">
        <f t="shared" si="36"/>
        <v>0</v>
      </c>
      <c r="BF16" s="54">
        <f t="shared" si="6"/>
        <v>0</v>
      </c>
      <c r="BG16" s="54">
        <f t="shared" si="37"/>
        <v>0</v>
      </c>
      <c r="BI16" s="66">
        <v>45183.135416666664</v>
      </c>
      <c r="BJ16" s="67">
        <v>6.4594928365992801E-3</v>
      </c>
      <c r="BK16" s="68">
        <v>0.44894941300000002</v>
      </c>
      <c r="BL16" s="68">
        <v>1367</v>
      </c>
      <c r="BM16" s="68">
        <f t="shared" si="38"/>
        <v>22.783333333333335</v>
      </c>
      <c r="BN16" s="68">
        <f t="shared" si="7"/>
        <v>0.14716877846052029</v>
      </c>
      <c r="BO16" s="69">
        <f t="shared" si="39"/>
        <v>14.532252450264698</v>
      </c>
      <c r="BP16" s="69">
        <f t="shared" si="40"/>
        <v>0</v>
      </c>
      <c r="BQ16" s="69">
        <f t="shared" si="41"/>
        <v>0</v>
      </c>
      <c r="BR16" s="69">
        <f t="shared" si="8"/>
        <v>0</v>
      </c>
      <c r="BS16" s="69">
        <f t="shared" si="42"/>
        <v>0</v>
      </c>
      <c r="BU16" s="82">
        <v>45046.46875</v>
      </c>
      <c r="BV16" s="112">
        <v>3.8915354999999999E-2</v>
      </c>
      <c r="BW16" s="83">
        <v>68.466857000000005</v>
      </c>
      <c r="BX16" s="112">
        <v>7701</v>
      </c>
      <c r="BY16" s="83">
        <f t="shared" si="9"/>
        <v>128.35</v>
      </c>
      <c r="BZ16" s="84">
        <f t="shared" si="10"/>
        <v>4.9947858142499992</v>
      </c>
      <c r="CA16" s="83">
        <f t="shared" si="11"/>
        <v>81.642689647426877</v>
      </c>
      <c r="CC16" s="87">
        <v>45047.34375</v>
      </c>
      <c r="CD16" s="109">
        <v>3.5756499910029098E-2</v>
      </c>
      <c r="CE16" s="88">
        <v>80.968580889999998</v>
      </c>
      <c r="CF16" s="89">
        <v>7946</v>
      </c>
      <c r="CG16" s="90">
        <f t="shared" si="43"/>
        <v>132.43333333333334</v>
      </c>
      <c r="CH16" s="91">
        <f t="shared" si="44"/>
        <v>4.7353524714181869</v>
      </c>
      <c r="CI16" s="91">
        <f t="shared" si="45"/>
        <v>79.537808239607671</v>
      </c>
      <c r="CK16" s="93">
        <v>45049.385416666664</v>
      </c>
      <c r="CL16">
        <v>2.9238917878483001E-2</v>
      </c>
      <c r="CM16" s="95">
        <v>87.058386479999996</v>
      </c>
      <c r="CN16" s="4">
        <v>10631</v>
      </c>
      <c r="CO16" s="95">
        <f t="shared" si="46"/>
        <v>177.18333333333334</v>
      </c>
      <c r="CP16" s="94">
        <f t="shared" si="47"/>
        <v>5.1806489327692136</v>
      </c>
      <c r="CQ16" s="96">
        <f t="shared" si="48"/>
        <v>83.11655176203422</v>
      </c>
      <c r="CS16" s="10">
        <v>45050.645833333336</v>
      </c>
      <c r="CT16" s="110">
        <v>9.08509541481511E-2</v>
      </c>
      <c r="CU16" s="21">
        <v>104.2121959</v>
      </c>
      <c r="CV16" s="111">
        <v>4152</v>
      </c>
      <c r="CW16" s="21">
        <f t="shared" si="49"/>
        <v>69.2</v>
      </c>
      <c r="CX16" s="21">
        <f t="shared" si="50"/>
        <v>6.2868860270520566</v>
      </c>
      <c r="CY16" s="21">
        <f t="shared" si="51"/>
        <v>91.379231172516413</v>
      </c>
    </row>
    <row r="17" spans="1:103" x14ac:dyDescent="0.25">
      <c r="A17" s="10">
        <v>44776.146527777775</v>
      </c>
      <c r="B17" s="11">
        <v>1.5966931489887E-3</v>
      </c>
      <c r="C17" s="12">
        <v>0.67891565050000002</v>
      </c>
      <c r="D17" s="9">
        <v>92</v>
      </c>
      <c r="E17" s="13">
        <f t="shared" si="12"/>
        <v>1.5333333333333334</v>
      </c>
      <c r="F17" s="12">
        <f t="shared" si="13"/>
        <v>2.44826282844934E-3</v>
      </c>
      <c r="G17" s="13">
        <f t="shared" si="14"/>
        <v>1.955137808952677</v>
      </c>
      <c r="H17" s="11">
        <f t="shared" si="15"/>
        <v>0</v>
      </c>
      <c r="I17" s="125">
        <f t="shared" si="16"/>
        <v>0</v>
      </c>
      <c r="J17" s="21">
        <f>IF((F17-$K$96)/($I$96-$K$96)&lt;0, 0, IF((F17-$K$96)/($I$96-$K$96)&gt;1, 1, (F17-$K$96)/($I$96-$K$96)))</f>
        <v>0</v>
      </c>
      <c r="K17" s="125">
        <f t="shared" si="17"/>
        <v>0</v>
      </c>
      <c r="M17" s="25">
        <v>44781.146527777775</v>
      </c>
      <c r="N17" s="26">
        <v>3.64264996025658E-3</v>
      </c>
      <c r="O17" s="27">
        <v>1.4174729134999999</v>
      </c>
      <c r="P17" s="28">
        <v>1248</v>
      </c>
      <c r="Q17" s="29">
        <f t="shared" si="18"/>
        <v>20.8</v>
      </c>
      <c r="R17" s="26">
        <f t="shared" si="0"/>
        <v>7.5767119173336867E-2</v>
      </c>
      <c r="S17" s="29">
        <f t="shared" si="19"/>
        <v>10.498695217004803</v>
      </c>
      <c r="T17" s="29">
        <f t="shared" si="20"/>
        <v>4.0635753124012965E-3</v>
      </c>
      <c r="U17" s="126">
        <f t="shared" si="21"/>
        <v>4.2662238696246288E-2</v>
      </c>
      <c r="V17" s="128">
        <f>IF((R17-$W$102)/($U$101-$W$102)&lt;0, 0, IF((R17-$W$102)/($U$101-$W$102)&gt;1, 1, (R17-$W$102)/($U$101-$W$102)))</f>
        <v>1.5170541475594922E-2</v>
      </c>
      <c r="W17" s="126">
        <f t="shared" si="22"/>
        <v>0.15927089122920141</v>
      </c>
      <c r="Y17" s="35">
        <v>45136.145833333336</v>
      </c>
      <c r="Z17" s="71">
        <v>7.0321744031024997E-3</v>
      </c>
      <c r="AA17" s="70">
        <v>0.99067576999999996</v>
      </c>
      <c r="AB17" s="36">
        <v>3601</v>
      </c>
      <c r="AC17" s="37">
        <f t="shared" si="23"/>
        <v>60.016666666666666</v>
      </c>
      <c r="AD17" s="37">
        <f t="shared" si="1"/>
        <v>0.42204766709286834</v>
      </c>
      <c r="AE17" s="38">
        <f t="shared" si="24"/>
        <v>24.344066247837816</v>
      </c>
      <c r="AF17" s="38">
        <f t="shared" si="25"/>
        <v>9.9069752538241945E-4</v>
      </c>
      <c r="AG17" s="38">
        <f t="shared" si="26"/>
        <v>2.4117606189478606E-2</v>
      </c>
      <c r="AH17" s="38">
        <f t="shared" si="2"/>
        <v>0</v>
      </c>
      <c r="AI17" s="38">
        <f t="shared" si="27"/>
        <v>0</v>
      </c>
      <c r="AK17" s="45">
        <v>45151.145833333336</v>
      </c>
      <c r="AL17" s="4">
        <v>4.5181662031888196E-3</v>
      </c>
      <c r="AM17" s="3">
        <v>0.66228851600000005</v>
      </c>
      <c r="AN17" s="4">
        <v>1403</v>
      </c>
      <c r="AO17" s="46">
        <f t="shared" si="28"/>
        <v>23.383333333333333</v>
      </c>
      <c r="AP17" s="47">
        <f t="shared" si="3"/>
        <v>0.10564978638456524</v>
      </c>
      <c r="AQ17" s="50">
        <f t="shared" si="29"/>
        <v>12.354980307207368</v>
      </c>
      <c r="AR17" s="50">
        <f t="shared" si="30"/>
        <v>3.1070903181179155E-2</v>
      </c>
      <c r="AS17" s="50">
        <f t="shared" si="31"/>
        <v>0.38388039693061526</v>
      </c>
      <c r="AT17" s="50">
        <f t="shared" si="4"/>
        <v>0</v>
      </c>
      <c r="AU17" s="50">
        <f t="shared" si="32"/>
        <v>0</v>
      </c>
      <c r="AW17" s="51">
        <v>45166.145833333336</v>
      </c>
      <c r="AX17" s="72">
        <v>1.1449107981734499E-2</v>
      </c>
      <c r="AY17" s="73">
        <v>0.42386643899999998</v>
      </c>
      <c r="AZ17" s="52">
        <v>4693</v>
      </c>
      <c r="BA17" s="53">
        <f t="shared" si="33"/>
        <v>78.216666666666669</v>
      </c>
      <c r="BB17" s="72">
        <f t="shared" si="5"/>
        <v>0.89551106263800007</v>
      </c>
      <c r="BC17" s="54">
        <f t="shared" si="34"/>
        <v>35.187040386560966</v>
      </c>
      <c r="BD17" s="54">
        <f t="shared" si="35"/>
        <v>2.3952851071099918E-2</v>
      </c>
      <c r="BE17" s="54">
        <f t="shared" si="36"/>
        <v>0.84282993801207295</v>
      </c>
      <c r="BF17" s="54">
        <f t="shared" si="6"/>
        <v>3.9693127273146361E-2</v>
      </c>
      <c r="BG17" s="54">
        <f t="shared" si="37"/>
        <v>1.3966836724291056</v>
      </c>
      <c r="BI17" s="66">
        <v>45183.145833333336</v>
      </c>
      <c r="BJ17" s="67">
        <v>6.9853500611517898E-3</v>
      </c>
      <c r="BK17" s="68">
        <v>0.59425534599999996</v>
      </c>
      <c r="BL17" s="68">
        <v>2272</v>
      </c>
      <c r="BM17" s="68">
        <f t="shared" si="38"/>
        <v>37.866666666666667</v>
      </c>
      <c r="BN17" s="68">
        <f t="shared" si="7"/>
        <v>0.26451192231561443</v>
      </c>
      <c r="BO17" s="69">
        <f t="shared" si="39"/>
        <v>19.36533581285288</v>
      </c>
      <c r="BP17" s="69">
        <f t="shared" si="40"/>
        <v>0.12721788649803784</v>
      </c>
      <c r="BQ17" s="69">
        <f t="shared" si="41"/>
        <v>2.463617093435905</v>
      </c>
      <c r="BR17" s="69">
        <f t="shared" si="8"/>
        <v>9.0179064319782665E-3</v>
      </c>
      <c r="BS17" s="69">
        <f t="shared" si="42"/>
        <v>0.17463478638414506</v>
      </c>
      <c r="BU17" s="82">
        <v>45046.479166666664</v>
      </c>
      <c r="BV17" s="112">
        <v>3.9678574000000001E-2</v>
      </c>
      <c r="BW17" s="83">
        <v>68.008627450000006</v>
      </c>
      <c r="BX17" s="112">
        <v>7644</v>
      </c>
      <c r="BY17" s="83">
        <f t="shared" si="9"/>
        <v>127.4</v>
      </c>
      <c r="BZ17" s="84">
        <f t="shared" si="10"/>
        <v>5.0550503276000001</v>
      </c>
      <c r="CA17" s="83">
        <f t="shared" si="11"/>
        <v>82.123596798944703</v>
      </c>
      <c r="CC17" s="87">
        <v>45047.354166666664</v>
      </c>
      <c r="CD17" s="109">
        <v>3.1545377330829398E-2</v>
      </c>
      <c r="CE17" s="88">
        <v>78.762941850000004</v>
      </c>
      <c r="CF17" s="89">
        <v>7846</v>
      </c>
      <c r="CG17" s="90">
        <f t="shared" si="43"/>
        <v>130.76666666666668</v>
      </c>
      <c r="CH17" s="91">
        <f t="shared" si="44"/>
        <v>4.1250838422947913</v>
      </c>
      <c r="CI17" s="91">
        <f t="shared" si="45"/>
        <v>74.341449568317927</v>
      </c>
      <c r="CK17" s="93">
        <v>45049.395833333336</v>
      </c>
      <c r="CL17">
        <v>3.1344164307657199E-2</v>
      </c>
      <c r="CM17" s="95">
        <v>90.492164919999993</v>
      </c>
      <c r="CN17" s="4">
        <v>10854</v>
      </c>
      <c r="CO17" s="95">
        <f t="shared" si="46"/>
        <v>180.9</v>
      </c>
      <c r="CP17" s="94">
        <f t="shared" si="47"/>
        <v>5.6701593232551879</v>
      </c>
      <c r="CQ17" s="96">
        <f t="shared" si="48"/>
        <v>86.87387478800278</v>
      </c>
      <c r="CS17" s="10">
        <v>45050.65625</v>
      </c>
      <c r="CT17" s="110">
        <v>8.9368704266800394E-2</v>
      </c>
      <c r="CU17" s="21">
        <v>106.2245245</v>
      </c>
      <c r="CV17" s="111">
        <v>4042</v>
      </c>
      <c r="CW17" s="21">
        <f t="shared" si="49"/>
        <v>67.36666666666666</v>
      </c>
      <c r="CX17" s="21">
        <f t="shared" si="50"/>
        <v>6.0204717107734522</v>
      </c>
      <c r="CY17" s="21">
        <f t="shared" si="51"/>
        <v>89.462011409702811</v>
      </c>
    </row>
    <row r="18" spans="1:103" x14ac:dyDescent="0.25">
      <c r="A18" s="10">
        <v>44776.156944444447</v>
      </c>
      <c r="B18" s="11">
        <v>1.4900711813125101E-3</v>
      </c>
      <c r="C18" s="12">
        <v>0.70024108200000001</v>
      </c>
      <c r="D18" s="9">
        <v>94</v>
      </c>
      <c r="E18" s="13">
        <f t="shared" si="12"/>
        <v>1.5666666666666667</v>
      </c>
      <c r="F18" s="12">
        <f t="shared" si="13"/>
        <v>2.3344448507229324E-3</v>
      </c>
      <c r="G18" s="13">
        <f t="shared" si="14"/>
        <v>1.9100868324142395</v>
      </c>
      <c r="H18" s="11">
        <f t="shared" si="15"/>
        <v>0</v>
      </c>
      <c r="I18" s="125">
        <f t="shared" si="16"/>
        <v>0</v>
      </c>
      <c r="J18" s="21">
        <f>IF((F18-$K$96)/($I$96-$K$96)&lt;0, 0, IF((F18-$K$96)/($I$96-$K$96)&gt;1, 1, (F18-$K$96)/($I$96-$K$96)))</f>
        <v>0</v>
      </c>
      <c r="K18" s="125">
        <f t="shared" si="17"/>
        <v>0</v>
      </c>
      <c r="M18" s="25">
        <v>44781.156944444447</v>
      </c>
      <c r="N18" s="26">
        <v>3.6958036367563999E-3</v>
      </c>
      <c r="O18" s="27">
        <v>1.3100260825000001</v>
      </c>
      <c r="P18" s="28">
        <v>1144</v>
      </c>
      <c r="Q18" s="29">
        <f t="shared" si="18"/>
        <v>19.066666666666666</v>
      </c>
      <c r="R18" s="26">
        <f t="shared" si="0"/>
        <v>7.0466656007488693E-2</v>
      </c>
      <c r="S18" s="29">
        <f t="shared" si="19"/>
        <v>10.132373543120504</v>
      </c>
      <c r="T18" s="29">
        <f t="shared" si="20"/>
        <v>5.6536946615827672E-4</v>
      </c>
      <c r="U18" s="126">
        <f t="shared" si="21"/>
        <v>5.7285346209902865E-3</v>
      </c>
      <c r="V18" s="128">
        <f>IF((R18-$W$102)/($U$101-$W$102)&lt;0, 0, IF((R18-$W$102)/($U$101-$W$102)&gt;1, 1, (R18-$W$102)/($U$101-$W$102)))</f>
        <v>1.2483719476879228E-2</v>
      </c>
      <c r="W18" s="126">
        <f t="shared" si="22"/>
        <v>0.12648970894726924</v>
      </c>
      <c r="Y18" s="35">
        <v>45136.15625</v>
      </c>
      <c r="Z18" s="71">
        <v>4.5305903781589496E-3</v>
      </c>
      <c r="AA18" s="70">
        <v>0.66228851600000005</v>
      </c>
      <c r="AB18" s="36">
        <v>1779</v>
      </c>
      <c r="AC18" s="37">
        <f t="shared" si="23"/>
        <v>29.65</v>
      </c>
      <c r="AD18" s="37">
        <f t="shared" si="1"/>
        <v>0.13433200471241286</v>
      </c>
      <c r="AE18" s="38">
        <f t="shared" si="24"/>
        <v>13.897065098168484</v>
      </c>
      <c r="AF18" s="38">
        <f t="shared" si="25"/>
        <v>0</v>
      </c>
      <c r="AG18" s="38">
        <f t="shared" si="26"/>
        <v>0</v>
      </c>
      <c r="AH18" s="38">
        <f t="shared" si="2"/>
        <v>0</v>
      </c>
      <c r="AI18" s="38">
        <f t="shared" si="27"/>
        <v>0</v>
      </c>
      <c r="AK18" s="45">
        <v>45151.15625</v>
      </c>
      <c r="AL18" s="4">
        <v>7.1461375664526499E-3</v>
      </c>
      <c r="AM18" s="3">
        <v>0.66228851600000005</v>
      </c>
      <c r="AN18" s="4">
        <v>1484</v>
      </c>
      <c r="AO18" s="46">
        <f t="shared" si="28"/>
        <v>24.733333333333334</v>
      </c>
      <c r="AP18" s="47">
        <f t="shared" si="3"/>
        <v>0.17674780247692887</v>
      </c>
      <c r="AQ18" s="50">
        <f t="shared" si="29"/>
        <v>15.895817122994304</v>
      </c>
      <c r="AR18" s="50">
        <f t="shared" si="30"/>
        <v>3.1070903181179155E-2</v>
      </c>
      <c r="AS18" s="50">
        <f t="shared" si="31"/>
        <v>0.4938973948142858</v>
      </c>
      <c r="AT18" s="50">
        <f t="shared" si="4"/>
        <v>4.4336557430850757E-2</v>
      </c>
      <c r="AU18" s="50">
        <f t="shared" si="32"/>
        <v>0.7047658087839378</v>
      </c>
      <c r="AW18" s="51">
        <v>45166.15625</v>
      </c>
      <c r="AX18" s="72">
        <v>1.0250861657214E-2</v>
      </c>
      <c r="AY18" s="73">
        <v>0.377160934</v>
      </c>
      <c r="AZ18" s="52">
        <v>3736</v>
      </c>
      <c r="BA18" s="53">
        <f t="shared" si="33"/>
        <v>62.266666666666666</v>
      </c>
      <c r="BB18" s="72">
        <f t="shared" si="5"/>
        <v>0.63828698585585841</v>
      </c>
      <c r="BC18" s="54">
        <f t="shared" si="34"/>
        <v>29.810545471853466</v>
      </c>
      <c r="BD18" s="54">
        <f t="shared" si="35"/>
        <v>0</v>
      </c>
      <c r="BE18" s="54">
        <f t="shared" si="36"/>
        <v>0</v>
      </c>
      <c r="BF18" s="54">
        <f t="shared" si="6"/>
        <v>0</v>
      </c>
      <c r="BG18" s="54">
        <f t="shared" si="37"/>
        <v>0</v>
      </c>
      <c r="BI18" s="66">
        <v>45183.15625</v>
      </c>
      <c r="BJ18" s="67">
        <v>6.7417730974629201E-3</v>
      </c>
      <c r="BK18" s="68">
        <v>0.44894941300000002</v>
      </c>
      <c r="BL18" s="68">
        <v>1335</v>
      </c>
      <c r="BM18" s="68">
        <f t="shared" si="38"/>
        <v>22.25</v>
      </c>
      <c r="BN18" s="68">
        <f t="shared" si="7"/>
        <v>0.15000445141854998</v>
      </c>
      <c r="BO18" s="69">
        <f t="shared" si="39"/>
        <v>14.668705637021613</v>
      </c>
      <c r="BP18" s="69">
        <f t="shared" si="40"/>
        <v>0</v>
      </c>
      <c r="BQ18" s="69">
        <f t="shared" si="41"/>
        <v>0</v>
      </c>
      <c r="BR18" s="69">
        <f t="shared" si="8"/>
        <v>0</v>
      </c>
      <c r="BS18" s="69">
        <f t="shared" si="42"/>
        <v>0</v>
      </c>
      <c r="BU18" s="82">
        <v>45046.489583333336</v>
      </c>
      <c r="BV18" s="112">
        <v>3.8100922000000002E-2</v>
      </c>
      <c r="BW18" s="83">
        <v>69.822823</v>
      </c>
      <c r="BX18" s="112">
        <v>7880</v>
      </c>
      <c r="BY18" s="83">
        <f t="shared" si="9"/>
        <v>131.33333333333334</v>
      </c>
      <c r="BZ18" s="84">
        <f t="shared" si="10"/>
        <v>5.0039210893333337</v>
      </c>
      <c r="CA18" s="83">
        <f t="shared" si="11"/>
        <v>81.715778246738054</v>
      </c>
      <c r="CC18" s="87">
        <v>45047.364583333336</v>
      </c>
      <c r="CD18" s="109">
        <v>3.4999704563684501E-2</v>
      </c>
      <c r="CE18" s="88">
        <v>78.762941850000004</v>
      </c>
      <c r="CF18" s="89">
        <v>7830</v>
      </c>
      <c r="CG18" s="90">
        <f t="shared" si="43"/>
        <v>130.5</v>
      </c>
      <c r="CH18" s="91">
        <f t="shared" si="44"/>
        <v>4.5674614455608271</v>
      </c>
      <c r="CI18" s="91">
        <f t="shared" si="45"/>
        <v>78.144134670978204</v>
      </c>
      <c r="CK18" s="93">
        <v>45049.40625</v>
      </c>
      <c r="CL18">
        <v>2.9541538108205E-2</v>
      </c>
      <c r="CM18" s="95">
        <v>90.492164919999993</v>
      </c>
      <c r="CN18" s="4">
        <v>10687</v>
      </c>
      <c r="CO18" s="95">
        <f t="shared" si="46"/>
        <v>178.11666666666667</v>
      </c>
      <c r="CP18" s="94">
        <f t="shared" si="47"/>
        <v>5.2618402960397805</v>
      </c>
      <c r="CQ18" s="96">
        <f t="shared" si="48"/>
        <v>83.751907285775872</v>
      </c>
      <c r="CS18" s="10">
        <v>45050.666666666664</v>
      </c>
      <c r="CT18" s="110">
        <v>9.7371637756643703E-2</v>
      </c>
      <c r="CU18" s="21">
        <v>109.4196846</v>
      </c>
      <c r="CV18" s="111">
        <v>3892</v>
      </c>
      <c r="CW18" s="21">
        <f t="shared" si="49"/>
        <v>64.86666666666666</v>
      </c>
      <c r="CX18" s="21">
        <f t="shared" si="50"/>
        <v>6.3161735691476206</v>
      </c>
      <c r="CY18" s="21">
        <f t="shared" si="51"/>
        <v>91.587445031301101</v>
      </c>
    </row>
    <row r="19" spans="1:103" x14ac:dyDescent="0.25">
      <c r="A19" s="10">
        <v>44776.167361111111</v>
      </c>
      <c r="B19" s="11">
        <v>1.5743544098570301E-3</v>
      </c>
      <c r="C19" s="12">
        <v>0.740701163</v>
      </c>
      <c r="D19" s="9">
        <v>137</v>
      </c>
      <c r="E19" s="13">
        <f t="shared" si="12"/>
        <v>2.2833333333333332</v>
      </c>
      <c r="F19" s="12">
        <f t="shared" si="13"/>
        <v>3.5947759025068853E-3</v>
      </c>
      <c r="G19" s="13">
        <f t="shared" si="14"/>
        <v>2.3597504837832695</v>
      </c>
      <c r="H19" s="11">
        <f t="shared" si="15"/>
        <v>1.3682252664837464E-3</v>
      </c>
      <c r="I19" s="125">
        <f t="shared" si="16"/>
        <v>3.2286702345095133E-3</v>
      </c>
      <c r="J19" s="21">
        <f>IF((F19-$K$96)/($I$96-$K$96)&lt;0, 0, IF((F19-$K$96)/($I$96-$K$96)&gt;1, 1, (F19-$K$96)/($I$96-$K$96)))</f>
        <v>1.9839268377830177E-5</v>
      </c>
      <c r="K19" s="125">
        <f t="shared" si="17"/>
        <v>4.6815723152490877E-5</v>
      </c>
      <c r="M19" s="25">
        <v>44781.167361111111</v>
      </c>
      <c r="N19" s="26">
        <v>3.5461509439777199E-3</v>
      </c>
      <c r="O19" s="27">
        <v>1.2590209525</v>
      </c>
      <c r="P19" s="28">
        <v>964</v>
      </c>
      <c r="Q19" s="29">
        <f t="shared" si="18"/>
        <v>16.066666666666666</v>
      </c>
      <c r="R19" s="26">
        <f t="shared" si="0"/>
        <v>5.6974825166575364E-2</v>
      </c>
      <c r="S19" s="29">
        <f t="shared" si="19"/>
        <v>9.1308573594191778</v>
      </c>
      <c r="T19" s="29">
        <f t="shared" si="20"/>
        <v>0</v>
      </c>
      <c r="U19" s="126">
        <f t="shared" si="21"/>
        <v>0</v>
      </c>
      <c r="V19" s="128">
        <f>IF((R19-$W$102)/($U$101-$W$102)&lt;0, 0, IF((R19-$W$102)/($U$101-$W$102)&gt;1, 1, (R19-$W$102)/($U$101-$W$102)))</f>
        <v>5.6446665918628829E-3</v>
      </c>
      <c r="W19" s="126">
        <f t="shared" si="22"/>
        <v>5.1540645491778773E-2</v>
      </c>
      <c r="Y19" s="35">
        <v>45136.166666666664</v>
      </c>
      <c r="Z19" s="71">
        <v>7.5258509754304297E-3</v>
      </c>
      <c r="AA19" s="70">
        <v>0.99067576999999996</v>
      </c>
      <c r="AB19" s="36">
        <v>3565</v>
      </c>
      <c r="AC19" s="37">
        <f t="shared" si="23"/>
        <v>59.416666666666664</v>
      </c>
      <c r="AD19" s="37">
        <f t="shared" si="1"/>
        <v>0.44716097879015804</v>
      </c>
      <c r="AE19" s="38">
        <f t="shared" si="24"/>
        <v>25.042965983382995</v>
      </c>
      <c r="AF19" s="38">
        <f t="shared" si="25"/>
        <v>9.9069752538241945E-4</v>
      </c>
      <c r="AG19" s="38">
        <f t="shared" si="26"/>
        <v>2.4810004427973643E-2</v>
      </c>
      <c r="AH19" s="38">
        <f t="shared" si="2"/>
        <v>0</v>
      </c>
      <c r="AI19" s="38">
        <f t="shared" si="27"/>
        <v>0</v>
      </c>
      <c r="AK19" s="45">
        <v>45151.166666666664</v>
      </c>
      <c r="AL19" s="4">
        <v>5.9151476245304698E-3</v>
      </c>
      <c r="AM19" s="3">
        <v>0.66228851600000005</v>
      </c>
      <c r="AN19" s="4">
        <v>1381</v>
      </c>
      <c r="AO19" s="46">
        <f t="shared" si="28"/>
        <v>23.016666666666666</v>
      </c>
      <c r="AP19" s="47">
        <f t="shared" si="3"/>
        <v>0.13614698115794296</v>
      </c>
      <c r="AQ19" s="50">
        <f t="shared" si="29"/>
        <v>13.988698765594263</v>
      </c>
      <c r="AR19" s="50">
        <f t="shared" si="30"/>
        <v>3.1070903181179155E-2</v>
      </c>
      <c r="AS19" s="50">
        <f t="shared" si="31"/>
        <v>0.4346415049764597</v>
      </c>
      <c r="AT19" s="50">
        <f t="shared" si="4"/>
        <v>1.218231202684154E-2</v>
      </c>
      <c r="AU19" s="50">
        <f t="shared" si="32"/>
        <v>0.1704146932119624</v>
      </c>
      <c r="AW19" s="51">
        <v>45166.166666666664</v>
      </c>
      <c r="AX19" s="72">
        <v>4.4515191411601497E-3</v>
      </c>
      <c r="AY19" s="73">
        <v>0.26113539299999999</v>
      </c>
      <c r="AZ19" s="52">
        <v>846</v>
      </c>
      <c r="BA19" s="53">
        <f t="shared" si="33"/>
        <v>14.1</v>
      </c>
      <c r="BB19" s="72">
        <f t="shared" si="5"/>
        <v>6.2766419890358111E-2</v>
      </c>
      <c r="BC19" s="54">
        <f t="shared" si="34"/>
        <v>9.5741599740202101</v>
      </c>
      <c r="BD19" s="54">
        <f t="shared" si="35"/>
        <v>0</v>
      </c>
      <c r="BE19" s="54">
        <f t="shared" si="36"/>
        <v>0</v>
      </c>
      <c r="BF19" s="54">
        <f t="shared" si="6"/>
        <v>0</v>
      </c>
      <c r="BG19" s="54">
        <f t="shared" si="37"/>
        <v>0</v>
      </c>
      <c r="BI19" s="66">
        <v>45183.166666666664</v>
      </c>
      <c r="BJ19" s="67">
        <v>7.0148670727595399E-3</v>
      </c>
      <c r="BK19" s="68">
        <v>0.53201108200000002</v>
      </c>
      <c r="BL19" s="68">
        <v>1888</v>
      </c>
      <c r="BM19" s="68">
        <f t="shared" si="38"/>
        <v>31.466666666666665</v>
      </c>
      <c r="BN19" s="68">
        <f t="shared" si="7"/>
        <v>0.22073448388950018</v>
      </c>
      <c r="BO19" s="69">
        <f t="shared" si="39"/>
        <v>17.723391156156755</v>
      </c>
      <c r="BP19" s="69">
        <f t="shared" si="40"/>
        <v>6.3321113804638007E-2</v>
      </c>
      <c r="BQ19" s="69">
        <f t="shared" si="41"/>
        <v>1.1222648684031167</v>
      </c>
      <c r="BR19" s="69">
        <f t="shared" si="8"/>
        <v>5.2707721584889103E-3</v>
      </c>
      <c r="BS19" s="69">
        <f t="shared" si="42"/>
        <v>9.3415956659879604E-2</v>
      </c>
      <c r="BU19" s="82">
        <v>45046.5</v>
      </c>
      <c r="BV19" s="112">
        <v>3.9579148000000001E-2</v>
      </c>
      <c r="BW19" s="83">
        <v>64.837941950000001</v>
      </c>
      <c r="BX19" s="112">
        <v>7811</v>
      </c>
      <c r="BY19" s="83">
        <f t="shared" si="9"/>
        <v>130.18333333333334</v>
      </c>
      <c r="BZ19" s="84">
        <f t="shared" si="10"/>
        <v>5.152545417133334</v>
      </c>
      <c r="CA19" s="83">
        <f t="shared" si="11"/>
        <v>82.895447836785578</v>
      </c>
      <c r="CC19" s="87">
        <v>45047.375</v>
      </c>
      <c r="CD19" s="109">
        <v>3.8140436455335998E-2</v>
      </c>
      <c r="CE19" s="88">
        <v>80.086877509999994</v>
      </c>
      <c r="CF19" s="89">
        <v>7934</v>
      </c>
      <c r="CG19" s="90">
        <f t="shared" si="43"/>
        <v>132.23333333333332</v>
      </c>
      <c r="CH19" s="91">
        <f t="shared" si="44"/>
        <v>5.0434370472772629</v>
      </c>
      <c r="CI19" s="91">
        <f t="shared" si="45"/>
        <v>82.031152042436332</v>
      </c>
      <c r="CK19" s="93">
        <v>45049.416666666664</v>
      </c>
      <c r="CL19">
        <v>3.3986498531050999E-2</v>
      </c>
      <c r="CM19" s="95">
        <v>90.060609240000005</v>
      </c>
      <c r="CN19" s="4">
        <v>11220</v>
      </c>
      <c r="CO19" s="95">
        <f t="shared" si="46"/>
        <v>187</v>
      </c>
      <c r="CP19" s="94">
        <f t="shared" si="47"/>
        <v>6.3554752253065372</v>
      </c>
      <c r="CQ19" s="96">
        <f t="shared" si="48"/>
        <v>91.866079568496914</v>
      </c>
      <c r="CS19" s="10">
        <v>45050.677083333336</v>
      </c>
      <c r="CT19" s="110">
        <v>8.9628573082391402E-2</v>
      </c>
      <c r="CU19" s="21">
        <v>102.17638460000001</v>
      </c>
      <c r="CV19" s="111">
        <v>3910</v>
      </c>
      <c r="CW19" s="21">
        <f t="shared" si="49"/>
        <v>65.166666666666671</v>
      </c>
      <c r="CX19" s="21">
        <f t="shared" si="50"/>
        <v>5.8407953458691733</v>
      </c>
      <c r="CY19" s="21">
        <f t="shared" si="51"/>
        <v>88.144440596080628</v>
      </c>
    </row>
    <row r="20" spans="1:103" x14ac:dyDescent="0.25">
      <c r="A20" s="10">
        <v>44776.177777777775</v>
      </c>
      <c r="B20" s="11">
        <v>1.7356257073646499E-3</v>
      </c>
      <c r="C20" s="12">
        <v>0.74046465699999997</v>
      </c>
      <c r="D20" s="9">
        <v>114</v>
      </c>
      <c r="E20" s="13">
        <f t="shared" si="12"/>
        <v>1.9</v>
      </c>
      <c r="F20" s="12">
        <f t="shared" si="13"/>
        <v>3.2976888439928348E-3</v>
      </c>
      <c r="G20" s="13">
        <f t="shared" si="14"/>
        <v>2.2621472474486231</v>
      </c>
      <c r="H20" s="11">
        <f t="shared" si="15"/>
        <v>1.3484415539742958E-3</v>
      </c>
      <c r="I20" s="125">
        <f t="shared" si="16"/>
        <v>3.0503733496682972E-3</v>
      </c>
      <c r="J20" s="21">
        <f>IF((F20-$K$96)/($I$96-$K$96)&lt;0, 0, IF((F20-$K$96)/($I$96-$K$96)&gt;1, 1, (F20-$K$96)/($I$96-$K$96)))</f>
        <v>0</v>
      </c>
      <c r="K20" s="125">
        <f t="shared" si="17"/>
        <v>0</v>
      </c>
      <c r="M20" s="25">
        <v>44781.177777777775</v>
      </c>
      <c r="N20" s="26">
        <v>3.6624164427138698E-3</v>
      </c>
      <c r="O20" s="27">
        <v>1.3008491654999901</v>
      </c>
      <c r="P20" s="28">
        <v>1061</v>
      </c>
      <c r="Q20" s="29">
        <f t="shared" si="18"/>
        <v>17.683333333333334</v>
      </c>
      <c r="R20" s="26">
        <f t="shared" si="0"/>
        <v>6.4763730761990268E-2</v>
      </c>
      <c r="S20" s="29">
        <f t="shared" si="19"/>
        <v>9.7221608905720132</v>
      </c>
      <c r="T20" s="29">
        <f t="shared" si="20"/>
        <v>2.6659150871510205E-4</v>
      </c>
      <c r="U20" s="126">
        <f t="shared" si="21"/>
        <v>2.591845539788553E-3</v>
      </c>
      <c r="V20" s="128">
        <f>IF((R20-$W$102)/($U$101-$W$102)&lt;0, 0, IF((R20-$W$102)/($U$101-$W$102)&gt;1, 1, (R20-$W$102)/($U$101-$W$102)))</f>
        <v>9.592888142485009E-3</v>
      </c>
      <c r="W20" s="126">
        <f t="shared" si="22"/>
        <v>9.3263601926499753E-2</v>
      </c>
      <c r="Y20" s="35">
        <v>45136.177083333336</v>
      </c>
      <c r="Z20" s="71">
        <v>9.9010951442485198E-3</v>
      </c>
      <c r="AA20" s="70">
        <v>1.4444654269999999</v>
      </c>
      <c r="AB20" s="36">
        <v>5082</v>
      </c>
      <c r="AC20" s="37">
        <f t="shared" si="23"/>
        <v>84.7</v>
      </c>
      <c r="AD20" s="37">
        <f t="shared" si="1"/>
        <v>0.83862275871784964</v>
      </c>
      <c r="AE20" s="38">
        <f t="shared" si="24"/>
        <v>34.074083109995165</v>
      </c>
      <c r="AF20" s="38">
        <f t="shared" si="25"/>
        <v>2.4675109726830919E-2</v>
      </c>
      <c r="AG20" s="38">
        <f t="shared" si="26"/>
        <v>0.84078173958028679</v>
      </c>
      <c r="AH20" s="38">
        <f t="shared" si="2"/>
        <v>9.4656185606302248E-2</v>
      </c>
      <c r="AI20" s="38">
        <f t="shared" si="27"/>
        <v>3.225322735224271</v>
      </c>
      <c r="AK20" s="45">
        <v>45151.177083333336</v>
      </c>
      <c r="AL20" s="4">
        <v>4.7047652576974897E-3</v>
      </c>
      <c r="AM20" s="3">
        <v>0.59425534599999996</v>
      </c>
      <c r="AN20" s="4">
        <v>971</v>
      </c>
      <c r="AO20" s="46">
        <f t="shared" si="28"/>
        <v>16.183333333333334</v>
      </c>
      <c r="AP20" s="47">
        <f t="shared" si="3"/>
        <v>7.6138784420404379E-2</v>
      </c>
      <c r="AQ20" s="50">
        <f t="shared" si="29"/>
        <v>10.523883237973774</v>
      </c>
      <c r="AR20" s="50">
        <f t="shared" si="30"/>
        <v>0</v>
      </c>
      <c r="AS20" s="50">
        <f t="shared" si="31"/>
        <v>0</v>
      </c>
      <c r="AT20" s="50">
        <f t="shared" si="4"/>
        <v>0</v>
      </c>
      <c r="AU20" s="50">
        <f t="shared" si="32"/>
        <v>0</v>
      </c>
      <c r="AW20" s="51">
        <v>45166.177083333336</v>
      </c>
      <c r="AX20" s="72">
        <v>1.1255773787276701E-2</v>
      </c>
      <c r="AY20" s="73">
        <v>0.42386643899999998</v>
      </c>
      <c r="AZ20" s="52">
        <v>4560</v>
      </c>
      <c r="BA20" s="53">
        <f t="shared" si="33"/>
        <v>76</v>
      </c>
      <c r="BB20" s="72">
        <f t="shared" si="5"/>
        <v>0.85543880783302928</v>
      </c>
      <c r="BC20" s="54">
        <f t="shared" si="34"/>
        <v>34.406977289796167</v>
      </c>
      <c r="BD20" s="54">
        <f t="shared" si="35"/>
        <v>2.3952851071099918E-2</v>
      </c>
      <c r="BE20" s="54">
        <f t="shared" si="36"/>
        <v>0.82414520282920467</v>
      </c>
      <c r="BF20" s="54">
        <f t="shared" si="6"/>
        <v>3.3290078560402635E-2</v>
      </c>
      <c r="BG20" s="54">
        <f t="shared" si="37"/>
        <v>1.1454109770033036</v>
      </c>
      <c r="BI20" s="66">
        <v>45183.177083333336</v>
      </c>
      <c r="BJ20" s="67">
        <v>6.5771868994116802E-3</v>
      </c>
      <c r="BK20" s="68">
        <v>0.53201108200000002</v>
      </c>
      <c r="BL20" s="68">
        <v>1864</v>
      </c>
      <c r="BM20" s="68">
        <f t="shared" si="38"/>
        <v>31.066666666666666</v>
      </c>
      <c r="BN20" s="68">
        <f t="shared" si="7"/>
        <v>0.20433127300838952</v>
      </c>
      <c r="BO20" s="69">
        <f t="shared" si="39"/>
        <v>17.065717971301655</v>
      </c>
      <c r="BP20" s="69">
        <f t="shared" si="40"/>
        <v>6.3321113804638007E-2</v>
      </c>
      <c r="BQ20" s="69">
        <f t="shared" si="41"/>
        <v>1.0806202698186482</v>
      </c>
      <c r="BR20" s="69">
        <f t="shared" si="8"/>
        <v>3.8667376626921445E-3</v>
      </c>
      <c r="BS20" s="69">
        <f t="shared" si="42"/>
        <v>6.5988654420514284E-2</v>
      </c>
      <c r="BU20" s="82">
        <v>45046.510416666664</v>
      </c>
      <c r="BV20" s="112">
        <v>3.8729895E-2</v>
      </c>
      <c r="BW20" s="83">
        <v>69.36581735</v>
      </c>
      <c r="BX20" s="112">
        <v>7506</v>
      </c>
      <c r="BY20" s="83">
        <f t="shared" si="9"/>
        <v>125.1</v>
      </c>
      <c r="BZ20" s="84">
        <f t="shared" si="10"/>
        <v>4.8451098644999995</v>
      </c>
      <c r="CA20" s="83">
        <f t="shared" si="11"/>
        <v>80.435317409263035</v>
      </c>
      <c r="CC20" s="87">
        <v>45047.385416666664</v>
      </c>
      <c r="CD20" s="109">
        <v>3.62703562916592E-2</v>
      </c>
      <c r="CE20" s="88">
        <v>75.208694050000005</v>
      </c>
      <c r="CF20" s="89">
        <v>7674</v>
      </c>
      <c r="CG20" s="90">
        <f t="shared" si="43"/>
        <v>127.9</v>
      </c>
      <c r="CH20" s="91">
        <f t="shared" si="44"/>
        <v>4.6389785697032115</v>
      </c>
      <c r="CI20" s="91">
        <f t="shared" si="45"/>
        <v>78.740945511937539</v>
      </c>
      <c r="CK20" s="93">
        <v>45049.427083333336</v>
      </c>
      <c r="CL20">
        <v>3.1895469144758902E-2</v>
      </c>
      <c r="CM20" s="95">
        <v>91.338086169999997</v>
      </c>
      <c r="CN20" s="4">
        <v>11199</v>
      </c>
      <c r="CO20" s="95">
        <f t="shared" si="46"/>
        <v>186.65</v>
      </c>
      <c r="CP20" s="94">
        <f t="shared" si="47"/>
        <v>5.9532893158692488</v>
      </c>
      <c r="CQ20" s="96">
        <f t="shared" si="48"/>
        <v>88.971741236145789</v>
      </c>
      <c r="CS20" s="10">
        <v>45050.6875</v>
      </c>
      <c r="CT20" s="110">
        <v>9.5258142347790301E-2</v>
      </c>
      <c r="CU20" s="21">
        <v>105.0235411</v>
      </c>
      <c r="CV20" s="111">
        <v>3885</v>
      </c>
      <c r="CW20" s="21">
        <f t="shared" si="49"/>
        <v>64.75</v>
      </c>
      <c r="CX20" s="21">
        <f t="shared" si="50"/>
        <v>6.1679647170194221</v>
      </c>
      <c r="CY20" s="21">
        <f t="shared" si="51"/>
        <v>90.528655761461692</v>
      </c>
    </row>
    <row r="21" spans="1:103" x14ac:dyDescent="0.25">
      <c r="A21" s="10">
        <v>44776.188194444447</v>
      </c>
      <c r="B21" s="11">
        <v>1.47959596568332E-3</v>
      </c>
      <c r="C21" s="12">
        <v>0.74873955049999996</v>
      </c>
      <c r="D21" s="9">
        <v>125</v>
      </c>
      <c r="E21" s="13">
        <f t="shared" si="12"/>
        <v>2.0833333333333335</v>
      </c>
      <c r="F21" s="12">
        <f t="shared" si="13"/>
        <v>3.0824915951735837E-3</v>
      </c>
      <c r="G21" s="13">
        <f t="shared" si="14"/>
        <v>2.1886123908823101</v>
      </c>
      <c r="H21" s="11">
        <f t="shared" si="15"/>
        <v>2.0406358917513579E-3</v>
      </c>
      <c r="I21" s="125">
        <f t="shared" si="16"/>
        <v>4.4661609979661943E-3</v>
      </c>
      <c r="J21" s="21">
        <f>IF((F21-$K$96)/($I$96-$K$96)&lt;0, 0, IF((F21-$K$96)/($I$96-$K$96)&gt;1, 1, (F21-$K$96)/($I$96-$K$96)))</f>
        <v>0</v>
      </c>
      <c r="K21" s="125">
        <f t="shared" si="17"/>
        <v>0</v>
      </c>
      <c r="M21" s="25">
        <v>44781.188194444447</v>
      </c>
      <c r="N21" s="26">
        <v>3.8991349347515798E-3</v>
      </c>
      <c r="O21" s="27">
        <v>1.3675681405</v>
      </c>
      <c r="P21" s="28">
        <v>1087</v>
      </c>
      <c r="Q21" s="29">
        <f t="shared" si="18"/>
        <v>18.116666666666667</v>
      </c>
      <c r="R21" s="26">
        <f t="shared" si="0"/>
        <v>7.0639327901249452E-2</v>
      </c>
      <c r="S21" s="29">
        <f t="shared" si="19"/>
        <v>10.144524430776944</v>
      </c>
      <c r="T21" s="29">
        <f t="shared" si="20"/>
        <v>2.4387980431300337E-3</v>
      </c>
      <c r="U21" s="126">
        <f t="shared" si="21"/>
        <v>2.4740446330263628E-2</v>
      </c>
      <c r="V21" s="128">
        <f>IF((R21-$W$102)/($U$101-$W$102)&lt;0, 0, IF((R21-$W$102)/($U$101-$W$102)&gt;1, 1, (R21-$W$102)/($U$101-$W$102)))</f>
        <v>1.2571247420796572E-2</v>
      </c>
      <c r="W21" s="126">
        <f t="shared" si="22"/>
        <v>0.12752932658561247</v>
      </c>
      <c r="Y21" s="35">
        <v>45136.1875</v>
      </c>
      <c r="Z21" s="71">
        <v>6.7404973685643603E-3</v>
      </c>
      <c r="AA21" s="70">
        <v>0.99067576999999996</v>
      </c>
      <c r="AB21" s="36">
        <v>3435</v>
      </c>
      <c r="AC21" s="37">
        <f t="shared" si="23"/>
        <v>57.25</v>
      </c>
      <c r="AD21" s="37">
        <f t="shared" si="1"/>
        <v>0.38589347435030963</v>
      </c>
      <c r="AE21" s="38">
        <f t="shared" si="24"/>
        <v>23.299505046324192</v>
      </c>
      <c r="AF21" s="38">
        <f t="shared" si="25"/>
        <v>9.9069752538241945E-4</v>
      </c>
      <c r="AG21" s="38">
        <f t="shared" si="26"/>
        <v>2.3082761992028571E-2</v>
      </c>
      <c r="AH21" s="38">
        <f t="shared" si="2"/>
        <v>0</v>
      </c>
      <c r="AI21" s="38">
        <f t="shared" si="27"/>
        <v>0</v>
      </c>
      <c r="AK21" s="45">
        <v>45151.1875</v>
      </c>
      <c r="AL21" s="4">
        <v>5.2982144196189003E-3</v>
      </c>
      <c r="AM21" s="3">
        <v>0.562700329</v>
      </c>
      <c r="AN21" s="4">
        <v>1284</v>
      </c>
      <c r="AO21" s="46">
        <f t="shared" si="28"/>
        <v>21.4</v>
      </c>
      <c r="AP21" s="47">
        <f t="shared" si="3"/>
        <v>0.11338178857984446</v>
      </c>
      <c r="AQ21" s="50">
        <f t="shared" si="29"/>
        <v>12.789791024101083</v>
      </c>
      <c r="AR21" s="50">
        <f t="shared" si="30"/>
        <v>0</v>
      </c>
      <c r="AS21" s="50">
        <f t="shared" si="31"/>
        <v>0</v>
      </c>
      <c r="AT21" s="50">
        <f t="shared" si="4"/>
        <v>0</v>
      </c>
      <c r="AU21" s="50">
        <f t="shared" si="32"/>
        <v>0</v>
      </c>
      <c r="AW21" s="51">
        <v>45166.1875</v>
      </c>
      <c r="AX21" s="72">
        <v>8.4349085031616405E-3</v>
      </c>
      <c r="AY21" s="73">
        <v>0.35506608000000001</v>
      </c>
      <c r="AZ21" s="52">
        <v>3100</v>
      </c>
      <c r="BA21" s="53">
        <f t="shared" si="33"/>
        <v>51.666666666666664</v>
      </c>
      <c r="BB21" s="72">
        <f t="shared" si="5"/>
        <v>0.43580360599668472</v>
      </c>
      <c r="BC21" s="54">
        <f t="shared" si="34"/>
        <v>24.729441430649075</v>
      </c>
      <c r="BD21" s="54">
        <f t="shared" si="35"/>
        <v>0</v>
      </c>
      <c r="BE21" s="54">
        <f t="shared" si="36"/>
        <v>0</v>
      </c>
      <c r="BF21" s="54">
        <f t="shared" si="6"/>
        <v>0</v>
      </c>
      <c r="BG21" s="54">
        <f t="shared" si="37"/>
        <v>0</v>
      </c>
      <c r="BI21" s="66">
        <v>45183.1875</v>
      </c>
      <c r="BJ21" s="67">
        <v>6.0997399497197697E-3</v>
      </c>
      <c r="BK21" s="68">
        <v>0.59425534599999996</v>
      </c>
      <c r="BL21" s="68">
        <v>2261</v>
      </c>
      <c r="BM21" s="68">
        <f t="shared" si="38"/>
        <v>37.68333333333333</v>
      </c>
      <c r="BN21" s="68">
        <f t="shared" si="7"/>
        <v>0.22985853377193996</v>
      </c>
      <c r="BO21" s="69">
        <f t="shared" si="39"/>
        <v>18.078436337261952</v>
      </c>
      <c r="BP21" s="69">
        <f t="shared" si="40"/>
        <v>0.12721788649803784</v>
      </c>
      <c r="BQ21" s="69">
        <f t="shared" si="41"/>
        <v>2.2999004620157937</v>
      </c>
      <c r="BR21" s="69">
        <f t="shared" si="8"/>
        <v>6.0517461317655674E-3</v>
      </c>
      <c r="BS21" s="69">
        <f t="shared" si="42"/>
        <v>0.10940610717239509</v>
      </c>
      <c r="BU21" s="82">
        <v>45046.520833333336</v>
      </c>
      <c r="BV21" s="112">
        <v>4.1348962000000003E-2</v>
      </c>
      <c r="BW21" s="83">
        <v>70.720093730000002</v>
      </c>
      <c r="BX21" s="112">
        <v>7290</v>
      </c>
      <c r="BY21" s="83">
        <f t="shared" si="9"/>
        <v>121.5</v>
      </c>
      <c r="BZ21" s="84">
        <f t="shared" si="10"/>
        <v>5.0238988830000002</v>
      </c>
      <c r="CA21" s="83">
        <f t="shared" si="11"/>
        <v>81.875377684380638</v>
      </c>
      <c r="CC21" s="87">
        <v>45047.395833333336</v>
      </c>
      <c r="CD21" s="109">
        <v>3.1956244588670302E-2</v>
      </c>
      <c r="CE21" s="88">
        <v>76.544179459999995</v>
      </c>
      <c r="CF21" s="89">
        <v>8043</v>
      </c>
      <c r="CG21" s="90">
        <f t="shared" si="43"/>
        <v>134.05000000000001</v>
      </c>
      <c r="CH21" s="91">
        <f t="shared" si="44"/>
        <v>4.2837345871112547</v>
      </c>
      <c r="CI21" s="91">
        <f t="shared" si="45"/>
        <v>75.728106483527228</v>
      </c>
      <c r="CK21" s="93">
        <v>45049.4375</v>
      </c>
      <c r="CL21">
        <v>3.0129952470423299E-2</v>
      </c>
      <c r="CM21" s="95">
        <v>87.058386479999996</v>
      </c>
      <c r="CN21" s="4">
        <v>10980</v>
      </c>
      <c r="CO21" s="95">
        <f t="shared" si="46"/>
        <v>183</v>
      </c>
      <c r="CP21" s="94">
        <f t="shared" si="47"/>
        <v>5.5137813020874633</v>
      </c>
      <c r="CQ21" s="96">
        <f t="shared" si="48"/>
        <v>85.692227206089811</v>
      </c>
      <c r="CS21" s="10">
        <v>45050.697916666664</v>
      </c>
      <c r="CT21" s="110">
        <v>9.0552866206561694E-2</v>
      </c>
      <c r="CU21" s="21">
        <v>109.0251016</v>
      </c>
      <c r="CV21" s="111">
        <v>3934</v>
      </c>
      <c r="CW21" s="21">
        <f t="shared" si="49"/>
        <v>65.566666666666663</v>
      </c>
      <c r="CX21" s="21">
        <f t="shared" si="50"/>
        <v>5.9372495942768948</v>
      </c>
      <c r="CY21" s="21">
        <f t="shared" si="51"/>
        <v>88.854272881494097</v>
      </c>
    </row>
    <row r="22" spans="1:103" x14ac:dyDescent="0.25">
      <c r="A22" s="10">
        <v>44776.198611111111</v>
      </c>
      <c r="B22" s="11">
        <v>1.5884123237744599E-3</v>
      </c>
      <c r="C22" s="12">
        <v>0.73845619600000001</v>
      </c>
      <c r="D22" s="9">
        <v>104</v>
      </c>
      <c r="E22" s="13">
        <f t="shared" si="12"/>
        <v>1.7333333333333334</v>
      </c>
      <c r="F22" s="12">
        <f t="shared" si="13"/>
        <v>2.7532480278757306E-3</v>
      </c>
      <c r="G22" s="13">
        <f t="shared" si="14"/>
        <v>2.0708367050090577</v>
      </c>
      <c r="H22" s="11">
        <f t="shared" si="15"/>
        <v>1.1804339135320315E-3</v>
      </c>
      <c r="I22" s="125">
        <f t="shared" si="16"/>
        <v>2.4444858759796193E-3</v>
      </c>
      <c r="J22" s="21">
        <f>IF((F22-$K$96)/($I$96-$K$96)&lt;0, 0, IF((F22-$K$96)/($I$96-$K$96)&gt;1, 1, (F22-$K$96)/($I$96-$K$96)))</f>
        <v>0</v>
      </c>
      <c r="K22" s="125">
        <f t="shared" si="17"/>
        <v>0</v>
      </c>
      <c r="M22" s="25">
        <v>44781.198611111111</v>
      </c>
      <c r="N22" s="26">
        <v>3.3141810254827902E-3</v>
      </c>
      <c r="O22" s="27">
        <v>1.3727610129999901</v>
      </c>
      <c r="P22" s="28">
        <v>1092</v>
      </c>
      <c r="Q22" s="29">
        <f t="shared" si="18"/>
        <v>18.2</v>
      </c>
      <c r="R22" s="26">
        <f t="shared" si="0"/>
        <v>6.0318094663786778E-2</v>
      </c>
      <c r="S22" s="29">
        <f t="shared" si="19"/>
        <v>9.3894205084169062</v>
      </c>
      <c r="T22" s="29">
        <f t="shared" si="20"/>
        <v>2.6078652624160082E-3</v>
      </c>
      <c r="U22" s="126">
        <f t="shared" si="21"/>
        <v>2.4486343578116906E-2</v>
      </c>
      <c r="V22" s="128">
        <f>IF((R22-$W$102)/($U$101-$W$102)&lt;0, 0, IF((R22-$W$102)/($U$101-$W$102)&gt;1, 1, (R22-$W$102)/($U$101-$W$102)))</f>
        <v>7.3393807614887327E-3</v>
      </c>
      <c r="W22" s="126">
        <f t="shared" si="22"/>
        <v>6.89125322410028E-2</v>
      </c>
      <c r="Y22" s="35">
        <v>45136.197916666664</v>
      </c>
      <c r="Z22" s="71">
        <v>5.6858206324155898E-3</v>
      </c>
      <c r="AA22" s="70">
        <v>0.85462156099999997</v>
      </c>
      <c r="AB22" s="36">
        <v>2904</v>
      </c>
      <c r="AC22" s="37">
        <f t="shared" si="23"/>
        <v>48.4</v>
      </c>
      <c r="AD22" s="37">
        <f t="shared" si="1"/>
        <v>0.27519371860891456</v>
      </c>
      <c r="AE22" s="38">
        <f t="shared" si="24"/>
        <v>19.74442880413374</v>
      </c>
      <c r="AF22" s="38">
        <f t="shared" si="25"/>
        <v>0</v>
      </c>
      <c r="AG22" s="38">
        <f t="shared" si="26"/>
        <v>0</v>
      </c>
      <c r="AH22" s="38">
        <f t="shared" si="2"/>
        <v>0</v>
      </c>
      <c r="AI22" s="38">
        <f t="shared" si="27"/>
        <v>0</v>
      </c>
      <c r="AK22" s="45">
        <v>45151.197916666664</v>
      </c>
      <c r="AL22" s="4">
        <v>5.8498293776496797E-3</v>
      </c>
      <c r="AM22" s="3">
        <v>0.59425534599999996</v>
      </c>
      <c r="AN22" s="4">
        <v>1244</v>
      </c>
      <c r="AO22" s="46">
        <f t="shared" si="28"/>
        <v>20.733333333333334</v>
      </c>
      <c r="AP22" s="47">
        <f t="shared" si="3"/>
        <v>0.1212864624299367</v>
      </c>
      <c r="AQ22" s="50">
        <f t="shared" si="29"/>
        <v>13.218935705818058</v>
      </c>
      <c r="AR22" s="50">
        <f t="shared" si="30"/>
        <v>0</v>
      </c>
      <c r="AS22" s="50">
        <f t="shared" si="31"/>
        <v>0</v>
      </c>
      <c r="AT22" s="50">
        <f t="shared" si="4"/>
        <v>4.1336867820675449E-4</v>
      </c>
      <c r="AU22" s="50">
        <f t="shared" si="32"/>
        <v>5.4642939800140823E-3</v>
      </c>
      <c r="AW22" s="51">
        <v>45166.197916666664</v>
      </c>
      <c r="AX22" s="72">
        <v>1.07823517675974E-2</v>
      </c>
      <c r="AY22" s="73">
        <v>0.376777213</v>
      </c>
      <c r="AZ22" s="52">
        <v>3703</v>
      </c>
      <c r="BA22" s="53">
        <f t="shared" si="33"/>
        <v>61.716666666666669</v>
      </c>
      <c r="BB22" s="72">
        <f t="shared" si="5"/>
        <v>0.66545080992355288</v>
      </c>
      <c r="BC22" s="54">
        <f t="shared" si="34"/>
        <v>30.425202491694701</v>
      </c>
      <c r="BD22" s="54">
        <f t="shared" si="35"/>
        <v>0</v>
      </c>
      <c r="BE22" s="54">
        <f t="shared" si="36"/>
        <v>0</v>
      </c>
      <c r="BF22" s="54">
        <f t="shared" si="6"/>
        <v>2.932355707728792E-3</v>
      </c>
      <c r="BG22" s="54">
        <f t="shared" si="37"/>
        <v>8.9217516185325224E-2</v>
      </c>
      <c r="BI22" s="66">
        <v>45183.197916666664</v>
      </c>
      <c r="BJ22" s="67">
        <v>6.9573588135786804E-3</v>
      </c>
      <c r="BK22" s="68">
        <v>0.50323377899999999</v>
      </c>
      <c r="BL22" s="68">
        <v>1616</v>
      </c>
      <c r="BM22" s="68">
        <f t="shared" si="38"/>
        <v>26.933333333333334</v>
      </c>
      <c r="BN22" s="68">
        <f t="shared" si="7"/>
        <v>0.18738486404571914</v>
      </c>
      <c r="BO22" s="69">
        <f t="shared" si="39"/>
        <v>16.35730234789234</v>
      </c>
      <c r="BP22" s="69">
        <f t="shared" si="40"/>
        <v>3.3779808785430195E-2</v>
      </c>
      <c r="BQ22" s="69">
        <f t="shared" si="41"/>
        <v>0.55254654555727156</v>
      </c>
      <c r="BR22" s="69">
        <f t="shared" si="8"/>
        <v>2.4162080721186153E-3</v>
      </c>
      <c r="BS22" s="69">
        <f t="shared" si="42"/>
        <v>3.9522645971062247E-2</v>
      </c>
      <c r="BU22" s="82">
        <v>45046.53125</v>
      </c>
      <c r="BV22" s="112">
        <v>4.3199295999999998E-2</v>
      </c>
      <c r="BW22" s="83">
        <v>70.720093730000002</v>
      </c>
      <c r="BX22" s="112">
        <v>7405</v>
      </c>
      <c r="BY22" s="83">
        <f t="shared" si="9"/>
        <v>123.41666666666667</v>
      </c>
      <c r="BZ22" s="84">
        <f t="shared" si="10"/>
        <v>5.3315131146666666</v>
      </c>
      <c r="CA22" s="83">
        <f t="shared" si="11"/>
        <v>84.293148078854855</v>
      </c>
      <c r="CC22" s="87">
        <v>45047.40625</v>
      </c>
      <c r="CD22" s="109">
        <v>3.68131211742855E-2</v>
      </c>
      <c r="CE22" s="88">
        <v>76.986061320000005</v>
      </c>
      <c r="CF22" s="89">
        <v>7984</v>
      </c>
      <c r="CG22" s="90">
        <f t="shared" si="43"/>
        <v>133.06666666666666</v>
      </c>
      <c r="CH22" s="91">
        <f t="shared" si="44"/>
        <v>4.8985993242582566</v>
      </c>
      <c r="CI22" s="91">
        <f t="shared" si="45"/>
        <v>80.868951261887133</v>
      </c>
      <c r="CK22" s="93">
        <v>45049.447916666664</v>
      </c>
      <c r="CL22">
        <v>3.1087615821491998E-2</v>
      </c>
      <c r="CM22" s="95">
        <v>93.877037450000003</v>
      </c>
      <c r="CN22" s="4">
        <v>10946</v>
      </c>
      <c r="CO22" s="95">
        <f t="shared" si="46"/>
        <v>182.43333333333334</v>
      </c>
      <c r="CP22" s="94">
        <f t="shared" si="47"/>
        <v>5.6714173797008574</v>
      </c>
      <c r="CQ22" s="96">
        <f t="shared" si="48"/>
        <v>86.883313214061388</v>
      </c>
      <c r="CS22" s="10">
        <v>45050.708333333336</v>
      </c>
      <c r="CT22" s="110">
        <v>0.10160286160528401</v>
      </c>
      <c r="CU22" s="21">
        <v>110.21295859999999</v>
      </c>
      <c r="CV22" s="111">
        <v>4082</v>
      </c>
      <c r="CW22" s="21">
        <f t="shared" si="49"/>
        <v>68.033333333333331</v>
      </c>
      <c r="CX22" s="21">
        <f t="shared" si="50"/>
        <v>6.9123813512128214</v>
      </c>
      <c r="CY22" s="21">
        <f t="shared" si="51"/>
        <v>95.723654903072273</v>
      </c>
    </row>
    <row r="23" spans="1:103" x14ac:dyDescent="0.25">
      <c r="A23" s="10">
        <v>44776.209027777775</v>
      </c>
      <c r="B23" s="11">
        <v>1.58726559516091E-3</v>
      </c>
      <c r="C23" s="12">
        <v>0.726575334499999</v>
      </c>
      <c r="D23" s="9">
        <v>120</v>
      </c>
      <c r="E23" s="13">
        <f t="shared" si="12"/>
        <v>2</v>
      </c>
      <c r="F23" s="12">
        <f t="shared" si="13"/>
        <v>3.1745311903218199E-3</v>
      </c>
      <c r="G23" s="13">
        <f t="shared" si="14"/>
        <v>2.2203737895454494</v>
      </c>
      <c r="H23" s="11">
        <f t="shared" si="15"/>
        <v>1.8660057196525506E-4</v>
      </c>
      <c r="I23" s="125">
        <f t="shared" si="16"/>
        <v>4.1432301910584172E-4</v>
      </c>
      <c r="J23" s="21">
        <f>IF((F23-$K$96)/($I$96-$K$96)&lt;0, 0, IF((F23-$K$96)/($I$96-$K$96)&gt;1, 1, (F23-$K$96)/($I$96-$K$96)))</f>
        <v>0</v>
      </c>
      <c r="K23" s="125">
        <f t="shared" si="17"/>
        <v>0</v>
      </c>
      <c r="M23" s="25">
        <v>44781.209027777775</v>
      </c>
      <c r="N23" s="26">
        <v>3.4286104158690999E-3</v>
      </c>
      <c r="O23" s="27">
        <v>1.3106306169999999</v>
      </c>
      <c r="P23" s="28">
        <v>1033</v>
      </c>
      <c r="Q23" s="29">
        <f t="shared" si="18"/>
        <v>17.216666666666665</v>
      </c>
      <c r="R23" s="26">
        <f t="shared" si="0"/>
        <v>5.9029242659879667E-2</v>
      </c>
      <c r="S23" s="29">
        <f t="shared" si="19"/>
        <v>9.2906308866960661</v>
      </c>
      <c r="T23" s="29">
        <f t="shared" si="20"/>
        <v>5.8505162990822601E-4</v>
      </c>
      <c r="U23" s="126">
        <f t="shared" si="21"/>
        <v>5.4354987431372405E-3</v>
      </c>
      <c r="V23" s="128">
        <f>IF((R23-$W$102)/($U$101-$W$102)&lt;0, 0, IF((R23-$W$102)/($U$101-$W$102)&gt;1, 1, (R23-$W$102)/($U$101-$W$102)))</f>
        <v>6.6860574935338462E-3</v>
      </c>
      <c r="W23" s="126">
        <f t="shared" si="22"/>
        <v>6.2117692259651233E-2</v>
      </c>
      <c r="Y23" s="35">
        <v>45136.208333333336</v>
      </c>
      <c r="Z23" s="71">
        <v>6.6173558710812402E-3</v>
      </c>
      <c r="AA23" s="70">
        <v>0.99067576999999996</v>
      </c>
      <c r="AB23" s="36">
        <v>3871</v>
      </c>
      <c r="AC23" s="37">
        <f t="shared" si="23"/>
        <v>64.516666666666666</v>
      </c>
      <c r="AD23" s="37">
        <f t="shared" si="1"/>
        <v>0.42692974294925801</v>
      </c>
      <c r="AE23" s="38">
        <f t="shared" si="24"/>
        <v>24.481562219331547</v>
      </c>
      <c r="AF23" s="38">
        <f t="shared" si="25"/>
        <v>9.9069752538241945E-4</v>
      </c>
      <c r="AG23" s="38">
        <f t="shared" si="26"/>
        <v>2.4253823108187498E-2</v>
      </c>
      <c r="AH23" s="38">
        <f t="shared" si="2"/>
        <v>0</v>
      </c>
      <c r="AI23" s="38">
        <f t="shared" si="27"/>
        <v>0</v>
      </c>
      <c r="AK23" s="45">
        <v>45151.208333333336</v>
      </c>
      <c r="AL23" s="4">
        <v>4.5667705795279304E-3</v>
      </c>
      <c r="AM23" s="3">
        <v>0.59425534599999996</v>
      </c>
      <c r="AN23" s="4">
        <v>1149</v>
      </c>
      <c r="AO23" s="46">
        <f t="shared" si="28"/>
        <v>19.149999999999999</v>
      </c>
      <c r="AP23" s="47">
        <f t="shared" si="3"/>
        <v>8.7453656597959867E-2</v>
      </c>
      <c r="AQ23" s="50">
        <f t="shared" si="29"/>
        <v>11.262693512806807</v>
      </c>
      <c r="AR23" s="50">
        <f t="shared" si="30"/>
        <v>0</v>
      </c>
      <c r="AS23" s="50">
        <f t="shared" si="31"/>
        <v>0</v>
      </c>
      <c r="AT23" s="50">
        <f t="shared" si="4"/>
        <v>0</v>
      </c>
      <c r="AU23" s="50">
        <f t="shared" si="32"/>
        <v>0</v>
      </c>
      <c r="AW23" s="51">
        <v>45166.208333333336</v>
      </c>
      <c r="AX23" s="72">
        <v>8.9377314139924401E-3</v>
      </c>
      <c r="AY23" s="73">
        <v>0.376777213</v>
      </c>
      <c r="AZ23" s="52">
        <v>3760</v>
      </c>
      <c r="BA23" s="53">
        <f t="shared" si="33"/>
        <v>62.666666666666664</v>
      </c>
      <c r="BB23" s="72">
        <f t="shared" si="5"/>
        <v>0.56009783527685952</v>
      </c>
      <c r="BC23" s="54">
        <f t="shared" si="34"/>
        <v>27.962656108126847</v>
      </c>
      <c r="BD23" s="54">
        <f t="shared" si="35"/>
        <v>0</v>
      </c>
      <c r="BE23" s="54">
        <f t="shared" si="36"/>
        <v>0</v>
      </c>
      <c r="BF23" s="54">
        <f t="shared" si="6"/>
        <v>0</v>
      </c>
      <c r="BG23" s="54">
        <f t="shared" si="37"/>
        <v>0</v>
      </c>
      <c r="BI23" s="66">
        <v>45183.208333333336</v>
      </c>
      <c r="BJ23" s="67">
        <v>9.3871867972550108E-3</v>
      </c>
      <c r="BK23" s="68">
        <v>0.59425534599999996</v>
      </c>
      <c r="BL23" s="68">
        <v>2107</v>
      </c>
      <c r="BM23" s="68">
        <f t="shared" si="38"/>
        <v>35.116666666666667</v>
      </c>
      <c r="BN23" s="68">
        <f t="shared" si="7"/>
        <v>0.32964670969693849</v>
      </c>
      <c r="BO23" s="69">
        <f t="shared" si="39"/>
        <v>21.569598604395214</v>
      </c>
      <c r="BP23" s="69">
        <f t="shared" si="40"/>
        <v>0.12721788649803784</v>
      </c>
      <c r="BQ23" s="69">
        <f t="shared" si="41"/>
        <v>2.7440387470621856</v>
      </c>
      <c r="BR23" s="69">
        <f t="shared" si="8"/>
        <v>1.459312515120348E-2</v>
      </c>
      <c r="BS23" s="69">
        <f t="shared" si="42"/>
        <v>0.31476785189516326</v>
      </c>
      <c r="BU23" s="82">
        <v>45046.541666666664</v>
      </c>
      <c r="BV23" s="112">
        <v>4.3802595999999999E-2</v>
      </c>
      <c r="BW23" s="83">
        <v>72.069636250000002</v>
      </c>
      <c r="BX23" s="112">
        <v>6789</v>
      </c>
      <c r="BY23" s="83">
        <f t="shared" si="9"/>
        <v>113.15</v>
      </c>
      <c r="BZ23" s="84">
        <f t="shared" si="10"/>
        <v>4.9562637374000005</v>
      </c>
      <c r="CA23" s="83">
        <f t="shared" si="11"/>
        <v>81.333733145824112</v>
      </c>
      <c r="CC23" s="87">
        <v>45047.416666666664</v>
      </c>
      <c r="CD23" s="109">
        <v>3.4221448133734303E-2</v>
      </c>
      <c r="CE23" s="88">
        <v>77.875916610000004</v>
      </c>
      <c r="CF23" s="89">
        <v>7687</v>
      </c>
      <c r="CG23" s="90">
        <f t="shared" si="43"/>
        <v>128.11666666666667</v>
      </c>
      <c r="CH23" s="91">
        <f t="shared" si="44"/>
        <v>4.3843378634002601</v>
      </c>
      <c r="CI23" s="91">
        <f t="shared" si="45"/>
        <v>76.593865601946831</v>
      </c>
      <c r="CK23" s="93">
        <v>45049.458333333336</v>
      </c>
      <c r="CL23">
        <v>3.07404857913657E-2</v>
      </c>
      <c r="CM23" s="95">
        <v>89.209976960000006</v>
      </c>
      <c r="CN23" s="4">
        <v>10923</v>
      </c>
      <c r="CO23" s="95">
        <f t="shared" si="46"/>
        <v>182.05</v>
      </c>
      <c r="CP23" s="94">
        <f t="shared" si="47"/>
        <v>5.5963054383181259</v>
      </c>
      <c r="CQ23" s="96">
        <f t="shared" si="48"/>
        <v>86.317909340186262</v>
      </c>
      <c r="CS23" s="10">
        <v>45050.71875</v>
      </c>
      <c r="CT23" s="110">
        <v>9.4857197832264595E-2</v>
      </c>
      <c r="CU23" s="21">
        <v>118.36070239999999</v>
      </c>
      <c r="CV23" s="111">
        <v>3983</v>
      </c>
      <c r="CW23" s="21">
        <f t="shared" si="49"/>
        <v>66.38333333333334</v>
      </c>
      <c r="CX23" s="21">
        <f t="shared" si="50"/>
        <v>6.2969369827651649</v>
      </c>
      <c r="CY23" s="21">
        <f t="shared" si="51"/>
        <v>91.450742086367043</v>
      </c>
    </row>
    <row r="24" spans="1:103" x14ac:dyDescent="0.25">
      <c r="A24" s="10">
        <v>44776.219444444447</v>
      </c>
      <c r="B24" s="11">
        <v>1.80429829327259E-3</v>
      </c>
      <c r="C24" s="12">
        <v>0.78202204350000004</v>
      </c>
      <c r="D24" s="9">
        <v>99</v>
      </c>
      <c r="E24" s="13">
        <f t="shared" si="12"/>
        <v>1.65</v>
      </c>
      <c r="F24" s="12">
        <f t="shared" si="13"/>
        <v>2.9770921838997732E-3</v>
      </c>
      <c r="G24" s="13">
        <f t="shared" si="14"/>
        <v>2.1516403171733334</v>
      </c>
      <c r="H24" s="11">
        <f t="shared" si="15"/>
        <v>4.8247144060796438E-3</v>
      </c>
      <c r="I24" s="125">
        <f t="shared" si="16"/>
        <v>1.0381050034967955E-2</v>
      </c>
      <c r="J24" s="21">
        <f>IF((F24-$K$96)/($I$96-$K$96)&lt;0, 0, IF((F24-$K$96)/($I$96-$K$96)&gt;1, 1, (F24-$K$96)/($I$96-$K$96)))</f>
        <v>0</v>
      </c>
      <c r="K24" s="125">
        <f t="shared" si="17"/>
        <v>0</v>
      </c>
      <c r="M24" s="25">
        <v>44781.219444444447</v>
      </c>
      <c r="N24" s="26">
        <v>4.2977775352743596E-3</v>
      </c>
      <c r="O24" s="27">
        <v>1.3304172409999999</v>
      </c>
      <c r="P24" s="28">
        <v>962</v>
      </c>
      <c r="Q24" s="29">
        <f t="shared" si="18"/>
        <v>16.033333333333335</v>
      </c>
      <c r="R24" s="26">
        <f t="shared" si="0"/>
        <v>6.8907699815565576E-2</v>
      </c>
      <c r="S24" s="29">
        <f t="shared" si="19"/>
        <v>10.021974915550905</v>
      </c>
      <c r="T24" s="29">
        <f t="shared" si="20"/>
        <v>1.229255680507098E-3</v>
      </c>
      <c r="U24" s="126">
        <f t="shared" si="21"/>
        <v>1.2319569594840592E-2</v>
      </c>
      <c r="V24" s="128">
        <f>IF((R24-$W$102)/($U$101-$W$102)&lt;0, 0, IF((R24-$W$102)/($U$101-$W$102)&gt;1, 1, (R24-$W$102)/($U$101-$W$102)))</f>
        <v>1.1693479518514604E-2</v>
      </c>
      <c r="W24" s="126">
        <f t="shared" si="22"/>
        <v>0.11719175841006163</v>
      </c>
      <c r="Y24" s="35">
        <v>45136.21875</v>
      </c>
      <c r="Z24" s="71">
        <v>7.42178503414924E-3</v>
      </c>
      <c r="AA24" s="70">
        <v>0.99067576999999996</v>
      </c>
      <c r="AB24" s="36">
        <v>3997</v>
      </c>
      <c r="AC24" s="37">
        <f t="shared" si="23"/>
        <v>66.61666666666666</v>
      </c>
      <c r="AD24" s="37">
        <f t="shared" si="1"/>
        <v>0.49441457969157515</v>
      </c>
      <c r="AE24" s="38">
        <f t="shared" si="24"/>
        <v>26.305713580823937</v>
      </c>
      <c r="AF24" s="38">
        <f t="shared" si="25"/>
        <v>9.9069752538241945E-4</v>
      </c>
      <c r="AG24" s="38">
        <f t="shared" si="26"/>
        <v>2.606100534794098E-2</v>
      </c>
      <c r="AH24" s="38">
        <f t="shared" si="2"/>
        <v>3.3928794791294897E-3</v>
      </c>
      <c r="AI24" s="38">
        <f t="shared" si="27"/>
        <v>8.9252115792235465E-2</v>
      </c>
      <c r="AK24" s="45">
        <v>45151.21875</v>
      </c>
      <c r="AL24" s="4">
        <v>7.0063237541191301E-3</v>
      </c>
      <c r="AM24" s="3">
        <v>0.73497519099999997</v>
      </c>
      <c r="AN24" s="4">
        <v>1690</v>
      </c>
      <c r="AO24" s="46">
        <f t="shared" si="28"/>
        <v>28.166666666666668</v>
      </c>
      <c r="AP24" s="47">
        <f t="shared" si="3"/>
        <v>0.19734478574102218</v>
      </c>
      <c r="AQ24" s="50">
        <f t="shared" si="29"/>
        <v>16.777436215677767</v>
      </c>
      <c r="AR24" s="50">
        <f t="shared" si="30"/>
        <v>7.0609297721530184E-2</v>
      </c>
      <c r="AS24" s="50">
        <f t="shared" si="31"/>
        <v>1.1846429887567742</v>
      </c>
      <c r="AT24" s="50">
        <f t="shared" si="4"/>
        <v>6.064855391123302E-2</v>
      </c>
      <c r="AU24" s="50">
        <f t="shared" si="32"/>
        <v>1.0175272448188064</v>
      </c>
      <c r="AW24" s="51">
        <v>45166.21875</v>
      </c>
      <c r="AX24" s="72">
        <v>1.34519785504922E-2</v>
      </c>
      <c r="AY24" s="73">
        <v>0.44894941300000002</v>
      </c>
      <c r="AZ24" s="52">
        <v>4740</v>
      </c>
      <c r="BA24" s="53">
        <f t="shared" si="33"/>
        <v>79</v>
      </c>
      <c r="BB24" s="72">
        <f t="shared" si="5"/>
        <v>1.0627063054888839</v>
      </c>
      <c r="BC24" s="54">
        <f t="shared" si="34"/>
        <v>38.263805902213079</v>
      </c>
      <c r="BD24" s="54">
        <f t="shared" si="35"/>
        <v>3.7380996036869431E-2</v>
      </c>
      <c r="BE24" s="54">
        <f t="shared" si="36"/>
        <v>1.4303391767861682</v>
      </c>
      <c r="BF24" s="54">
        <f t="shared" si="6"/>
        <v>6.6408850900967487E-2</v>
      </c>
      <c r="BG24" s="54">
        <f t="shared" si="37"/>
        <v>2.5410553810636283</v>
      </c>
      <c r="BI24" s="66">
        <v>45183.21875</v>
      </c>
      <c r="BJ24" s="67">
        <v>5.9033224032472601E-3</v>
      </c>
      <c r="BK24" s="68">
        <v>0.44894941300000002</v>
      </c>
      <c r="BL24" s="68">
        <v>1340</v>
      </c>
      <c r="BM24" s="68">
        <f t="shared" si="38"/>
        <v>22.333333333333332</v>
      </c>
      <c r="BN24" s="68">
        <f t="shared" si="7"/>
        <v>0.13184086700585548</v>
      </c>
      <c r="BO24" s="69">
        <f t="shared" si="39"/>
        <v>13.770258794495726</v>
      </c>
      <c r="BP24" s="69">
        <f t="shared" si="40"/>
        <v>0</v>
      </c>
      <c r="BQ24" s="69">
        <f t="shared" si="41"/>
        <v>0</v>
      </c>
      <c r="BR24" s="69">
        <f t="shared" si="8"/>
        <v>0</v>
      </c>
      <c r="BS24" s="69">
        <f t="shared" si="42"/>
        <v>0</v>
      </c>
      <c r="BU24" s="82">
        <v>45046.552083333336</v>
      </c>
      <c r="BV24" s="112">
        <v>4.2883562E-2</v>
      </c>
      <c r="BW24" s="83">
        <v>75.208694050000005</v>
      </c>
      <c r="BX24" s="112">
        <v>7510</v>
      </c>
      <c r="BY24" s="83">
        <f t="shared" si="9"/>
        <v>125.16666666666667</v>
      </c>
      <c r="BZ24" s="84">
        <f t="shared" si="10"/>
        <v>5.367592510333334</v>
      </c>
      <c r="CA24" s="83">
        <f t="shared" si="11"/>
        <v>84.572006122249178</v>
      </c>
      <c r="CC24" s="87">
        <v>45047.427083333336</v>
      </c>
      <c r="CD24" s="109">
        <v>3.12946351509081E-2</v>
      </c>
      <c r="CE24" s="88">
        <v>75.652056590000001</v>
      </c>
      <c r="CF24" s="89">
        <v>8134</v>
      </c>
      <c r="CG24" s="90">
        <f t="shared" si="43"/>
        <v>135.56666666666666</v>
      </c>
      <c r="CH24" s="91">
        <f t="shared" si="44"/>
        <v>4.242509371958108</v>
      </c>
      <c r="CI24" s="91">
        <f t="shared" si="45"/>
        <v>75.370341479567273</v>
      </c>
      <c r="CK24" s="93">
        <v>45049.46875</v>
      </c>
      <c r="CL24">
        <v>2.9773411506068201E-2</v>
      </c>
      <c r="CM24" s="95">
        <v>91.338086169999997</v>
      </c>
      <c r="CN24" s="4">
        <v>10824</v>
      </c>
      <c r="CO24" s="95">
        <f t="shared" si="46"/>
        <v>180.4</v>
      </c>
      <c r="CP24" s="94">
        <f t="shared" si="47"/>
        <v>5.3711234356947033</v>
      </c>
      <c r="CQ24" s="96">
        <f t="shared" si="48"/>
        <v>84.5992452289033</v>
      </c>
      <c r="CS24" s="10">
        <v>45050.729166666664</v>
      </c>
      <c r="CT24" s="110">
        <v>9.2366959032670101E-2</v>
      </c>
      <c r="CU24" s="21">
        <v>114.1275401</v>
      </c>
      <c r="CV24" s="111">
        <v>4002</v>
      </c>
      <c r="CW24" s="21">
        <f t="shared" si="49"/>
        <v>66.7</v>
      </c>
      <c r="CX24" s="21">
        <f t="shared" si="50"/>
        <v>6.1608761674790964</v>
      </c>
      <c r="CY24" s="21">
        <f t="shared" si="51"/>
        <v>90.477692281217742</v>
      </c>
    </row>
    <row r="25" spans="1:103" x14ac:dyDescent="0.25">
      <c r="A25" s="10">
        <v>44776.229861111111</v>
      </c>
      <c r="B25" s="11">
        <v>1.7821104159901099E-3</v>
      </c>
      <c r="C25" s="12">
        <v>0.83594533650000002</v>
      </c>
      <c r="D25" s="9">
        <v>173</v>
      </c>
      <c r="E25" s="13">
        <f t="shared" si="12"/>
        <v>2.8833333333333333</v>
      </c>
      <c r="F25" s="12">
        <f t="shared" si="13"/>
        <v>5.1384183661048171E-3</v>
      </c>
      <c r="G25" s="13">
        <f t="shared" si="14"/>
        <v>2.8109089601537796</v>
      </c>
      <c r="H25" s="11">
        <f t="shared" si="15"/>
        <v>9.3353945844884077E-3</v>
      </c>
      <c r="I25" s="125">
        <f t="shared" si="16"/>
        <v>2.6240944284109537E-2</v>
      </c>
      <c r="J25" s="21">
        <f>IF((F25-$K$96)/($I$96-$K$96)&lt;0, 0, IF((F25-$K$96)/($I$96-$K$96)&gt;1, 1, (F25-$K$96)/($I$96-$K$96)))</f>
        <v>3.3997925543711327E-4</v>
      </c>
      <c r="K25" s="125">
        <f t="shared" si="17"/>
        <v>9.5565073537459222E-4</v>
      </c>
      <c r="M25" s="25">
        <v>44781.229861111111</v>
      </c>
      <c r="N25" s="26">
        <v>3.1614028096858902E-3</v>
      </c>
      <c r="O25" s="27">
        <v>1.2636095315</v>
      </c>
      <c r="P25" s="28">
        <v>1061</v>
      </c>
      <c r="Q25" s="29">
        <f t="shared" si="18"/>
        <v>17.683333333333334</v>
      </c>
      <c r="R25" s="26">
        <f t="shared" si="0"/>
        <v>5.5904139684612157E-2</v>
      </c>
      <c r="S25" s="29">
        <f t="shared" si="19"/>
        <v>9.0464232720722055</v>
      </c>
      <c r="T25" s="29">
        <f t="shared" si="20"/>
        <v>0</v>
      </c>
      <c r="U25" s="126">
        <f t="shared" si="21"/>
        <v>0</v>
      </c>
      <c r="V25" s="128">
        <f>IF((R25-$W$102)/($U$101-$W$102)&lt;0, 0, IF((R25-$W$102)/($U$101-$W$102)&gt;1, 1, (R25-$W$102)/($U$101-$W$102)))</f>
        <v>5.1019326426526299E-3</v>
      </c>
      <c r="W25" s="126">
        <f t="shared" si="22"/>
        <v>4.6154242191037601E-2</v>
      </c>
      <c r="Y25" s="35">
        <v>45136.229166666664</v>
      </c>
      <c r="Z25" s="71">
        <v>5.4099484718950902E-3</v>
      </c>
      <c r="AA25" s="70">
        <v>0.89783227600000004</v>
      </c>
      <c r="AB25" s="36">
        <v>2583</v>
      </c>
      <c r="AC25" s="37">
        <f t="shared" si="23"/>
        <v>43.05</v>
      </c>
      <c r="AD25" s="37">
        <f t="shared" si="1"/>
        <v>0.23289828171508362</v>
      </c>
      <c r="AE25" s="38">
        <f t="shared" si="24"/>
        <v>18.195119915262755</v>
      </c>
      <c r="AF25" s="38">
        <f t="shared" si="25"/>
        <v>0</v>
      </c>
      <c r="AG25" s="38">
        <f t="shared" si="26"/>
        <v>0</v>
      </c>
      <c r="AH25" s="38">
        <f t="shared" si="2"/>
        <v>0</v>
      </c>
      <c r="AI25" s="38">
        <f t="shared" si="27"/>
        <v>0</v>
      </c>
      <c r="AK25" s="45">
        <v>45151.229166666664</v>
      </c>
      <c r="AL25" s="4">
        <v>4.4516519692577696E-3</v>
      </c>
      <c r="AM25" s="3">
        <v>0.50323377899999999</v>
      </c>
      <c r="AN25" s="4">
        <v>868</v>
      </c>
      <c r="AO25" s="46">
        <f t="shared" si="28"/>
        <v>14.466666666666667</v>
      </c>
      <c r="AP25" s="47">
        <f t="shared" si="3"/>
        <v>6.4400565155262407E-2</v>
      </c>
      <c r="AQ25" s="50">
        <f t="shared" si="29"/>
        <v>9.695425382061428</v>
      </c>
      <c r="AR25" s="50">
        <f t="shared" si="30"/>
        <v>0</v>
      </c>
      <c r="AS25" s="50">
        <f t="shared" si="31"/>
        <v>0</v>
      </c>
      <c r="AT25" s="50">
        <f t="shared" si="4"/>
        <v>0</v>
      </c>
      <c r="AU25" s="50">
        <f t="shared" si="32"/>
        <v>0</v>
      </c>
      <c r="AW25" s="51">
        <v>45166.229166666664</v>
      </c>
      <c r="AX25" s="72">
        <v>1.3812905374086399E-2</v>
      </c>
      <c r="AY25" s="73">
        <v>0.44894941300000002</v>
      </c>
      <c r="AZ25" s="52">
        <v>5294</v>
      </c>
      <c r="BA25" s="53">
        <f t="shared" si="33"/>
        <v>88.233333333333334</v>
      </c>
      <c r="BB25" s="72">
        <f t="shared" si="5"/>
        <v>1.2187586841735567</v>
      </c>
      <c r="BC25" s="54">
        <f t="shared" si="34"/>
        <v>40.919234617726914</v>
      </c>
      <c r="BD25" s="54">
        <f t="shared" si="35"/>
        <v>3.7380996036869431E-2</v>
      </c>
      <c r="BE25" s="54">
        <f t="shared" si="36"/>
        <v>1.5296017470769803</v>
      </c>
      <c r="BF25" s="54">
        <f t="shared" si="6"/>
        <v>9.1344083203731316E-2</v>
      </c>
      <c r="BG25" s="54">
        <f t="shared" si="37"/>
        <v>3.7377299715546499</v>
      </c>
      <c r="BI25" s="66">
        <v>45183.229166666664</v>
      </c>
      <c r="BJ25" s="67">
        <v>1.00867925691819E-2</v>
      </c>
      <c r="BK25" s="68">
        <v>0.66228851600000005</v>
      </c>
      <c r="BL25" s="68">
        <v>2342</v>
      </c>
      <c r="BM25" s="68">
        <f t="shared" si="38"/>
        <v>39.033333333333331</v>
      </c>
      <c r="BN25" s="68">
        <f t="shared" si="7"/>
        <v>0.39372113661706681</v>
      </c>
      <c r="BO25" s="69">
        <f t="shared" si="39"/>
        <v>23.529760888500462</v>
      </c>
      <c r="BP25" s="69">
        <f t="shared" si="40"/>
        <v>0.19705725352953551</v>
      </c>
      <c r="BQ25" s="69">
        <f t="shared" si="41"/>
        <v>4.636710056894584</v>
      </c>
      <c r="BR25" s="69">
        <f t="shared" si="8"/>
        <v>2.0077582209416814E-2</v>
      </c>
      <c r="BS25" s="69">
        <f t="shared" si="42"/>
        <v>0.47242070860678842</v>
      </c>
      <c r="BU25" s="82">
        <v>45046.5625</v>
      </c>
      <c r="BV25" s="112">
        <v>4.2992486000000003E-2</v>
      </c>
      <c r="BW25" s="83">
        <v>72.069636250000002</v>
      </c>
      <c r="BX25" s="112">
        <v>7603</v>
      </c>
      <c r="BY25" s="83">
        <f t="shared" si="9"/>
        <v>126.71666666666667</v>
      </c>
      <c r="BZ25" s="84">
        <f t="shared" si="10"/>
        <v>5.4478645176333336</v>
      </c>
      <c r="CA25" s="83">
        <f t="shared" si="11"/>
        <v>85.189017822363695</v>
      </c>
      <c r="CC25" s="87">
        <v>45047.4375</v>
      </c>
      <c r="CD25" s="109">
        <v>3.2068923311150299E-2</v>
      </c>
      <c r="CE25" s="88">
        <v>76.986061320000005</v>
      </c>
      <c r="CF25" s="89">
        <v>7835</v>
      </c>
      <c r="CG25" s="90">
        <f t="shared" si="43"/>
        <v>130.58333333333334</v>
      </c>
      <c r="CH25" s="91">
        <f t="shared" si="44"/>
        <v>4.1876669023810438</v>
      </c>
      <c r="CI25" s="91">
        <f t="shared" si="45"/>
        <v>74.891640603794414</v>
      </c>
      <c r="CK25" s="93">
        <v>45049.479166666664</v>
      </c>
      <c r="CL25">
        <v>2.7410624320024599E-2</v>
      </c>
      <c r="CM25" s="95">
        <v>84.891986889999998</v>
      </c>
      <c r="CN25" s="4">
        <v>11303</v>
      </c>
      <c r="CO25" s="95">
        <f t="shared" si="46"/>
        <v>188.38333333333333</v>
      </c>
      <c r="CP25" s="94">
        <f t="shared" si="47"/>
        <v>5.1637047781539671</v>
      </c>
      <c r="CQ25" s="96">
        <f t="shared" si="48"/>
        <v>82.983317404170393</v>
      </c>
      <c r="CS25" s="10">
        <v>45050.739583333336</v>
      </c>
      <c r="CT25" s="110">
        <v>9.3560214596100005E-2</v>
      </c>
      <c r="CU25" s="21">
        <v>108.2271172</v>
      </c>
      <c r="CV25" s="111">
        <v>4034</v>
      </c>
      <c r="CW25" s="21">
        <f t="shared" si="49"/>
        <v>67.233333333333334</v>
      </c>
      <c r="CX25" s="21">
        <f t="shared" si="50"/>
        <v>6.2903650946777905</v>
      </c>
      <c r="CY25" s="21">
        <f t="shared" si="51"/>
        <v>91.403990769948379</v>
      </c>
    </row>
    <row r="26" spans="1:103" x14ac:dyDescent="0.25">
      <c r="A26" s="10">
        <v>44776.240277777775</v>
      </c>
      <c r="B26" s="11">
        <v>1.5586168093157399E-3</v>
      </c>
      <c r="C26" s="12">
        <v>0.78025976949999998</v>
      </c>
      <c r="D26" s="9">
        <v>131</v>
      </c>
      <c r="E26" s="13">
        <f t="shared" si="12"/>
        <v>2.1833333333333331</v>
      </c>
      <c r="F26" s="12">
        <f t="shared" si="13"/>
        <v>3.4029800336726986E-3</v>
      </c>
      <c r="G26" s="13">
        <f t="shared" si="14"/>
        <v>2.2972335025138353</v>
      </c>
      <c r="H26" s="11">
        <f t="shared" si="15"/>
        <v>4.6773002932077642E-3</v>
      </c>
      <c r="I26" s="125">
        <f t="shared" si="16"/>
        <v>1.0744850934874661E-2</v>
      </c>
      <c r="J26" s="21">
        <f>IF((F26-$K$96)/($I$96-$K$96)&lt;0, 0, IF((F26-$K$96)/($I$96-$K$96)&gt;1, 1, (F26-$K$96)/($I$96-$K$96)))</f>
        <v>0</v>
      </c>
      <c r="K26" s="125">
        <f t="shared" si="17"/>
        <v>0</v>
      </c>
      <c r="M26" s="25">
        <v>44781.240277777775</v>
      </c>
      <c r="N26" s="26">
        <v>3.86862997993025E-3</v>
      </c>
      <c r="O26" s="27">
        <v>1.269803263</v>
      </c>
      <c r="P26" s="28">
        <v>1015</v>
      </c>
      <c r="Q26" s="29">
        <f t="shared" si="18"/>
        <v>16.916666666666668</v>
      </c>
      <c r="R26" s="26">
        <f t="shared" si="0"/>
        <v>6.54443238271534E-2</v>
      </c>
      <c r="S26" s="29">
        <f t="shared" si="19"/>
        <v>9.7720595240525299</v>
      </c>
      <c r="T26" s="29">
        <f t="shared" si="20"/>
        <v>0</v>
      </c>
      <c r="U26" s="126">
        <f t="shared" si="21"/>
        <v>0</v>
      </c>
      <c r="V26" s="128">
        <f>IF((R26-$W$102)/($U$101-$W$102)&lt;0, 0, IF((R26-$W$102)/($U$101-$W$102)&gt;1, 1, (R26-$W$102)/($U$101-$W$102)))</f>
        <v>9.9378829783015946E-3</v>
      </c>
      <c r="W26" s="126">
        <f t="shared" si="22"/>
        <v>9.7113584007031614E-2</v>
      </c>
      <c r="Y26" s="35">
        <v>45136.239583333336</v>
      </c>
      <c r="Z26" s="71">
        <v>7.0601446291194197E-3</v>
      </c>
      <c r="AA26" s="70">
        <v>0.99067576999999996</v>
      </c>
      <c r="AB26" s="36">
        <v>2995</v>
      </c>
      <c r="AC26" s="37">
        <f t="shared" si="23"/>
        <v>49.916666666666664</v>
      </c>
      <c r="AD26" s="37">
        <f t="shared" si="1"/>
        <v>0.35241888607021099</v>
      </c>
      <c r="AE26" s="38">
        <f t="shared" si="24"/>
        <v>22.286838718986882</v>
      </c>
      <c r="AF26" s="38">
        <f t="shared" si="25"/>
        <v>9.9069752538241945E-4</v>
      </c>
      <c r="AG26" s="38">
        <f t="shared" si="26"/>
        <v>2.2079515967497396E-2</v>
      </c>
      <c r="AH26" s="38">
        <f t="shared" si="2"/>
        <v>0</v>
      </c>
      <c r="AI26" s="38">
        <f t="shared" si="27"/>
        <v>0</v>
      </c>
      <c r="AK26" s="45">
        <v>45151.239583333336</v>
      </c>
      <c r="AL26" s="4">
        <v>5.7212281035159502E-3</v>
      </c>
      <c r="AM26" s="3">
        <v>0.66228851600000005</v>
      </c>
      <c r="AN26" s="4">
        <v>1354</v>
      </c>
      <c r="AO26" s="46">
        <f t="shared" si="28"/>
        <v>22.566666666666666</v>
      </c>
      <c r="AP26" s="47">
        <f t="shared" si="3"/>
        <v>0.12910904753600994</v>
      </c>
      <c r="AQ26" s="50">
        <f t="shared" si="29"/>
        <v>13.629787270141717</v>
      </c>
      <c r="AR26" s="50">
        <f t="shared" si="30"/>
        <v>3.1070903181179155E-2</v>
      </c>
      <c r="AS26" s="50">
        <f t="shared" si="31"/>
        <v>0.42348980065064146</v>
      </c>
      <c r="AT26" s="50">
        <f t="shared" si="4"/>
        <v>6.6085468303493421E-3</v>
      </c>
      <c r="AU26" s="50">
        <f t="shared" si="32"/>
        <v>9.0073087462430854E-2</v>
      </c>
      <c r="AW26" s="51">
        <v>45166.239583333336</v>
      </c>
      <c r="AX26" s="72">
        <v>1.00243336046308E-2</v>
      </c>
      <c r="AY26" s="73">
        <v>0.42386643899999998</v>
      </c>
      <c r="AZ26" s="52">
        <v>4481</v>
      </c>
      <c r="BA26" s="53">
        <f t="shared" si="33"/>
        <v>74.683333333333337</v>
      </c>
      <c r="BB26" s="72">
        <f t="shared" si="5"/>
        <v>0.74865064803917691</v>
      </c>
      <c r="BC26" s="54">
        <f t="shared" si="34"/>
        <v>32.232064192136171</v>
      </c>
      <c r="BD26" s="54">
        <f t="shared" si="35"/>
        <v>2.3952851071099918E-2</v>
      </c>
      <c r="BE26" s="54">
        <f t="shared" si="36"/>
        <v>0.77204983330837018</v>
      </c>
      <c r="BF26" s="54">
        <f t="shared" si="6"/>
        <v>1.6226656688282794E-2</v>
      </c>
      <c r="BG26" s="54">
        <f t="shared" si="37"/>
        <v>0.52301864000048681</v>
      </c>
      <c r="BI26" s="66">
        <v>45183.239583333336</v>
      </c>
      <c r="BJ26" s="67">
        <v>6.3214542793526398E-3</v>
      </c>
      <c r="BK26" s="68">
        <v>0.44894941300000002</v>
      </c>
      <c r="BL26" s="68">
        <v>1314</v>
      </c>
      <c r="BM26" s="68">
        <f t="shared" si="38"/>
        <v>21.9</v>
      </c>
      <c r="BN26" s="68">
        <f t="shared" si="7"/>
        <v>0.13843984871782281</v>
      </c>
      <c r="BO26" s="69">
        <f t="shared" si="39"/>
        <v>14.103573338744019</v>
      </c>
      <c r="BP26" s="69">
        <f t="shared" si="40"/>
        <v>0</v>
      </c>
      <c r="BQ26" s="69">
        <f t="shared" si="41"/>
        <v>0</v>
      </c>
      <c r="BR26" s="69">
        <f t="shared" si="8"/>
        <v>0</v>
      </c>
      <c r="BS26" s="69">
        <f t="shared" si="42"/>
        <v>0</v>
      </c>
      <c r="BU26" s="82">
        <v>45046.572916666664</v>
      </c>
      <c r="BV26" s="112">
        <v>3.8530272999999997E-2</v>
      </c>
      <c r="BW26" s="83">
        <v>76.544179459999995</v>
      </c>
      <c r="BX26" s="112">
        <v>7537</v>
      </c>
      <c r="BY26" s="83">
        <f t="shared" si="9"/>
        <v>125.61666666666666</v>
      </c>
      <c r="BZ26" s="84">
        <f t="shared" si="10"/>
        <v>4.8400444600166663</v>
      </c>
      <c r="CA26" s="83">
        <f t="shared" si="11"/>
        <v>80.394126319763103</v>
      </c>
      <c r="CC26" s="87">
        <v>45047.447916666664</v>
      </c>
      <c r="CD26" s="109">
        <v>2.9763287703586699E-2</v>
      </c>
      <c r="CE26" s="88">
        <v>80.523852189999999</v>
      </c>
      <c r="CF26" s="89">
        <v>8774</v>
      </c>
      <c r="CG26" s="90">
        <f t="shared" si="43"/>
        <v>146.23333333333332</v>
      </c>
      <c r="CH26" s="91">
        <f t="shared" si="44"/>
        <v>4.3523847718544948</v>
      </c>
      <c r="CI26" s="91">
        <f t="shared" si="45"/>
        <v>76.319996669366716</v>
      </c>
      <c r="CK26" s="93">
        <v>45049.489583333336</v>
      </c>
      <c r="CL26">
        <v>3.04615078720674E-2</v>
      </c>
      <c r="CM26" s="95">
        <v>87.058386479999996</v>
      </c>
      <c r="CN26" s="4">
        <v>10827</v>
      </c>
      <c r="CO26" s="95">
        <f t="shared" si="46"/>
        <v>180.45</v>
      </c>
      <c r="CP26" s="94">
        <f t="shared" si="47"/>
        <v>5.4967790955145617</v>
      </c>
      <c r="CQ26" s="96">
        <f t="shared" si="48"/>
        <v>85.562727323064166</v>
      </c>
      <c r="CS26" s="10">
        <v>45050.75</v>
      </c>
      <c r="CT26" s="110">
        <v>9.5461102208317494E-2</v>
      </c>
      <c r="CU26" s="21">
        <v>122.51245830000001</v>
      </c>
      <c r="CV26" s="111">
        <v>4042</v>
      </c>
      <c r="CW26" s="21">
        <f t="shared" si="49"/>
        <v>67.36666666666666</v>
      </c>
      <c r="CX26" s="21">
        <f t="shared" si="50"/>
        <v>6.4308962521003208</v>
      </c>
      <c r="CY26" s="21">
        <f t="shared" si="51"/>
        <v>92.398335523246857</v>
      </c>
    </row>
    <row r="27" spans="1:103" x14ac:dyDescent="0.25">
      <c r="A27" s="10">
        <v>44776.250694444447</v>
      </c>
      <c r="B27" s="11">
        <v>1.5338057626346599E-3</v>
      </c>
      <c r="C27" s="12">
        <v>0.75657462549999999</v>
      </c>
      <c r="D27" s="9">
        <v>99</v>
      </c>
      <c r="E27" s="13">
        <f t="shared" si="12"/>
        <v>1.65</v>
      </c>
      <c r="F27" s="12">
        <f t="shared" si="13"/>
        <v>2.5307795083471889E-3</v>
      </c>
      <c r="G27" s="13">
        <f t="shared" si="14"/>
        <v>1.987134337417199</v>
      </c>
      <c r="H27" s="11">
        <f t="shared" si="15"/>
        <v>2.69603943876482E-3</v>
      </c>
      <c r="I27" s="125">
        <f t="shared" si="16"/>
        <v>5.3573925438005678E-3</v>
      </c>
      <c r="J27" s="21">
        <f>IF((F27-$K$96)/($I$96-$K$96)&lt;0, 0, IF((F27-$K$96)/($I$96-$K$96)&gt;1, 1, (F27-$K$96)/($I$96-$K$96)))</f>
        <v>0</v>
      </c>
      <c r="K27" s="125">
        <f t="shared" si="17"/>
        <v>0</v>
      </c>
      <c r="M27" s="25">
        <v>44781.250694444447</v>
      </c>
      <c r="N27" s="26">
        <v>3.57448395977234E-3</v>
      </c>
      <c r="O27" s="27">
        <v>1.3586243874999999</v>
      </c>
      <c r="P27" s="28">
        <v>1033</v>
      </c>
      <c r="Q27" s="29">
        <f t="shared" si="18"/>
        <v>17.216666666666665</v>
      </c>
      <c r="R27" s="26">
        <f t="shared" si="0"/>
        <v>6.1540698840747116E-2</v>
      </c>
      <c r="S27" s="29">
        <f t="shared" si="19"/>
        <v>9.4821414923295126</v>
      </c>
      <c r="T27" s="29">
        <f t="shared" si="20"/>
        <v>2.147611334869147E-3</v>
      </c>
      <c r="U27" s="126">
        <f t="shared" si="21"/>
        <v>2.036395454775991E-2</v>
      </c>
      <c r="V27" s="128">
        <f>IF((R27-$W$102)/($U$101-$W$102)&lt;0, 0, IF((R27-$W$102)/($U$101-$W$102)&gt;1, 1, (R27-$W$102)/($U$101-$W$102)))</f>
        <v>7.9591227907408277E-3</v>
      </c>
      <c r="W27" s="126">
        <f t="shared" si="22"/>
        <v>7.5469528456629062E-2</v>
      </c>
      <c r="Y27" s="35">
        <v>45136.25</v>
      </c>
      <c r="Z27" s="71">
        <v>9.2267551611655407E-3</v>
      </c>
      <c r="AA27" s="70">
        <v>1.1441742989999999</v>
      </c>
      <c r="AB27" s="36">
        <v>3660</v>
      </c>
      <c r="AC27" s="37">
        <f t="shared" si="23"/>
        <v>61</v>
      </c>
      <c r="AD27" s="37">
        <f t="shared" si="1"/>
        <v>0.56283206483109793</v>
      </c>
      <c r="AE27" s="38">
        <f t="shared" si="24"/>
        <v>28.029419693648578</v>
      </c>
      <c r="AF27" s="38">
        <f t="shared" si="25"/>
        <v>9.0021679876807585E-3</v>
      </c>
      <c r="AG27" s="38">
        <f t="shared" si="26"/>
        <v>0.25232554467943186</v>
      </c>
      <c r="AH27" s="38">
        <f t="shared" si="2"/>
        <v>2.1533081459231003E-2</v>
      </c>
      <c r="AI27" s="38">
        <f t="shared" si="27"/>
        <v>0.60355977751830847</v>
      </c>
      <c r="AK27" s="45">
        <v>45151.25</v>
      </c>
      <c r="AL27" s="4">
        <v>7.1464229698987199E-3</v>
      </c>
      <c r="AM27" s="3">
        <v>0.66228851600000005</v>
      </c>
      <c r="AN27" s="4">
        <v>1493</v>
      </c>
      <c r="AO27" s="46">
        <f t="shared" si="28"/>
        <v>24.883333333333333</v>
      </c>
      <c r="AP27" s="47">
        <f t="shared" si="3"/>
        <v>0.17782682490097981</v>
      </c>
      <c r="AQ27" s="50">
        <f t="shared" si="29"/>
        <v>15.943264747477949</v>
      </c>
      <c r="AR27" s="50">
        <f t="shared" si="30"/>
        <v>3.1070903181179155E-2</v>
      </c>
      <c r="AS27" s="50">
        <f t="shared" si="31"/>
        <v>0.49537163536079409</v>
      </c>
      <c r="AT27" s="50">
        <f t="shared" si="4"/>
        <v>4.5191100533483478E-2</v>
      </c>
      <c r="AU27" s="50">
        <f t="shared" si="32"/>
        <v>0.72049368003521908</v>
      </c>
      <c r="AW27" s="51">
        <v>45166.25</v>
      </c>
      <c r="AX27" s="72">
        <v>8.5565689651571492E-3</v>
      </c>
      <c r="AY27" s="73">
        <v>0.33405227900000001</v>
      </c>
      <c r="AZ27" s="52">
        <v>2853</v>
      </c>
      <c r="BA27" s="53">
        <f t="shared" si="33"/>
        <v>47.55</v>
      </c>
      <c r="BB27" s="72">
        <f t="shared" si="5"/>
        <v>0.40686485429322244</v>
      </c>
      <c r="BC27" s="54">
        <f t="shared" si="34"/>
        <v>23.911198459324371</v>
      </c>
      <c r="BD27" s="54">
        <f t="shared" si="35"/>
        <v>0</v>
      </c>
      <c r="BE27" s="54">
        <f t="shared" si="36"/>
        <v>0</v>
      </c>
      <c r="BF27" s="54">
        <f t="shared" si="6"/>
        <v>0</v>
      </c>
      <c r="BG27" s="54">
        <f t="shared" si="37"/>
        <v>0</v>
      </c>
      <c r="BI27" s="66">
        <v>45183.25</v>
      </c>
      <c r="BJ27" s="67">
        <v>6.5115629149989102E-3</v>
      </c>
      <c r="BK27" s="68">
        <v>0.59425534599999996</v>
      </c>
      <c r="BL27" s="68">
        <v>2096</v>
      </c>
      <c r="BM27" s="68">
        <f t="shared" si="38"/>
        <v>34.93333333333333</v>
      </c>
      <c r="BN27" s="68">
        <f t="shared" si="7"/>
        <v>0.22747059783062856</v>
      </c>
      <c r="BO27" s="69">
        <f t="shared" si="39"/>
        <v>17.986219822151618</v>
      </c>
      <c r="BP27" s="69">
        <f t="shared" si="40"/>
        <v>0.12721788649803784</v>
      </c>
      <c r="BQ27" s="69">
        <f t="shared" si="41"/>
        <v>2.2881688718632427</v>
      </c>
      <c r="BR27" s="69">
        <f t="shared" si="8"/>
        <v>5.8473505131482984E-3</v>
      </c>
      <c r="BS27" s="69">
        <f t="shared" si="42"/>
        <v>0.10517173170665636</v>
      </c>
      <c r="BU27" s="82">
        <v>45046.583333333336</v>
      </c>
      <c r="BV27" s="112">
        <v>4.3516204000000003E-2</v>
      </c>
      <c r="BW27" s="83">
        <v>78.762941850000004</v>
      </c>
      <c r="BX27" s="112">
        <v>7026</v>
      </c>
      <c r="BY27" s="83">
        <f t="shared" si="9"/>
        <v>117.1</v>
      </c>
      <c r="BZ27" s="84">
        <f t="shared" si="10"/>
        <v>5.0957474883999998</v>
      </c>
      <c r="CA27" s="83">
        <f t="shared" si="11"/>
        <v>82.446704472072298</v>
      </c>
      <c r="CC27" s="87">
        <v>45047.458333333336</v>
      </c>
      <c r="CD27" s="109">
        <v>3.0714033767881101E-2</v>
      </c>
      <c r="CE27" s="88">
        <v>75.652056590000001</v>
      </c>
      <c r="CF27" s="89">
        <v>8779</v>
      </c>
      <c r="CG27" s="90">
        <f t="shared" si="43"/>
        <v>146.31666666666666</v>
      </c>
      <c r="CH27" s="91">
        <f t="shared" si="44"/>
        <v>4.4939750408038028</v>
      </c>
      <c r="CI27" s="91">
        <f t="shared" si="45"/>
        <v>77.525901478841334</v>
      </c>
      <c r="CK27" s="93">
        <v>45049.5</v>
      </c>
      <c r="CL27">
        <v>3.25342361299416E-2</v>
      </c>
      <c r="CM27" s="95">
        <v>87.922589900000006</v>
      </c>
      <c r="CN27" s="4">
        <v>10797</v>
      </c>
      <c r="CO27" s="95">
        <f t="shared" si="46"/>
        <v>179.95</v>
      </c>
      <c r="CP27" s="94">
        <f t="shared" si="47"/>
        <v>5.8545357915829905</v>
      </c>
      <c r="CQ27" s="96">
        <f t="shared" si="48"/>
        <v>88.245923622620822</v>
      </c>
      <c r="CS27" s="10">
        <v>45050.760416666664</v>
      </c>
      <c r="CT27" s="110">
        <v>9.2434558589971599E-2</v>
      </c>
      <c r="CU27" s="21">
        <v>123.6297958</v>
      </c>
      <c r="CV27" s="111">
        <v>3857</v>
      </c>
      <c r="CW27" s="21">
        <f t="shared" si="49"/>
        <v>64.283333333333331</v>
      </c>
      <c r="CX27" s="21">
        <f t="shared" si="50"/>
        <v>5.9420015413586738</v>
      </c>
      <c r="CY27" s="21">
        <f t="shared" si="51"/>
        <v>88.889091060108953</v>
      </c>
    </row>
    <row r="28" spans="1:103" x14ac:dyDescent="0.25">
      <c r="A28" s="10">
        <v>44776.261111111111</v>
      </c>
      <c r="B28" s="11">
        <v>1.7430859968627201E-3</v>
      </c>
      <c r="C28" s="12">
        <v>0.70298291499999999</v>
      </c>
      <c r="D28" s="9">
        <v>125</v>
      </c>
      <c r="E28" s="13">
        <f t="shared" si="12"/>
        <v>2.0833333333333335</v>
      </c>
      <c r="F28" s="12">
        <f t="shared" si="13"/>
        <v>3.6314291601306672E-3</v>
      </c>
      <c r="G28" s="13">
        <f t="shared" si="14"/>
        <v>2.3715024734635026</v>
      </c>
      <c r="H28" s="11">
        <f t="shared" si="15"/>
        <v>0</v>
      </c>
      <c r="I28" s="125">
        <f t="shared" si="16"/>
        <v>0</v>
      </c>
      <c r="J28" s="21">
        <f>IF((F28-$K$96)/($I$96-$K$96)&lt;0, 0, IF((F28-$K$96)/($I$96-$K$96)&gt;1, 1, (F28-$K$96)/($I$96-$K$96)))</f>
        <v>2.7440881897846991E-5</v>
      </c>
      <c r="K28" s="125">
        <f t="shared" si="17"/>
        <v>6.5076119294763993E-5</v>
      </c>
      <c r="M28" s="25">
        <v>44781.261111111111</v>
      </c>
      <c r="N28" s="26">
        <v>3.1265966325958699E-3</v>
      </c>
      <c r="O28" s="27">
        <v>1.3056302835</v>
      </c>
      <c r="P28" s="28">
        <v>907</v>
      </c>
      <c r="Q28" s="29">
        <f t="shared" si="18"/>
        <v>15.116666666666667</v>
      </c>
      <c r="R28" s="26">
        <f t="shared" si="0"/>
        <v>4.7263719096074235E-2</v>
      </c>
      <c r="S28" s="29">
        <f t="shared" si="19"/>
        <v>8.3323959976455857</v>
      </c>
      <c r="T28" s="29">
        <f t="shared" si="20"/>
        <v>4.2225300923169173E-4</v>
      </c>
      <c r="U28" s="126">
        <f t="shared" si="21"/>
        <v>3.5183792841159529E-3</v>
      </c>
      <c r="V28" s="128">
        <f>IF((R28-$W$102)/($U$101-$W$102)&lt;0, 0, IF((R28-$W$102)/($U$101-$W$102)&gt;1, 1, (R28-$W$102)/($U$101-$W$102)))</f>
        <v>7.2207537564626027E-4</v>
      </c>
      <c r="W28" s="126">
        <f t="shared" si="22"/>
        <v>6.0166179700333316E-3</v>
      </c>
      <c r="Y28" s="35">
        <v>45136.260416666664</v>
      </c>
      <c r="Z28" s="71">
        <v>6.9130123830800404E-3</v>
      </c>
      <c r="AA28" s="70">
        <v>0.89783227600000004</v>
      </c>
      <c r="AB28" s="36">
        <v>2689</v>
      </c>
      <c r="AC28" s="37">
        <f t="shared" si="23"/>
        <v>44.81666666666667</v>
      </c>
      <c r="AD28" s="37">
        <f t="shared" si="1"/>
        <v>0.30981817163503717</v>
      </c>
      <c r="AE28" s="38">
        <f t="shared" si="24"/>
        <v>20.924189043504651</v>
      </c>
      <c r="AF28" s="38">
        <f t="shared" si="25"/>
        <v>0</v>
      </c>
      <c r="AG28" s="38">
        <f t="shared" si="26"/>
        <v>0</v>
      </c>
      <c r="AH28" s="38">
        <f t="shared" si="2"/>
        <v>0</v>
      </c>
      <c r="AI28" s="38">
        <f t="shared" si="27"/>
        <v>0</v>
      </c>
      <c r="AK28" s="45">
        <v>45151.260416666664</v>
      </c>
      <c r="AL28" s="4">
        <v>5.4064467236704904E-3</v>
      </c>
      <c r="AM28" s="3">
        <v>0.66228851600000005</v>
      </c>
      <c r="AN28" s="4">
        <v>1433</v>
      </c>
      <c r="AO28" s="46">
        <f t="shared" si="28"/>
        <v>23.883333333333333</v>
      </c>
      <c r="AP28" s="47">
        <f t="shared" si="3"/>
        <v>0.12912396925033021</v>
      </c>
      <c r="AQ28" s="50">
        <f t="shared" si="29"/>
        <v>13.630558650220944</v>
      </c>
      <c r="AR28" s="50">
        <f t="shared" si="30"/>
        <v>3.1070903181179155E-2</v>
      </c>
      <c r="AS28" s="50">
        <f t="shared" si="31"/>
        <v>0.42351376812639902</v>
      </c>
      <c r="AT28" s="50">
        <f t="shared" si="4"/>
        <v>6.6203642381877925E-3</v>
      </c>
      <c r="AU28" s="50">
        <f t="shared" si="32"/>
        <v>9.0239263034444003E-2</v>
      </c>
      <c r="AW28" s="51">
        <v>45166.260416666664</v>
      </c>
      <c r="AX28" s="72">
        <v>5.9456301632887501E-3</v>
      </c>
      <c r="AY28" s="73">
        <v>0.31440712500000001</v>
      </c>
      <c r="AZ28" s="52">
        <v>2128</v>
      </c>
      <c r="BA28" s="53">
        <f t="shared" si="33"/>
        <v>35.466666666666669</v>
      </c>
      <c r="BB28" s="72">
        <f t="shared" si="5"/>
        <v>0.21087168312464102</v>
      </c>
      <c r="BC28" s="54">
        <f t="shared" si="34"/>
        <v>17.331068420902895</v>
      </c>
      <c r="BD28" s="54">
        <f t="shared" si="35"/>
        <v>0</v>
      </c>
      <c r="BE28" s="54">
        <f t="shared" si="36"/>
        <v>0</v>
      </c>
      <c r="BF28" s="54">
        <f t="shared" si="6"/>
        <v>0</v>
      </c>
      <c r="BG28" s="54">
        <f t="shared" si="37"/>
        <v>0</v>
      </c>
      <c r="BI28" s="66">
        <v>45183.260416666664</v>
      </c>
      <c r="BJ28" s="67">
        <v>7.3765554655193999E-3</v>
      </c>
      <c r="BK28" s="68">
        <v>0.44894941300000002</v>
      </c>
      <c r="BL28" s="68">
        <v>1338</v>
      </c>
      <c r="BM28" s="68">
        <f t="shared" si="38"/>
        <v>22.3</v>
      </c>
      <c r="BN28" s="68">
        <f t="shared" si="7"/>
        <v>0.16449718688108261</v>
      </c>
      <c r="BO28" s="69">
        <f t="shared" si="39"/>
        <v>15.346395910764585</v>
      </c>
      <c r="BP28" s="69">
        <f t="shared" si="40"/>
        <v>0</v>
      </c>
      <c r="BQ28" s="69">
        <f t="shared" si="41"/>
        <v>0</v>
      </c>
      <c r="BR28" s="69">
        <f t="shared" si="8"/>
        <v>4.5713502838818385E-4</v>
      </c>
      <c r="BS28" s="69">
        <f t="shared" si="42"/>
        <v>7.0153751303236771E-3</v>
      </c>
      <c r="BU28" s="82">
        <v>45046.59375</v>
      </c>
      <c r="BV28" s="112">
        <v>4.3363891000000002E-2</v>
      </c>
      <c r="BW28" s="83">
        <v>76.544179459999995</v>
      </c>
      <c r="BX28" s="112">
        <v>6964</v>
      </c>
      <c r="BY28" s="83">
        <f t="shared" si="9"/>
        <v>116.06666666666666</v>
      </c>
      <c r="BZ28" s="84">
        <f t="shared" si="10"/>
        <v>5.0331022820666664</v>
      </c>
      <c r="CA28" s="83">
        <f t="shared" si="11"/>
        <v>81.948793212662608</v>
      </c>
      <c r="CC28" s="87">
        <v>45047.46875</v>
      </c>
      <c r="CD28" s="109">
        <v>3.2642982652304899E-2</v>
      </c>
      <c r="CE28" s="88">
        <v>76.986061320000005</v>
      </c>
      <c r="CF28" s="89">
        <v>8431</v>
      </c>
      <c r="CG28" s="90">
        <f t="shared" si="43"/>
        <v>140.51666666666668</v>
      </c>
      <c r="CH28" s="91">
        <f t="shared" si="44"/>
        <v>4.5868831123597102</v>
      </c>
      <c r="CI28" s="91">
        <f t="shared" si="45"/>
        <v>78.30667744433417</v>
      </c>
      <c r="CK28" s="93">
        <v>45049.510416666664</v>
      </c>
      <c r="CL28">
        <v>3.0412420713304099E-2</v>
      </c>
      <c r="CM28" s="95">
        <v>95.977802339999997</v>
      </c>
      <c r="CN28" s="4">
        <v>10668</v>
      </c>
      <c r="CO28" s="95">
        <f t="shared" si="46"/>
        <v>177.8</v>
      </c>
      <c r="CP28" s="94">
        <f t="shared" si="47"/>
        <v>5.4073284028254696</v>
      </c>
      <c r="CQ28" s="96">
        <f t="shared" si="48"/>
        <v>84.878020705486136</v>
      </c>
      <c r="CS28" s="10">
        <v>45050.770833333336</v>
      </c>
      <c r="CT28" s="110">
        <v>9.0925455657817303E-2</v>
      </c>
      <c r="CU28" s="21">
        <v>130.92322350000001</v>
      </c>
      <c r="CV28" s="111">
        <v>3698</v>
      </c>
      <c r="CW28" s="21">
        <f t="shared" si="49"/>
        <v>61.633333333333333</v>
      </c>
      <c r="CX28" s="21">
        <f t="shared" si="50"/>
        <v>5.6040389170434732</v>
      </c>
      <c r="CY28" s="21">
        <f t="shared" si="51"/>
        <v>86.376301085233735</v>
      </c>
    </row>
    <row r="29" spans="1:103" x14ac:dyDescent="0.25">
      <c r="A29" s="10">
        <v>44776.271527777775</v>
      </c>
      <c r="B29" s="11">
        <v>1.4722945166709999E-3</v>
      </c>
      <c r="C29" s="12">
        <v>0.68254177999999999</v>
      </c>
      <c r="D29" s="9">
        <v>126</v>
      </c>
      <c r="E29" s="13">
        <f t="shared" si="12"/>
        <v>2.1</v>
      </c>
      <c r="F29" s="12">
        <f t="shared" si="13"/>
        <v>3.0918184850090998E-3</v>
      </c>
      <c r="G29" s="13">
        <f t="shared" si="14"/>
        <v>2.1918527936826915</v>
      </c>
      <c r="H29" s="11">
        <f t="shared" si="15"/>
        <v>0</v>
      </c>
      <c r="I29" s="125">
        <f t="shared" si="16"/>
        <v>0</v>
      </c>
      <c r="J29" s="21">
        <f>IF((F29-$K$96)/($I$96-$K$96)&lt;0, 0, IF((F29-$K$96)/($I$96-$K$96)&gt;1, 1, (F29-$K$96)/($I$96-$K$96)))</f>
        <v>0</v>
      </c>
      <c r="K29" s="125">
        <f t="shared" si="17"/>
        <v>0</v>
      </c>
      <c r="M29" s="25">
        <v>44781.271527777775</v>
      </c>
      <c r="N29" s="26">
        <v>3.71672567259323E-3</v>
      </c>
      <c r="O29" s="27">
        <v>1.2676346135000001</v>
      </c>
      <c r="P29" s="28">
        <v>832</v>
      </c>
      <c r="Q29" s="29">
        <f t="shared" si="18"/>
        <v>13.866666666666667</v>
      </c>
      <c r="R29" s="26">
        <f t="shared" si="0"/>
        <v>5.1538595993292788E-2</v>
      </c>
      <c r="S29" s="29">
        <f t="shared" si="19"/>
        <v>8.6933050378684342</v>
      </c>
      <c r="T29" s="29">
        <f t="shared" si="20"/>
        <v>0</v>
      </c>
      <c r="U29" s="126">
        <f t="shared" si="21"/>
        <v>0</v>
      </c>
      <c r="V29" s="128">
        <f>IF((R29-$W$102)/($U$101-$W$102)&lt;0, 0, IF((R29-$W$102)/($U$101-$W$102)&gt;1, 1, (R29-$W$102)/($U$101-$W$102)))</f>
        <v>2.8890243629071419E-3</v>
      </c>
      <c r="W29" s="126">
        <f t="shared" si="22"/>
        <v>2.5115170048585302E-2</v>
      </c>
      <c r="Y29" s="35">
        <v>45136.270833333336</v>
      </c>
      <c r="Z29" s="71">
        <v>7.1312324697983499E-3</v>
      </c>
      <c r="AA29" s="70">
        <v>1.1441742989999999</v>
      </c>
      <c r="AB29" s="36">
        <v>3338</v>
      </c>
      <c r="AC29" s="37">
        <f t="shared" si="23"/>
        <v>55.633333333333333</v>
      </c>
      <c r="AD29" s="37">
        <f t="shared" si="1"/>
        <v>0.39673423306978151</v>
      </c>
      <c r="AE29" s="38">
        <f t="shared" si="24"/>
        <v>23.617769736132988</v>
      </c>
      <c r="AF29" s="38">
        <f t="shared" si="25"/>
        <v>9.0021679876807585E-3</v>
      </c>
      <c r="AG29" s="38">
        <f t="shared" si="26"/>
        <v>0.21261113065903181</v>
      </c>
      <c r="AH29" s="38">
        <f t="shared" si="2"/>
        <v>0</v>
      </c>
      <c r="AI29" s="38">
        <f t="shared" si="27"/>
        <v>0</v>
      </c>
      <c r="AK29" s="45">
        <v>45151.270833333336</v>
      </c>
      <c r="AL29" s="4">
        <v>7.0508754123729898E-3</v>
      </c>
      <c r="AM29" s="3">
        <v>0.77321039300000005</v>
      </c>
      <c r="AN29" s="4">
        <v>1746</v>
      </c>
      <c r="AO29" s="46">
        <f t="shared" si="28"/>
        <v>29.1</v>
      </c>
      <c r="AP29" s="47">
        <f t="shared" si="3"/>
        <v>0.205180474500054</v>
      </c>
      <c r="AQ29" s="50">
        <f t="shared" si="29"/>
        <v>17.100413280789716</v>
      </c>
      <c r="AR29" s="50">
        <f t="shared" si="30"/>
        <v>9.1407587119222727E-2</v>
      </c>
      <c r="AS29" s="50">
        <f t="shared" si="31"/>
        <v>1.5631075167384993</v>
      </c>
      <c r="AT29" s="50">
        <f t="shared" si="4"/>
        <v>6.6854109638489395E-2</v>
      </c>
      <c r="AU29" s="50">
        <f t="shared" si="32"/>
        <v>1.1432329043373959</v>
      </c>
      <c r="AW29" s="51">
        <v>45166.270833333336</v>
      </c>
      <c r="AX29" s="72">
        <v>1.11428076912495E-2</v>
      </c>
      <c r="AY29" s="73">
        <v>0.376777213</v>
      </c>
      <c r="AZ29" s="52">
        <v>4045</v>
      </c>
      <c r="BA29" s="53">
        <f t="shared" si="33"/>
        <v>67.416666666666671</v>
      </c>
      <c r="BB29" s="72">
        <f t="shared" si="5"/>
        <v>0.75121095185173714</v>
      </c>
      <c r="BC29" s="54">
        <f t="shared" si="34"/>
        <v>32.285996877975236</v>
      </c>
      <c r="BD29" s="54">
        <f t="shared" si="35"/>
        <v>0</v>
      </c>
      <c r="BE29" s="54">
        <f t="shared" si="36"/>
        <v>0</v>
      </c>
      <c r="BF29" s="54">
        <f t="shared" si="6"/>
        <v>1.6635761444454715E-2</v>
      </c>
      <c r="BG29" s="54">
        <f t="shared" si="37"/>
        <v>0.53710214205840578</v>
      </c>
      <c r="BI29" s="66">
        <v>45183.270833333336</v>
      </c>
      <c r="BJ29" s="67">
        <v>4.7943275193273903E-3</v>
      </c>
      <c r="BK29" s="68">
        <v>0.44939223900000003</v>
      </c>
      <c r="BL29" s="68">
        <v>1446</v>
      </c>
      <c r="BM29" s="68">
        <f t="shared" si="38"/>
        <v>24.1</v>
      </c>
      <c r="BN29" s="68">
        <f t="shared" si="7"/>
        <v>0.11554329321579011</v>
      </c>
      <c r="BO29" s="69">
        <f t="shared" si="39"/>
        <v>12.908616323576013</v>
      </c>
      <c r="BP29" s="69">
        <f t="shared" si="40"/>
        <v>0</v>
      </c>
      <c r="BQ29" s="69">
        <f t="shared" si="41"/>
        <v>0</v>
      </c>
      <c r="BR29" s="69">
        <f t="shared" si="8"/>
        <v>0</v>
      </c>
      <c r="BS29" s="69">
        <f t="shared" si="42"/>
        <v>0</v>
      </c>
      <c r="BU29" s="82">
        <v>45046.604166666664</v>
      </c>
      <c r="BV29" s="112">
        <v>4.2695531000000002E-2</v>
      </c>
      <c r="BW29" s="83">
        <v>80.523852189999999</v>
      </c>
      <c r="BX29" s="112">
        <v>7053</v>
      </c>
      <c r="BY29" s="83">
        <f t="shared" si="9"/>
        <v>117.55</v>
      </c>
      <c r="BZ29" s="84">
        <f t="shared" si="10"/>
        <v>5.0188596690500002</v>
      </c>
      <c r="CA29" s="83">
        <f t="shared" si="11"/>
        <v>81.835150788792077</v>
      </c>
      <c r="CC29" s="87">
        <v>45047.479166666664</v>
      </c>
      <c r="CD29" s="109">
        <v>3.0816850285896102E-2</v>
      </c>
      <c r="CE29" s="88">
        <v>76.986061320000005</v>
      </c>
      <c r="CF29" s="89">
        <v>8732</v>
      </c>
      <c r="CG29" s="90">
        <f t="shared" si="43"/>
        <v>145.53333333333333</v>
      </c>
      <c r="CH29" s="91">
        <f t="shared" si="44"/>
        <v>4.4848789449407462</v>
      </c>
      <c r="CI29" s="91">
        <f t="shared" si="45"/>
        <v>77.449019286407179</v>
      </c>
      <c r="CK29" s="93">
        <v>45049.520833333336</v>
      </c>
      <c r="CL29">
        <v>3.1039443019692099E-2</v>
      </c>
      <c r="CM29" s="95">
        <v>92.617989059999999</v>
      </c>
      <c r="CN29" s="4">
        <v>10348</v>
      </c>
      <c r="CO29" s="95">
        <f t="shared" si="46"/>
        <v>172.46666666666667</v>
      </c>
      <c r="CP29" s="94">
        <f t="shared" si="47"/>
        <v>5.353269272796231</v>
      </c>
      <c r="CQ29" s="96">
        <f t="shared" si="48"/>
        <v>84.461416497852568</v>
      </c>
      <c r="CS29" s="10">
        <v>45050.78125</v>
      </c>
      <c r="CT29" s="110">
        <v>9.8357890963901601E-2</v>
      </c>
      <c r="CU29" s="21">
        <v>126.21229889999999</v>
      </c>
      <c r="CV29" s="111">
        <v>3890</v>
      </c>
      <c r="CW29" s="21">
        <f t="shared" si="49"/>
        <v>64.833333333333329</v>
      </c>
      <c r="CX29" s="21">
        <f t="shared" si="50"/>
        <v>6.3768699308262864</v>
      </c>
      <c r="CY29" s="21">
        <f t="shared" si="51"/>
        <v>92.01739074775621</v>
      </c>
    </row>
    <row r="30" spans="1:103" x14ac:dyDescent="0.25">
      <c r="A30" s="10">
        <v>44776.281944444447</v>
      </c>
      <c r="B30" s="11">
        <v>1.4342019579008599E-3</v>
      </c>
      <c r="C30" s="12">
        <v>0.684465781</v>
      </c>
      <c r="D30" s="9">
        <v>118</v>
      </c>
      <c r="E30" s="13">
        <f t="shared" si="12"/>
        <v>1.9666666666666666</v>
      </c>
      <c r="F30" s="12">
        <f t="shared" si="13"/>
        <v>2.8205971838716911E-3</v>
      </c>
      <c r="G30" s="13">
        <f t="shared" si="14"/>
        <v>2.0954901014104932</v>
      </c>
      <c r="H30" s="11">
        <f t="shared" si="15"/>
        <v>0</v>
      </c>
      <c r="I30" s="125">
        <f t="shared" si="16"/>
        <v>0</v>
      </c>
      <c r="J30" s="21">
        <f>IF((F30-$K$96)/($I$96-$K$96)&lt;0, 0, IF((F30-$K$96)/($I$96-$K$96)&gt;1, 1, (F30-$K$96)/($I$96-$K$96)))</f>
        <v>0</v>
      </c>
      <c r="K30" s="125">
        <f t="shared" si="17"/>
        <v>0</v>
      </c>
      <c r="M30" s="25">
        <v>44781.281944444447</v>
      </c>
      <c r="N30" s="26">
        <v>3.2655198123181998E-3</v>
      </c>
      <c r="O30" s="27">
        <v>1.2868847735</v>
      </c>
      <c r="P30" s="28">
        <v>833</v>
      </c>
      <c r="Q30" s="29">
        <f t="shared" si="18"/>
        <v>13.883333333333333</v>
      </c>
      <c r="R30" s="26">
        <f t="shared" si="0"/>
        <v>4.5336300061017673E-2</v>
      </c>
      <c r="S30" s="29">
        <f t="shared" si="19"/>
        <v>8.1642300776925687</v>
      </c>
      <c r="T30" s="29">
        <f t="shared" si="20"/>
        <v>0</v>
      </c>
      <c r="U30" s="126">
        <f t="shared" si="21"/>
        <v>0</v>
      </c>
      <c r="V30" s="128">
        <f>IF((R30-$W$102)/($U$101-$W$102)&lt;0, 0, IF((R30-$W$102)/($U$101-$W$102)&gt;1, 1, (R30-$W$102)/($U$101-$W$102)))</f>
        <v>0</v>
      </c>
      <c r="W30" s="126">
        <f t="shared" si="22"/>
        <v>0</v>
      </c>
      <c r="Y30" s="35">
        <v>45136.28125</v>
      </c>
      <c r="Z30" s="71">
        <v>4.9684074324156096E-3</v>
      </c>
      <c r="AA30" s="70">
        <v>0.73432993800000002</v>
      </c>
      <c r="AB30" s="36">
        <v>1901</v>
      </c>
      <c r="AC30" s="37">
        <f t="shared" si="23"/>
        <v>31.683333333333334</v>
      </c>
      <c r="AD30" s="37">
        <f t="shared" si="1"/>
        <v>0.15741570881703457</v>
      </c>
      <c r="AE30" s="38">
        <f t="shared" si="24"/>
        <v>15.019242595540955</v>
      </c>
      <c r="AF30" s="38">
        <f t="shared" si="25"/>
        <v>0</v>
      </c>
      <c r="AG30" s="38">
        <f t="shared" si="26"/>
        <v>0</v>
      </c>
      <c r="AH30" s="38">
        <f t="shared" si="2"/>
        <v>0</v>
      </c>
      <c r="AI30" s="38">
        <f t="shared" si="27"/>
        <v>0</v>
      </c>
      <c r="AK30" s="45">
        <v>45151.28125</v>
      </c>
      <c r="AL30" s="4">
        <v>7.2488739117742796E-3</v>
      </c>
      <c r="AM30" s="3">
        <v>0.66228851600000005</v>
      </c>
      <c r="AN30" s="4">
        <v>1305</v>
      </c>
      <c r="AO30" s="46">
        <f t="shared" si="28"/>
        <v>21.75</v>
      </c>
      <c r="AP30" s="47">
        <f t="shared" si="3"/>
        <v>0.15766300758109059</v>
      </c>
      <c r="AQ30" s="50">
        <f t="shared" si="29"/>
        <v>15.030792490474056</v>
      </c>
      <c r="AR30" s="50">
        <f t="shared" si="30"/>
        <v>3.1070903181179155E-2</v>
      </c>
      <c r="AS30" s="50">
        <f t="shared" si="31"/>
        <v>0.46702029820791413</v>
      </c>
      <c r="AT30" s="50">
        <f t="shared" si="4"/>
        <v>2.9222154356472407E-2</v>
      </c>
      <c r="AU30" s="50">
        <f t="shared" si="32"/>
        <v>0.43923213825673918</v>
      </c>
      <c r="AW30" s="51">
        <v>45166.28125</v>
      </c>
      <c r="AX30" s="72">
        <v>9.60254448264845E-3</v>
      </c>
      <c r="AY30" s="73">
        <v>0.376777213</v>
      </c>
      <c r="AZ30" s="52">
        <v>3832</v>
      </c>
      <c r="BA30" s="53">
        <f t="shared" si="33"/>
        <v>63.866666666666667</v>
      </c>
      <c r="BB30" s="72">
        <f t="shared" si="5"/>
        <v>0.61328250762514769</v>
      </c>
      <c r="BC30" s="54">
        <f t="shared" si="34"/>
        <v>29.232837847728149</v>
      </c>
      <c r="BD30" s="54">
        <f t="shared" si="35"/>
        <v>0</v>
      </c>
      <c r="BE30" s="54">
        <f t="shared" si="36"/>
        <v>0</v>
      </c>
      <c r="BF30" s="54">
        <f t="shared" si="6"/>
        <v>0</v>
      </c>
      <c r="BG30" s="54">
        <f t="shared" si="37"/>
        <v>0</v>
      </c>
      <c r="BI30" s="66">
        <v>45183.28125</v>
      </c>
      <c r="BJ30" s="67">
        <v>7.3620775551865398E-3</v>
      </c>
      <c r="BK30" s="68">
        <v>0.44939223900000003</v>
      </c>
      <c r="BL30" s="68">
        <v>1446</v>
      </c>
      <c r="BM30" s="68">
        <f t="shared" si="38"/>
        <v>24.1</v>
      </c>
      <c r="BN30" s="68">
        <f t="shared" si="7"/>
        <v>0.17742606907999561</v>
      </c>
      <c r="BO30" s="69">
        <f t="shared" si="39"/>
        <v>15.925659592037691</v>
      </c>
      <c r="BP30" s="69">
        <f t="shared" si="40"/>
        <v>0</v>
      </c>
      <c r="BQ30" s="69">
        <f t="shared" si="41"/>
        <v>0</v>
      </c>
      <c r="BR30" s="69">
        <f t="shared" si="8"/>
        <v>1.5637840089405503E-3</v>
      </c>
      <c r="BS30" s="69">
        <f t="shared" si="42"/>
        <v>2.490429180185923E-2</v>
      </c>
      <c r="BU30" s="82">
        <v>45046.614583333336</v>
      </c>
      <c r="BV30" s="112">
        <v>4.7479491999999998E-2</v>
      </c>
      <c r="BW30" s="83">
        <v>79.202259850000004</v>
      </c>
      <c r="BX30" s="112">
        <v>6379</v>
      </c>
      <c r="BY30" s="83">
        <f t="shared" si="9"/>
        <v>106.31666666666666</v>
      </c>
      <c r="BZ30" s="84">
        <f t="shared" si="10"/>
        <v>5.0478613244666661</v>
      </c>
      <c r="CA30" s="83">
        <f t="shared" si="11"/>
        <v>82.06638324476603</v>
      </c>
      <c r="CC30" s="87">
        <v>45047.489583333336</v>
      </c>
      <c r="CD30" s="109">
        <v>3.2290034735341797E-2</v>
      </c>
      <c r="CE30" s="88">
        <v>72.970159429999995</v>
      </c>
      <c r="CF30" s="89">
        <v>8739</v>
      </c>
      <c r="CG30" s="90">
        <f t="shared" si="43"/>
        <v>145.65</v>
      </c>
      <c r="CH30" s="91">
        <f t="shared" si="44"/>
        <v>4.7030435592025333</v>
      </c>
      <c r="CI30" s="91">
        <f t="shared" si="45"/>
        <v>79.27159371671226</v>
      </c>
      <c r="CK30" s="93">
        <v>45049.53125</v>
      </c>
      <c r="CL30">
        <v>3.1785608229113499E-2</v>
      </c>
      <c r="CM30" s="95">
        <v>91.767774239999994</v>
      </c>
      <c r="CN30" s="4">
        <v>10326</v>
      </c>
      <c r="CO30" s="95">
        <f t="shared" si="46"/>
        <v>172.1</v>
      </c>
      <c r="CP30" s="94">
        <f t="shared" si="47"/>
        <v>5.4703031762304333</v>
      </c>
      <c r="CQ30" s="96">
        <f t="shared" si="48"/>
        <v>85.360661814628742</v>
      </c>
      <c r="CS30" s="10">
        <v>45050.791666666664</v>
      </c>
      <c r="CT30" s="110">
        <v>8.17298496880694E-2</v>
      </c>
      <c r="CU30" s="21">
        <v>129.12778700000001</v>
      </c>
      <c r="CV30" s="111">
        <v>4316</v>
      </c>
      <c r="CW30" s="21">
        <f t="shared" si="49"/>
        <v>71.933333333333337</v>
      </c>
      <c r="CX30" s="21">
        <f t="shared" si="50"/>
        <v>5.8791005208951255</v>
      </c>
      <c r="CY30" s="21">
        <f t="shared" si="51"/>
        <v>88.427049316954836</v>
      </c>
    </row>
    <row r="31" spans="1:103" x14ac:dyDescent="0.25">
      <c r="A31" s="10">
        <v>44776.292361111111</v>
      </c>
      <c r="B31" s="11">
        <v>1.5663141121691E-3</v>
      </c>
      <c r="C31" s="12">
        <v>0.69437548549999994</v>
      </c>
      <c r="D31" s="9">
        <v>104</v>
      </c>
      <c r="E31" s="13">
        <f t="shared" si="12"/>
        <v>1.7333333333333334</v>
      </c>
      <c r="F31" s="12">
        <f t="shared" si="13"/>
        <v>2.7149444610931068E-3</v>
      </c>
      <c r="G31" s="13">
        <f t="shared" si="14"/>
        <v>2.0566781292310021</v>
      </c>
      <c r="H31" s="11">
        <f t="shared" si="15"/>
        <v>0</v>
      </c>
      <c r="I31" s="125">
        <f t="shared" si="16"/>
        <v>0</v>
      </c>
      <c r="J31" s="21">
        <f>IF((F31-$K$96)/($I$96-$K$96)&lt;0, 0, IF((F31-$K$96)/($I$96-$K$96)&gt;1, 1, (F31-$K$96)/($I$96-$K$96)))</f>
        <v>0</v>
      </c>
      <c r="K31" s="125">
        <f t="shared" si="17"/>
        <v>0</v>
      </c>
      <c r="M31" s="25">
        <v>44781.292361111111</v>
      </c>
      <c r="N31" s="26">
        <v>3.1374374464774001E-3</v>
      </c>
      <c r="O31" s="27">
        <v>1.2461573855000001</v>
      </c>
      <c r="P31" s="28">
        <v>932</v>
      </c>
      <c r="Q31" s="29">
        <f t="shared" si="18"/>
        <v>15.533333333333333</v>
      </c>
      <c r="R31" s="26">
        <f t="shared" si="0"/>
        <v>4.8734861668615612E-2</v>
      </c>
      <c r="S31" s="29">
        <f t="shared" si="19"/>
        <v>8.4584096024010673</v>
      </c>
      <c r="T31" s="29">
        <f t="shared" si="20"/>
        <v>0</v>
      </c>
      <c r="U31" s="126">
        <f t="shared" si="21"/>
        <v>0</v>
      </c>
      <c r="V31" s="128">
        <f>IF((R31-$W$102)/($U$101-$W$102)&lt;0, 0, IF((R31-$W$102)/($U$101-$W$102)&gt;1, 1, (R31-$W$102)/($U$101-$W$102)))</f>
        <v>1.4678023250606644E-3</v>
      </c>
      <c r="W31" s="126">
        <f t="shared" si="22"/>
        <v>1.2415273280719737E-2</v>
      </c>
      <c r="Y31" s="35">
        <v>45136.291666666664</v>
      </c>
      <c r="Z31" s="71">
        <v>6.50278848521016E-3</v>
      </c>
      <c r="AA31" s="70">
        <v>0.85462156099999997</v>
      </c>
      <c r="AB31" s="36">
        <v>3226</v>
      </c>
      <c r="AC31" s="37">
        <f t="shared" si="23"/>
        <v>53.766666666666666</v>
      </c>
      <c r="AD31" s="37">
        <f t="shared" si="1"/>
        <v>0.34963326088813296</v>
      </c>
      <c r="AE31" s="38">
        <f t="shared" si="24"/>
        <v>22.200397561997416</v>
      </c>
      <c r="AF31" s="38">
        <f t="shared" si="25"/>
        <v>0</v>
      </c>
      <c r="AG31" s="38">
        <f t="shared" si="26"/>
        <v>0</v>
      </c>
      <c r="AH31" s="38">
        <f t="shared" si="2"/>
        <v>0</v>
      </c>
      <c r="AI31" s="38">
        <f t="shared" si="27"/>
        <v>0</v>
      </c>
      <c r="AK31" s="45">
        <v>45151.291666666664</v>
      </c>
      <c r="AL31" s="4">
        <v>5.5029989556060104E-3</v>
      </c>
      <c r="AM31" s="3">
        <v>0.59425534599999996</v>
      </c>
      <c r="AN31" s="4">
        <v>1169</v>
      </c>
      <c r="AO31" s="46">
        <f t="shared" si="28"/>
        <v>19.483333333333334</v>
      </c>
      <c r="AP31" s="47">
        <f t="shared" si="3"/>
        <v>0.10721676298505711</v>
      </c>
      <c r="AQ31" s="50">
        <f t="shared" si="29"/>
        <v>12.444379093197286</v>
      </c>
      <c r="AR31" s="50">
        <f t="shared" si="30"/>
        <v>0</v>
      </c>
      <c r="AS31" s="50">
        <f t="shared" si="31"/>
        <v>0</v>
      </c>
      <c r="AT31" s="50">
        <f t="shared" si="4"/>
        <v>0</v>
      </c>
      <c r="AU31" s="50">
        <f t="shared" si="32"/>
        <v>0</v>
      </c>
      <c r="AW31" s="51">
        <v>45166.291666666664</v>
      </c>
      <c r="AX31" s="72">
        <v>7.8953510399752801E-3</v>
      </c>
      <c r="AY31" s="73">
        <v>0.31440712500000001</v>
      </c>
      <c r="AZ31" s="52">
        <v>2242</v>
      </c>
      <c r="BA31" s="53">
        <f t="shared" si="33"/>
        <v>37.366666666666667</v>
      </c>
      <c r="BB31" s="72">
        <f t="shared" si="5"/>
        <v>0.29502295052707628</v>
      </c>
      <c r="BC31" s="54">
        <f t="shared" si="34"/>
        <v>20.428758714092439</v>
      </c>
      <c r="BD31" s="54">
        <f t="shared" si="35"/>
        <v>0</v>
      </c>
      <c r="BE31" s="54">
        <f t="shared" si="36"/>
        <v>0</v>
      </c>
      <c r="BF31" s="54">
        <f t="shared" si="6"/>
        <v>0</v>
      </c>
      <c r="BG31" s="54">
        <f t="shared" si="37"/>
        <v>0</v>
      </c>
      <c r="BI31" s="66">
        <v>45183.291666666664</v>
      </c>
      <c r="BJ31" s="67">
        <v>4.6277555752786302E-3</v>
      </c>
      <c r="BK31" s="68">
        <v>0.44939223900000003</v>
      </c>
      <c r="BL31" s="68">
        <v>1553</v>
      </c>
      <c r="BM31" s="68">
        <f t="shared" si="38"/>
        <v>25.883333333333333</v>
      </c>
      <c r="BN31" s="68">
        <f t="shared" si="7"/>
        <v>0.11978174014012855</v>
      </c>
      <c r="BO31" s="69">
        <f t="shared" si="39"/>
        <v>13.13836970151989</v>
      </c>
      <c r="BP31" s="69">
        <f t="shared" si="40"/>
        <v>0</v>
      </c>
      <c r="BQ31" s="69">
        <f t="shared" si="41"/>
        <v>0</v>
      </c>
      <c r="BR31" s="69">
        <f t="shared" si="8"/>
        <v>0</v>
      </c>
      <c r="BS31" s="69">
        <f t="shared" si="42"/>
        <v>0</v>
      </c>
      <c r="BU31" s="82">
        <v>45046.625</v>
      </c>
      <c r="BV31" s="112">
        <v>3.5539446000000002E-2</v>
      </c>
      <c r="BW31" s="83">
        <v>83.594462070000006</v>
      </c>
      <c r="BX31" s="112">
        <v>7876</v>
      </c>
      <c r="BY31" s="83">
        <f t="shared" si="9"/>
        <v>131.26666666666668</v>
      </c>
      <c r="BZ31" s="84">
        <f t="shared" si="10"/>
        <v>4.6651446116000006</v>
      </c>
      <c r="CA31" s="83">
        <f t="shared" si="11"/>
        <v>78.958126944871054</v>
      </c>
      <c r="CC31" s="87">
        <v>45047.5</v>
      </c>
      <c r="CD31" s="109">
        <v>3.1892752535897802E-2</v>
      </c>
      <c r="CE31" s="88">
        <v>77.875916610000004</v>
      </c>
      <c r="CF31" s="89">
        <v>8346</v>
      </c>
      <c r="CG31" s="90">
        <f t="shared" si="43"/>
        <v>139.1</v>
      </c>
      <c r="CH31" s="91">
        <f t="shared" si="44"/>
        <v>4.4362818777433839</v>
      </c>
      <c r="CI31" s="91">
        <f t="shared" si="45"/>
        <v>77.036911333946151</v>
      </c>
      <c r="CK31" s="93">
        <v>45049.541666666664</v>
      </c>
      <c r="CL31">
        <v>3.1041473248845802E-2</v>
      </c>
      <c r="CM31" s="95">
        <v>97.229596529999995</v>
      </c>
      <c r="CN31" s="4">
        <v>10018</v>
      </c>
      <c r="CO31" s="95">
        <f t="shared" si="46"/>
        <v>166.96666666666667</v>
      </c>
      <c r="CP31" s="94">
        <f t="shared" si="47"/>
        <v>5.1828913167822872</v>
      </c>
      <c r="CQ31" s="96">
        <f t="shared" si="48"/>
        <v>83.134167282996387</v>
      </c>
      <c r="CS31" s="10">
        <v>45050.802083333336</v>
      </c>
      <c r="CT31" s="110">
        <v>8.4208885013196899E-2</v>
      </c>
      <c r="CU31" s="21">
        <v>115.673114</v>
      </c>
      <c r="CV31" s="111">
        <v>4399</v>
      </c>
      <c r="CW31" s="21">
        <f t="shared" si="49"/>
        <v>73.316666666666663</v>
      </c>
      <c r="CX31" s="21">
        <f t="shared" si="50"/>
        <v>6.1739147528842189</v>
      </c>
      <c r="CY31" s="21">
        <f t="shared" si="51"/>
        <v>90.571410772429346</v>
      </c>
    </row>
    <row r="32" spans="1:103" x14ac:dyDescent="0.25">
      <c r="A32" s="10">
        <v>44776.302777777775</v>
      </c>
      <c r="B32" s="11">
        <v>1.6060107812522E-3</v>
      </c>
      <c r="C32" s="12">
        <v>0.7037178785</v>
      </c>
      <c r="D32" s="9">
        <v>106</v>
      </c>
      <c r="E32" s="13">
        <f t="shared" si="12"/>
        <v>1.7666666666666666</v>
      </c>
      <c r="F32" s="12">
        <f t="shared" si="13"/>
        <v>2.8372857135455531E-3</v>
      </c>
      <c r="G32" s="13">
        <f t="shared" si="14"/>
        <v>2.1015524171423281</v>
      </c>
      <c r="H32" s="11">
        <f t="shared" si="15"/>
        <v>0</v>
      </c>
      <c r="I32" s="125">
        <f t="shared" si="16"/>
        <v>0</v>
      </c>
      <c r="J32" s="21">
        <f>IF((F32-$K$96)/($I$96-$K$96)&lt;0, 0, IF((F32-$K$96)/($I$96-$K$96)&gt;1, 1, (F32-$K$96)/($I$96-$K$96)))</f>
        <v>0</v>
      </c>
      <c r="K32" s="125">
        <f t="shared" si="17"/>
        <v>0</v>
      </c>
      <c r="M32" s="25">
        <v>44781.302777777775</v>
      </c>
      <c r="N32" s="26">
        <v>3.53213956845098E-3</v>
      </c>
      <c r="O32" s="27">
        <v>1.2263406489999999</v>
      </c>
      <c r="P32" s="28">
        <v>792</v>
      </c>
      <c r="Q32" s="29">
        <f t="shared" si="18"/>
        <v>13.2</v>
      </c>
      <c r="R32" s="26">
        <f t="shared" si="0"/>
        <v>4.6624242303552936E-2</v>
      </c>
      <c r="S32" s="29">
        <f t="shared" si="19"/>
        <v>8.2769967530698683</v>
      </c>
      <c r="T32" s="29">
        <f t="shared" si="20"/>
        <v>0</v>
      </c>
      <c r="U32" s="126">
        <f t="shared" si="21"/>
        <v>0</v>
      </c>
      <c r="V32" s="128">
        <f>IF((R32-$W$102)/($U$101-$W$102)&lt;0, 0, IF((R32-$W$102)/($U$101-$W$102)&gt;1, 1, (R32-$W$102)/($U$101-$W$102)))</f>
        <v>3.9792251200883517E-4</v>
      </c>
      <c r="W32" s="126">
        <f t="shared" si="22"/>
        <v>3.2936033398705345E-3</v>
      </c>
      <c r="Y32" s="35">
        <v>45136.302083333336</v>
      </c>
      <c r="Z32" s="71">
        <v>9.4626806314810508E-3</v>
      </c>
      <c r="AA32" s="70">
        <v>1.145105356</v>
      </c>
      <c r="AB32" s="36">
        <v>5317</v>
      </c>
      <c r="AC32" s="37">
        <f t="shared" si="23"/>
        <v>88.61666666666666</v>
      </c>
      <c r="AD32" s="37">
        <f t="shared" si="1"/>
        <v>0.83855121529307908</v>
      </c>
      <c r="AE32" s="38">
        <f t="shared" si="24"/>
        <v>34.072659579360547</v>
      </c>
      <c r="AF32" s="38">
        <f t="shared" si="25"/>
        <v>9.0507621709788721E-3</v>
      </c>
      <c r="AG32" s="38">
        <f t="shared" si="26"/>
        <v>0.30838353838551735</v>
      </c>
      <c r="AH32" s="38">
        <f t="shared" si="2"/>
        <v>9.4637216593146625E-2</v>
      </c>
      <c r="AI32" s="38">
        <f t="shared" si="27"/>
        <v>3.2245416645164964</v>
      </c>
      <c r="AK32" s="45">
        <v>45151.302083333336</v>
      </c>
      <c r="AL32" s="4">
        <v>8.5548684313914106E-3</v>
      </c>
      <c r="AM32" s="3">
        <v>0.59425534599999996</v>
      </c>
      <c r="AN32" s="4">
        <v>1310</v>
      </c>
      <c r="AO32" s="46">
        <f t="shared" si="28"/>
        <v>21.833333333333332</v>
      </c>
      <c r="AP32" s="47">
        <f t="shared" si="3"/>
        <v>0.18678129408537913</v>
      </c>
      <c r="AQ32" s="50">
        <f t="shared" si="29"/>
        <v>16.331480206862913</v>
      </c>
      <c r="AR32" s="50">
        <f t="shared" si="30"/>
        <v>0</v>
      </c>
      <c r="AS32" s="50">
        <f t="shared" si="31"/>
        <v>0</v>
      </c>
      <c r="AT32" s="50">
        <f t="shared" si="4"/>
        <v>5.2282686128654041E-2</v>
      </c>
      <c r="AU32" s="50">
        <f t="shared" si="32"/>
        <v>0.85385365367173971</v>
      </c>
      <c r="AW32" s="51">
        <v>45166.302083333336</v>
      </c>
      <c r="AX32" s="72">
        <v>5.5118897304557097E-3</v>
      </c>
      <c r="AY32" s="73">
        <v>0.27800180299999999</v>
      </c>
      <c r="AZ32" s="52">
        <v>1298</v>
      </c>
      <c r="BA32" s="53">
        <f t="shared" si="33"/>
        <v>21.633333333333333</v>
      </c>
      <c r="BB32" s="72">
        <f t="shared" si="5"/>
        <v>0.11924054783552518</v>
      </c>
      <c r="BC32" s="54">
        <f t="shared" si="34"/>
        <v>13.109266947612063</v>
      </c>
      <c r="BD32" s="54">
        <f t="shared" si="35"/>
        <v>0</v>
      </c>
      <c r="BE32" s="54">
        <f t="shared" si="36"/>
        <v>0</v>
      </c>
      <c r="BF32" s="54">
        <f t="shared" si="6"/>
        <v>0</v>
      </c>
      <c r="BG32" s="54">
        <f t="shared" si="37"/>
        <v>0</v>
      </c>
      <c r="BI32" s="66">
        <v>45183.302083333336</v>
      </c>
      <c r="BJ32" s="67">
        <v>5.4911867320969901E-3</v>
      </c>
      <c r="BK32" s="68">
        <v>0.44894941300000002</v>
      </c>
      <c r="BL32" s="68">
        <v>1420</v>
      </c>
      <c r="BM32" s="68">
        <f t="shared" si="38"/>
        <v>23.666666666666668</v>
      </c>
      <c r="BN32" s="68">
        <f t="shared" si="7"/>
        <v>0.1299580859929621</v>
      </c>
      <c r="BO32" s="69">
        <f t="shared" si="39"/>
        <v>13.673606320140971</v>
      </c>
      <c r="BP32" s="69">
        <f t="shared" si="40"/>
        <v>0</v>
      </c>
      <c r="BQ32" s="69">
        <f t="shared" si="41"/>
        <v>0</v>
      </c>
      <c r="BR32" s="69">
        <f t="shared" si="8"/>
        <v>0</v>
      </c>
      <c r="BS32" s="69">
        <f t="shared" si="42"/>
        <v>0</v>
      </c>
      <c r="BU32" s="82">
        <v>45046.635416666664</v>
      </c>
      <c r="BV32" s="112">
        <v>3.4854820000000002E-2</v>
      </c>
      <c r="BW32" s="83">
        <v>83.594462070000006</v>
      </c>
      <c r="BX32" s="112">
        <v>8663</v>
      </c>
      <c r="BY32" s="83">
        <f t="shared" si="9"/>
        <v>144.38333333333333</v>
      </c>
      <c r="BZ32" s="84">
        <f t="shared" si="10"/>
        <v>5.0324550943333337</v>
      </c>
      <c r="CA32" s="83">
        <f t="shared" si="11"/>
        <v>81.943632835591899</v>
      </c>
      <c r="CC32" s="87">
        <v>45047.510416666664</v>
      </c>
      <c r="CD32" s="109">
        <v>3.20120054721824E-2</v>
      </c>
      <c r="CE32" s="88">
        <v>79.202259850000004</v>
      </c>
      <c r="CF32" s="89">
        <v>8135</v>
      </c>
      <c r="CG32" s="90">
        <f t="shared" si="43"/>
        <v>135.58333333333334</v>
      </c>
      <c r="CH32" s="91">
        <f t="shared" si="44"/>
        <v>4.3402944086033974</v>
      </c>
      <c r="CI32" s="91">
        <f t="shared" si="45"/>
        <v>76.216103103536071</v>
      </c>
      <c r="CK32" s="93">
        <v>45049.552083333336</v>
      </c>
      <c r="CL32">
        <v>3.3962277279710198E-2</v>
      </c>
      <c r="CM32" s="95">
        <v>93.877037450000003</v>
      </c>
      <c r="CN32" s="4">
        <v>9994</v>
      </c>
      <c r="CO32" s="95">
        <f t="shared" si="46"/>
        <v>166.56666666666666</v>
      </c>
      <c r="CP32" s="94">
        <f t="shared" si="47"/>
        <v>5.6569833188903953</v>
      </c>
      <c r="CQ32" s="96">
        <f t="shared" si="48"/>
        <v>86.774959029769491</v>
      </c>
      <c r="CS32" s="10">
        <v>45050.8125</v>
      </c>
      <c r="CT32" s="110">
        <v>8.53755012254276E-2</v>
      </c>
      <c r="CU32" s="21">
        <v>129.12778700000001</v>
      </c>
      <c r="CV32" s="111">
        <v>4432</v>
      </c>
      <c r="CW32" s="21">
        <f t="shared" si="49"/>
        <v>73.86666666666666</v>
      </c>
      <c r="CX32" s="21">
        <f t="shared" si="50"/>
        <v>6.3064036905182519</v>
      </c>
      <c r="CY32" s="21">
        <f t="shared" si="51"/>
        <v>91.51804292328832</v>
      </c>
    </row>
    <row r="33" spans="1:103" x14ac:dyDescent="0.25">
      <c r="A33" s="10">
        <v>44776.313194444447</v>
      </c>
      <c r="B33" s="11">
        <v>1.4228156633069001E-3</v>
      </c>
      <c r="C33" s="12">
        <v>0.672222341</v>
      </c>
      <c r="D33" s="9">
        <v>96</v>
      </c>
      <c r="E33" s="13">
        <f t="shared" si="12"/>
        <v>1.6</v>
      </c>
      <c r="F33" s="12">
        <f t="shared" si="13"/>
        <v>2.2765050612910402E-3</v>
      </c>
      <c r="G33" s="13">
        <f t="shared" si="14"/>
        <v>1.8867225320127219</v>
      </c>
      <c r="H33" s="11">
        <f t="shared" si="15"/>
        <v>0</v>
      </c>
      <c r="I33" s="125">
        <f t="shared" si="16"/>
        <v>0</v>
      </c>
      <c r="J33" s="21">
        <f>IF((F33-$K$96)/($I$96-$K$96)&lt;0, 0, IF((F33-$K$96)/($I$96-$K$96)&gt;1, 1, (F33-$K$96)/($I$96-$K$96)))</f>
        <v>0</v>
      </c>
      <c r="K33" s="125">
        <f t="shared" si="17"/>
        <v>0</v>
      </c>
      <c r="M33" s="25">
        <v>44781.313194444447</v>
      </c>
      <c r="N33" s="26">
        <v>3.6192879646414402E-3</v>
      </c>
      <c r="O33" s="27">
        <v>1.2605418435</v>
      </c>
      <c r="P33" s="28">
        <v>825</v>
      </c>
      <c r="Q33" s="29">
        <f t="shared" si="18"/>
        <v>13.75</v>
      </c>
      <c r="R33" s="26">
        <f t="shared" si="0"/>
        <v>4.9765209513819804E-2</v>
      </c>
      <c r="S33" s="29">
        <f t="shared" si="19"/>
        <v>8.5455137041248861</v>
      </c>
      <c r="T33" s="29">
        <f t="shared" si="20"/>
        <v>0</v>
      </c>
      <c r="U33" s="126">
        <f t="shared" si="21"/>
        <v>0</v>
      </c>
      <c r="V33" s="128">
        <f>IF((R33-$W$102)/($U$101-$W$102)&lt;0, 0, IF((R33-$W$102)/($U$101-$W$102)&gt;1, 1, (R33-$W$102)/($U$101-$W$102)))</f>
        <v>1.990088995150362E-3</v>
      </c>
      <c r="W33" s="126">
        <f t="shared" si="22"/>
        <v>1.7006332780485543E-2</v>
      </c>
      <c r="Y33" s="35">
        <v>45136.3125</v>
      </c>
      <c r="Z33" s="71">
        <v>9.7109026346032697E-3</v>
      </c>
      <c r="AA33" s="70">
        <v>1.257509953</v>
      </c>
      <c r="AB33" s="36">
        <v>5822</v>
      </c>
      <c r="AC33" s="37">
        <f t="shared" si="23"/>
        <v>97.033333333333331</v>
      </c>
      <c r="AD33" s="37">
        <f t="shared" si="1"/>
        <v>0.9422812523110039</v>
      </c>
      <c r="AE33" s="38">
        <f t="shared" si="24"/>
        <v>36.075288113137567</v>
      </c>
      <c r="AF33" s="38">
        <f t="shared" si="25"/>
        <v>1.4917437992296022E-2</v>
      </c>
      <c r="AG33" s="38">
        <f t="shared" si="26"/>
        <v>0.53815087348194346</v>
      </c>
      <c r="AH33" s="38">
        <f t="shared" si="2"/>
        <v>0.12214018340157685</v>
      </c>
      <c r="AI33" s="38">
        <f t="shared" si="27"/>
        <v>4.4062423064033478</v>
      </c>
      <c r="AK33" s="45">
        <v>45151.3125</v>
      </c>
      <c r="AL33" s="4">
        <v>4.5908353032569097E-3</v>
      </c>
      <c r="AM33" s="3">
        <v>0.59425534599999996</v>
      </c>
      <c r="AN33" s="4">
        <v>1230</v>
      </c>
      <c r="AO33" s="46">
        <f t="shared" si="28"/>
        <v>20.5</v>
      </c>
      <c r="AP33" s="47">
        <f t="shared" si="3"/>
        <v>9.4112123716766652E-2</v>
      </c>
      <c r="AQ33" s="50">
        <f t="shared" si="29"/>
        <v>11.674756469924011</v>
      </c>
      <c r="AR33" s="50">
        <f t="shared" si="30"/>
        <v>0</v>
      </c>
      <c r="AS33" s="50">
        <f t="shared" si="31"/>
        <v>0</v>
      </c>
      <c r="AT33" s="50">
        <f t="shared" si="4"/>
        <v>0</v>
      </c>
      <c r="AU33" s="50">
        <f t="shared" si="32"/>
        <v>0</v>
      </c>
      <c r="AW33" s="51">
        <v>45166.3125</v>
      </c>
      <c r="AX33" s="72">
        <v>1.1462435806008401E-2</v>
      </c>
      <c r="AY33" s="73">
        <v>0.33439968599999997</v>
      </c>
      <c r="AZ33" s="52">
        <v>2874</v>
      </c>
      <c r="BA33" s="53">
        <f t="shared" si="33"/>
        <v>47.9</v>
      </c>
      <c r="BB33" s="72">
        <f t="shared" si="5"/>
        <v>0.54905067510780237</v>
      </c>
      <c r="BC33" s="54">
        <f t="shared" si="34"/>
        <v>27.691201483776123</v>
      </c>
      <c r="BD33" s="54">
        <f t="shared" si="35"/>
        <v>0</v>
      </c>
      <c r="BE33" s="54">
        <f t="shared" si="36"/>
        <v>0</v>
      </c>
      <c r="BF33" s="54">
        <f t="shared" si="6"/>
        <v>0</v>
      </c>
      <c r="BG33" s="54">
        <f t="shared" si="37"/>
        <v>0</v>
      </c>
      <c r="BI33" s="66">
        <v>45183.3125</v>
      </c>
      <c r="BJ33" s="67">
        <v>5.9311727867846099E-3</v>
      </c>
      <c r="BK33" s="68">
        <v>0.53201108200000002</v>
      </c>
      <c r="BL33" s="68">
        <v>1847</v>
      </c>
      <c r="BM33" s="68">
        <f t="shared" si="38"/>
        <v>30.783333333333335</v>
      </c>
      <c r="BN33" s="68">
        <f t="shared" si="7"/>
        <v>0.18258126895318624</v>
      </c>
      <c r="BO33" s="69">
        <f t="shared" si="39"/>
        <v>16.150601600219474</v>
      </c>
      <c r="BP33" s="69">
        <f t="shared" si="40"/>
        <v>6.3321113804638007E-2</v>
      </c>
      <c r="BQ33" s="69">
        <f t="shared" si="41"/>
        <v>1.022674081940866</v>
      </c>
      <c r="BR33" s="69">
        <f t="shared" si="8"/>
        <v>2.0050438639255194E-3</v>
      </c>
      <c r="BS33" s="69">
        <f t="shared" si="42"/>
        <v>3.2382664637225729E-2</v>
      </c>
      <c r="BU33" s="82">
        <v>45046.645833333336</v>
      </c>
      <c r="BV33" s="112">
        <v>3.7188723E-2</v>
      </c>
      <c r="BW33" s="83">
        <v>84.027783200000002</v>
      </c>
      <c r="BX33" s="112">
        <v>8331</v>
      </c>
      <c r="BY33" s="83">
        <f t="shared" si="9"/>
        <v>138.85</v>
      </c>
      <c r="BZ33" s="84">
        <f t="shared" si="10"/>
        <v>5.1636541885499998</v>
      </c>
      <c r="CA33" s="83">
        <f t="shared" si="11"/>
        <v>82.982919276963401</v>
      </c>
      <c r="CC33" s="87">
        <v>45047.520833333336</v>
      </c>
      <c r="CD33" s="109">
        <v>3.49588319987999E-2</v>
      </c>
      <c r="CE33" s="88">
        <v>76.544179459999995</v>
      </c>
      <c r="CF33" s="89">
        <v>8509</v>
      </c>
      <c r="CG33" s="90">
        <f t="shared" si="43"/>
        <v>141.81666666666666</v>
      </c>
      <c r="CH33" s="91">
        <f t="shared" si="44"/>
        <v>4.9577450246298058</v>
      </c>
      <c r="CI33" s="91">
        <f t="shared" si="45"/>
        <v>81.345636039838126</v>
      </c>
      <c r="CK33" s="93">
        <v>45049.5625</v>
      </c>
      <c r="CL33">
        <v>3.2509355361427898E-2</v>
      </c>
      <c r="CM33" s="95">
        <v>95.138397370000007</v>
      </c>
      <c r="CN33" s="4">
        <v>9907</v>
      </c>
      <c r="CO33" s="95">
        <f t="shared" si="46"/>
        <v>165.11666666666667</v>
      </c>
      <c r="CP33" s="94">
        <f t="shared" si="47"/>
        <v>5.3678363927611032</v>
      </c>
      <c r="CQ33" s="96">
        <f t="shared" si="48"/>
        <v>84.573887832164203</v>
      </c>
      <c r="CS33" s="10">
        <v>45050.822916666664</v>
      </c>
      <c r="CT33" s="110">
        <v>9.35434011158114E-2</v>
      </c>
      <c r="CU33" s="21">
        <v>124.3675379</v>
      </c>
      <c r="CV33" s="111">
        <v>4426</v>
      </c>
      <c r="CW33" s="21">
        <f t="shared" si="49"/>
        <v>73.766666666666666</v>
      </c>
      <c r="CX33" s="21">
        <f t="shared" si="50"/>
        <v>6.9003848889763546</v>
      </c>
      <c r="CY33" s="21">
        <f t="shared" si="51"/>
        <v>95.642265602762691</v>
      </c>
    </row>
    <row r="34" spans="1:103" x14ac:dyDescent="0.25">
      <c r="A34" s="10">
        <v>44776.323611111111</v>
      </c>
      <c r="B34" s="11">
        <v>1.62495919365844E-3</v>
      </c>
      <c r="C34" s="12">
        <v>0.67980481400000004</v>
      </c>
      <c r="D34" s="9">
        <v>102</v>
      </c>
      <c r="E34" s="13">
        <f t="shared" si="12"/>
        <v>1.7</v>
      </c>
      <c r="F34" s="12">
        <f t="shared" si="13"/>
        <v>2.7624306292193478E-3</v>
      </c>
      <c r="G34" s="13">
        <f t="shared" si="14"/>
        <v>2.0742160088414772</v>
      </c>
      <c r="H34" s="11">
        <f t="shared" si="15"/>
        <v>0</v>
      </c>
      <c r="I34" s="125">
        <f t="shared" si="16"/>
        <v>0</v>
      </c>
      <c r="J34" s="21">
        <f>IF((F34-$K$96)/($I$96-$K$96)&lt;0, 0, IF((F34-$K$96)/($I$96-$K$96)&gt;1, 1, (F34-$K$96)/($I$96-$K$96)))</f>
        <v>0</v>
      </c>
      <c r="K34" s="125">
        <f t="shared" si="17"/>
        <v>0</v>
      </c>
      <c r="M34" s="25">
        <v>44781.323611111111</v>
      </c>
      <c r="N34" s="26">
        <v>3.4101060243719099E-3</v>
      </c>
      <c r="O34" s="27">
        <v>1.2897381324999999</v>
      </c>
      <c r="P34" s="28">
        <v>934</v>
      </c>
      <c r="Q34" s="29">
        <f t="shared" si="18"/>
        <v>15.566666666666666</v>
      </c>
      <c r="R34" s="26">
        <f t="shared" si="0"/>
        <v>5.3083983779389395E-2</v>
      </c>
      <c r="S34" s="29">
        <f t="shared" si="19"/>
        <v>8.8199926345190907</v>
      </c>
      <c r="T34" s="29">
        <f t="shared" si="20"/>
        <v>0</v>
      </c>
      <c r="U34" s="126">
        <f t="shared" si="21"/>
        <v>0</v>
      </c>
      <c r="V34" s="128">
        <f>IF((R34-$W$102)/($U$101-$W$102)&lt;0, 0, IF((R34-$W$102)/($U$101-$W$102)&gt;1, 1, (R34-$W$102)/($U$101-$W$102)))</f>
        <v>3.6723864522777753E-3</v>
      </c>
      <c r="W34" s="126">
        <f t="shared" si="22"/>
        <v>3.2390421460197674E-2</v>
      </c>
      <c r="Y34" s="35">
        <v>45136.322916666664</v>
      </c>
      <c r="Z34" s="71">
        <v>9.5291302886648006E-3</v>
      </c>
      <c r="AA34" s="70">
        <v>1.145105356</v>
      </c>
      <c r="AB34" s="36">
        <v>4996</v>
      </c>
      <c r="AC34" s="37">
        <f t="shared" si="23"/>
        <v>83.266666666666666</v>
      </c>
      <c r="AD34" s="37">
        <f t="shared" si="1"/>
        <v>0.79345891536948909</v>
      </c>
      <c r="AE34" s="38">
        <f t="shared" si="24"/>
        <v>33.162763445790141</v>
      </c>
      <c r="AF34" s="38">
        <f t="shared" si="25"/>
        <v>9.0507621709788721E-3</v>
      </c>
      <c r="AG34" s="38">
        <f t="shared" si="26"/>
        <v>0.30014828488027834</v>
      </c>
      <c r="AH34" s="38">
        <f t="shared" si="2"/>
        <v>8.2681450801797576E-2</v>
      </c>
      <c r="AI34" s="38">
        <f t="shared" si="27"/>
        <v>2.7419453942947487</v>
      </c>
      <c r="AK34" s="45">
        <v>45151.322916666664</v>
      </c>
      <c r="AL34" s="4">
        <v>3.0903071871563699E-3</v>
      </c>
      <c r="AM34" s="3">
        <v>0.42386643899999998</v>
      </c>
      <c r="AN34" s="4">
        <v>520</v>
      </c>
      <c r="AO34" s="46">
        <f t="shared" si="28"/>
        <v>8.6666666666666661</v>
      </c>
      <c r="AP34" s="47">
        <f t="shared" si="3"/>
        <v>2.6782662288688537E-2</v>
      </c>
      <c r="AQ34" s="50">
        <f t="shared" si="29"/>
        <v>6.3091894975312455</v>
      </c>
      <c r="AR34" s="50">
        <f t="shared" si="30"/>
        <v>0</v>
      </c>
      <c r="AS34" s="50">
        <f t="shared" si="31"/>
        <v>0</v>
      </c>
      <c r="AT34" s="50">
        <f t="shared" si="4"/>
        <v>0</v>
      </c>
      <c r="AU34" s="50">
        <f t="shared" si="32"/>
        <v>0</v>
      </c>
      <c r="AW34" s="51">
        <v>45166.322916666664</v>
      </c>
      <c r="AX34" s="72">
        <v>1.54406588765562E-2</v>
      </c>
      <c r="AY34" s="73">
        <v>0.44939223900000003</v>
      </c>
      <c r="AZ34" s="52">
        <v>5502</v>
      </c>
      <c r="BA34" s="53">
        <f t="shared" si="33"/>
        <v>91.7</v>
      </c>
      <c r="BB34" s="72">
        <f t="shared" si="5"/>
        <v>1.4159084189802036</v>
      </c>
      <c r="BC34" s="54">
        <f t="shared" si="34"/>
        <v>44.036775639007523</v>
      </c>
      <c r="BD34" s="54">
        <f t="shared" si="35"/>
        <v>3.7618062491693006E-2</v>
      </c>
      <c r="BE34" s="54">
        <f t="shared" si="36"/>
        <v>1.6565781779208493</v>
      </c>
      <c r="BF34" s="54">
        <f t="shared" si="6"/>
        <v>0.12284616268029916</v>
      </c>
      <c r="BG34" s="54">
        <f t="shared" si="37"/>
        <v>5.4097489040653528</v>
      </c>
      <c r="BI34" s="66">
        <v>45183.322916666664</v>
      </c>
      <c r="BJ34" s="67">
        <v>6.2633664849026001E-3</v>
      </c>
      <c r="BK34" s="68">
        <v>0.44894941300000002</v>
      </c>
      <c r="BL34" s="68">
        <v>1417</v>
      </c>
      <c r="BM34" s="68">
        <f t="shared" si="38"/>
        <v>23.616666666666667</v>
      </c>
      <c r="BN34" s="68">
        <f t="shared" si="7"/>
        <v>0.14791983848511642</v>
      </c>
      <c r="BO34" s="69">
        <f t="shared" si="39"/>
        <v>14.568523286898406</v>
      </c>
      <c r="BP34" s="69">
        <f t="shared" si="40"/>
        <v>0</v>
      </c>
      <c r="BQ34" s="69">
        <f t="shared" si="41"/>
        <v>0</v>
      </c>
      <c r="BR34" s="69">
        <f t="shared" si="8"/>
        <v>0</v>
      </c>
      <c r="BS34" s="69">
        <f t="shared" si="42"/>
        <v>0</v>
      </c>
      <c r="BU34" s="82">
        <v>45046.65625</v>
      </c>
      <c r="BV34" s="112">
        <v>3.7509035000000003E-2</v>
      </c>
      <c r="BW34" s="83">
        <v>82.718647970000006</v>
      </c>
      <c r="BX34" s="112">
        <v>7989</v>
      </c>
      <c r="BY34" s="83">
        <f t="shared" si="9"/>
        <v>133.15</v>
      </c>
      <c r="BZ34" s="84">
        <f t="shared" si="10"/>
        <v>4.9943280102500003</v>
      </c>
      <c r="CA34" s="83">
        <f t="shared" si="11"/>
        <v>81.63902510058081</v>
      </c>
      <c r="CC34" s="87">
        <v>45047.53125</v>
      </c>
      <c r="CD34" s="109">
        <v>3.1865085475110903E-2</v>
      </c>
      <c r="CE34" s="88">
        <v>78.323104580000006</v>
      </c>
      <c r="CF34" s="89">
        <v>8663</v>
      </c>
      <c r="CG34" s="90">
        <f t="shared" si="43"/>
        <v>144.38333333333333</v>
      </c>
      <c r="CH34" s="91">
        <f t="shared" si="44"/>
        <v>4.6007872578480953</v>
      </c>
      <c r="CI34" s="91">
        <f t="shared" si="45"/>
        <v>78.422827658869721</v>
      </c>
      <c r="CK34" s="93">
        <v>45049.572916666664</v>
      </c>
      <c r="CL34">
        <v>3.3069297101709201E-2</v>
      </c>
      <c r="CM34" s="95">
        <v>93.877037450000003</v>
      </c>
      <c r="CN34" s="4">
        <v>9804</v>
      </c>
      <c r="CO34" s="95">
        <f t="shared" si="46"/>
        <v>163.4</v>
      </c>
      <c r="CP34" s="94">
        <f t="shared" si="47"/>
        <v>5.4035231464192837</v>
      </c>
      <c r="CQ34" s="96">
        <f t="shared" si="48"/>
        <v>84.848765407419762</v>
      </c>
      <c r="CS34" s="10">
        <v>45050.833333333336</v>
      </c>
      <c r="CT34" s="110">
        <v>8.8426929012709696E-2</v>
      </c>
      <c r="CU34" s="21">
        <v>114.5134446</v>
      </c>
      <c r="CV34" s="111">
        <v>4533</v>
      </c>
      <c r="CW34" s="21">
        <f t="shared" si="49"/>
        <v>75.55</v>
      </c>
      <c r="CX34" s="21">
        <f t="shared" si="50"/>
        <v>6.6806544869102176</v>
      </c>
      <c r="CY34" s="21">
        <f t="shared" si="51"/>
        <v>94.138540866410821</v>
      </c>
    </row>
    <row r="35" spans="1:103" x14ac:dyDescent="0.25">
      <c r="A35" s="10">
        <v>44776.334027777775</v>
      </c>
      <c r="B35" s="11">
        <v>2.0374389063300999E-3</v>
      </c>
      <c r="C35" s="12">
        <v>0.74230587949999904</v>
      </c>
      <c r="D35" s="9">
        <v>125</v>
      </c>
      <c r="E35" s="13">
        <f t="shared" si="12"/>
        <v>2.0833333333333335</v>
      </c>
      <c r="F35" s="12">
        <f t="shared" ref="F35:F66" si="52">E35*B35</f>
        <v>4.2446643881877081E-3</v>
      </c>
      <c r="G35" s="13">
        <f t="shared" si="14"/>
        <v>2.5598144420098592</v>
      </c>
      <c r="H35" s="11">
        <f t="shared" si="15"/>
        <v>1.5024597040673559E-3</v>
      </c>
      <c r="I35" s="125">
        <f t="shared" si="16"/>
        <v>3.8460180490094767E-3</v>
      </c>
      <c r="J35" s="21">
        <f>IF((F35-$K$96)/($I$96-$K$96)&lt;0, 0, IF((F35-$K$96)/($I$96-$K$96)&gt;1, 1, (F35-$K$96)/($I$96-$K$96)))</f>
        <v>1.5462131558253007E-4</v>
      </c>
      <c r="K35" s="125">
        <f t="shared" si="17"/>
        <v>3.9580187667072455E-4</v>
      </c>
      <c r="M35" s="25">
        <v>44781.334027777775</v>
      </c>
      <c r="N35" s="26">
        <v>3.8753167317763298E-3</v>
      </c>
      <c r="O35" s="27">
        <v>1.326867053</v>
      </c>
      <c r="P35" s="28">
        <v>897</v>
      </c>
      <c r="Q35" s="29">
        <f t="shared" si="18"/>
        <v>14.95</v>
      </c>
      <c r="R35" s="26">
        <f t="shared" ref="R35:R66" si="53">Q35*N35</f>
        <v>5.7935985140056129E-2</v>
      </c>
      <c r="S35" s="29">
        <f t="shared" si="19"/>
        <v>9.2059671796596909</v>
      </c>
      <c r="T35" s="29">
        <f t="shared" si="20"/>
        <v>1.1136702481469602E-3</v>
      </c>
      <c r="U35" s="126">
        <f t="shared" si="21"/>
        <v>1.025241175340438E-2</v>
      </c>
      <c r="V35" s="128">
        <f>IF((R35-$W$102)/($U$101-$W$102)&lt;0, 0, IF((R35-$W$102)/($U$101-$W$102)&gt;1, 1, (R35-$W$102)/($U$101-$W$102)))</f>
        <v>6.1318817050009947E-3</v>
      </c>
      <c r="W35" s="126">
        <f t="shared" si="22"/>
        <v>5.6449901725794865E-2</v>
      </c>
      <c r="Y35" s="35">
        <v>45136.333333333336</v>
      </c>
      <c r="Z35" s="71">
        <v>8.2768553180524104E-3</v>
      </c>
      <c r="AA35" s="70">
        <v>1.318149035</v>
      </c>
      <c r="AB35" s="36">
        <v>5749</v>
      </c>
      <c r="AC35" s="37">
        <f t="shared" si="23"/>
        <v>95.816666666666663</v>
      </c>
      <c r="AD35" s="37">
        <f t="shared" ref="AD35:AD66" si="54">Z35*AC35</f>
        <v>0.7930606870580551</v>
      </c>
      <c r="AE35" s="38">
        <f t="shared" si="24"/>
        <v>33.154611821964082</v>
      </c>
      <c r="AF35" s="38">
        <f t="shared" si="25"/>
        <v>1.8082342682059448E-2</v>
      </c>
      <c r="AG35" s="38">
        <f t="shared" si="26"/>
        <v>0.59951305245541386</v>
      </c>
      <c r="AH35" s="38">
        <f t="shared" si="2"/>
        <v>8.2575864605683016E-2</v>
      </c>
      <c r="AI35" s="38">
        <f t="shared" si="27"/>
        <v>2.7377707368644835</v>
      </c>
      <c r="AK35" s="45">
        <v>45151.333333333336</v>
      </c>
      <c r="AL35" s="4">
        <v>4.62743377795419E-3</v>
      </c>
      <c r="AM35" s="3">
        <v>0.50323377899999999</v>
      </c>
      <c r="AN35" s="4">
        <v>848</v>
      </c>
      <c r="AO35" s="46">
        <f t="shared" si="28"/>
        <v>14.133333333333333</v>
      </c>
      <c r="AP35" s="47">
        <f t="shared" ref="AP35:AP66" si="55">AO35*AL35</f>
        <v>6.5401064061752556E-2</v>
      </c>
      <c r="AQ35" s="50">
        <f t="shared" si="29"/>
        <v>9.7688957777668222</v>
      </c>
      <c r="AR35" s="50">
        <f t="shared" si="30"/>
        <v>0</v>
      </c>
      <c r="AS35" s="50">
        <f t="shared" si="31"/>
        <v>0</v>
      </c>
      <c r="AT35" s="50">
        <f t="shared" si="4"/>
        <v>0</v>
      </c>
      <c r="AU35" s="50">
        <f t="shared" si="32"/>
        <v>0</v>
      </c>
      <c r="AW35" s="51">
        <v>45166.333333333336</v>
      </c>
      <c r="AX35" s="72">
        <v>1.0682284256436201E-2</v>
      </c>
      <c r="AY35" s="73">
        <v>0.377160934</v>
      </c>
      <c r="AZ35" s="52">
        <v>4109</v>
      </c>
      <c r="BA35" s="53">
        <f t="shared" si="33"/>
        <v>68.483333333333334</v>
      </c>
      <c r="BB35" s="72">
        <f t="shared" ref="BB35:BB66" si="56">BA35*AX35</f>
        <v>0.7315584334949391</v>
      </c>
      <c r="BC35" s="54">
        <f t="shared" si="34"/>
        <v>31.869579878084458</v>
      </c>
      <c r="BD35" s="54">
        <f t="shared" si="35"/>
        <v>0</v>
      </c>
      <c r="BE35" s="54">
        <f t="shared" si="36"/>
        <v>0</v>
      </c>
      <c r="BF35" s="54">
        <f t="shared" si="6"/>
        <v>1.3495533050043059E-2</v>
      </c>
      <c r="BG35" s="54">
        <f t="shared" si="37"/>
        <v>0.43009696853567603</v>
      </c>
      <c r="BI35" s="66">
        <v>45183.333333333336</v>
      </c>
      <c r="BJ35" s="67">
        <v>5.6065254957764999E-3</v>
      </c>
      <c r="BK35" s="68">
        <v>0.39953381599999999</v>
      </c>
      <c r="BL35" s="68">
        <v>1004</v>
      </c>
      <c r="BM35" s="68">
        <f t="shared" si="38"/>
        <v>16.733333333333334</v>
      </c>
      <c r="BN35" s="68">
        <f t="shared" ref="BN35:BN66" si="57">BM35*BJ35</f>
        <v>9.3815859962660106E-2</v>
      </c>
      <c r="BO35" s="69">
        <f t="shared" si="39"/>
        <v>11.656744545137443</v>
      </c>
      <c r="BP35" s="69">
        <f t="shared" si="40"/>
        <v>0</v>
      </c>
      <c r="BQ35" s="69">
        <f t="shared" si="41"/>
        <v>0</v>
      </c>
      <c r="BR35" s="69">
        <f t="shared" si="8"/>
        <v>0</v>
      </c>
      <c r="BS35" s="69">
        <f t="shared" si="42"/>
        <v>0</v>
      </c>
      <c r="BU35" s="82">
        <v>45046.666666666664</v>
      </c>
      <c r="BV35" s="112">
        <v>4.0242174999999998E-2</v>
      </c>
      <c r="BW35" s="83">
        <v>81.405228940000001</v>
      </c>
      <c r="BX35" s="112">
        <v>7778</v>
      </c>
      <c r="BY35" s="83">
        <f t="shared" si="9"/>
        <v>129.63333333333333</v>
      </c>
      <c r="BZ35" s="84">
        <f t="shared" si="10"/>
        <v>5.2167272858333327</v>
      </c>
      <c r="CA35" s="83">
        <f t="shared" si="11"/>
        <v>83.399502274836181</v>
      </c>
      <c r="CC35" s="87">
        <v>45047.541666666664</v>
      </c>
      <c r="CD35" s="109">
        <v>3.0628840007062799E-2</v>
      </c>
      <c r="CE35" s="88">
        <v>77.875916610000004</v>
      </c>
      <c r="CF35" s="89">
        <v>8590</v>
      </c>
      <c r="CG35" s="90">
        <f t="shared" si="43"/>
        <v>143.16666666666666</v>
      </c>
      <c r="CH35" s="91">
        <f t="shared" si="44"/>
        <v>4.3850289276778236</v>
      </c>
      <c r="CI35" s="91">
        <f t="shared" si="45"/>
        <v>76.5997774199719</v>
      </c>
      <c r="CK35" s="93">
        <v>45049.583333333336</v>
      </c>
      <c r="CL35">
        <v>3.3177207640870301E-2</v>
      </c>
      <c r="CM35" s="95">
        <v>95.977802339999997</v>
      </c>
      <c r="CN35" s="4">
        <v>10113</v>
      </c>
      <c r="CO35" s="95">
        <f t="shared" si="46"/>
        <v>168.55</v>
      </c>
      <c r="CP35" s="94">
        <f t="shared" si="47"/>
        <v>5.5920183478686898</v>
      </c>
      <c r="CQ35" s="96">
        <f t="shared" si="48"/>
        <v>86.285521859634741</v>
      </c>
      <c r="CS35" s="10">
        <v>45050.84375</v>
      </c>
      <c r="CT35" s="110">
        <v>8.8293143982756797E-2</v>
      </c>
      <c r="CU35" s="21">
        <v>124.3675379</v>
      </c>
      <c r="CV35" s="111">
        <v>4355</v>
      </c>
      <c r="CW35" s="21">
        <f t="shared" si="49"/>
        <v>72.583333333333329</v>
      </c>
      <c r="CX35" s="21">
        <f t="shared" si="50"/>
        <v>6.4086107007484303</v>
      </c>
      <c r="CY35" s="21">
        <f t="shared" si="51"/>
        <v>92.241396612746883</v>
      </c>
    </row>
    <row r="36" spans="1:103" x14ac:dyDescent="0.25">
      <c r="A36" s="10">
        <v>44776.344444444447</v>
      </c>
      <c r="B36" s="11">
        <v>1.78875307502596E-3</v>
      </c>
      <c r="C36" s="12">
        <v>0.76352864149999999</v>
      </c>
      <c r="D36" s="9">
        <v>171</v>
      </c>
      <c r="E36" s="13">
        <f t="shared" si="12"/>
        <v>2.85</v>
      </c>
      <c r="F36" s="12">
        <f t="shared" si="52"/>
        <v>5.097946263823986E-3</v>
      </c>
      <c r="G36" s="13">
        <f t="shared" si="14"/>
        <v>2.8000452401310367</v>
      </c>
      <c r="H36" s="11">
        <f t="shared" si="15"/>
        <v>3.2777424540375972E-3</v>
      </c>
      <c r="I36" s="125">
        <f t="shared" si="16"/>
        <v>9.1778271568033979E-3</v>
      </c>
      <c r="J36" s="21">
        <f>IF((F36-$K$96)/($I$96-$K$96)&lt;0, 0, IF((F36-$K$96)/($I$96-$K$96)&gt;1, 1, (F36-$K$96)/($I$96-$K$96)))</f>
        <v>3.3158564188605328E-4</v>
      </c>
      <c r="K36" s="125">
        <f t="shared" si="17"/>
        <v>9.2845479825883804E-4</v>
      </c>
      <c r="M36" s="25">
        <v>44781.344444444447</v>
      </c>
      <c r="N36" s="26">
        <v>4.1273201374424397E-3</v>
      </c>
      <c r="O36" s="27">
        <v>1.314942037</v>
      </c>
      <c r="P36" s="28">
        <v>945</v>
      </c>
      <c r="Q36" s="29">
        <f t="shared" si="18"/>
        <v>15.75</v>
      </c>
      <c r="R36" s="26">
        <f t="shared" si="53"/>
        <v>6.5005292164718426E-2</v>
      </c>
      <c r="S36" s="29">
        <f t="shared" si="19"/>
        <v>9.7399017992620589</v>
      </c>
      <c r="T36" s="29">
        <f t="shared" si="20"/>
        <v>7.2542091310848471E-4</v>
      </c>
      <c r="U36" s="126">
        <f t="shared" si="21"/>
        <v>7.0655284568076557E-3</v>
      </c>
      <c r="V36" s="128">
        <f>IF((R36-$W$102)/($U$101-$W$102)&lt;0, 0, IF((R36-$W$102)/($U$101-$W$102)&gt;1, 1, (R36-$W$102)/($U$101-$W$102)))</f>
        <v>9.7153364023035982E-3</v>
      </c>
      <c r="W36" s="126">
        <f t="shared" si="22"/>
        <v>9.4626422505232996E-2</v>
      </c>
      <c r="Y36" s="35">
        <v>45136.34375</v>
      </c>
      <c r="Z36" s="71">
        <v>8.4345455036178903E-3</v>
      </c>
      <c r="AA36" s="70">
        <v>1.318149035</v>
      </c>
      <c r="AB36" s="36">
        <v>5692</v>
      </c>
      <c r="AC36" s="37">
        <f t="shared" si="23"/>
        <v>94.86666666666666</v>
      </c>
      <c r="AD36" s="37">
        <f t="shared" si="54"/>
        <v>0.8001572167765505</v>
      </c>
      <c r="AE36" s="38">
        <f t="shared" si="24"/>
        <v>33.299564222719859</v>
      </c>
      <c r="AF36" s="38">
        <f t="shared" si="25"/>
        <v>1.8082342682059448E-2</v>
      </c>
      <c r="AG36" s="38">
        <f t="shared" si="26"/>
        <v>0.60213413143846706</v>
      </c>
      <c r="AH36" s="38">
        <f t="shared" si="2"/>
        <v>8.4457437454915588E-2</v>
      </c>
      <c r="AI36" s="38">
        <f t="shared" si="27"/>
        <v>2.8123958626163073</v>
      </c>
      <c r="AK36" s="45">
        <v>45151.34375</v>
      </c>
      <c r="AL36" s="4">
        <v>4.9781933895499796E-3</v>
      </c>
      <c r="AM36" s="3">
        <v>0.50323377899999999</v>
      </c>
      <c r="AN36" s="4">
        <v>801</v>
      </c>
      <c r="AO36" s="46">
        <f t="shared" si="28"/>
        <v>13.35</v>
      </c>
      <c r="AP36" s="47">
        <f t="shared" si="55"/>
        <v>6.6458881750492221E-2</v>
      </c>
      <c r="AQ36" s="50">
        <f t="shared" si="29"/>
        <v>9.8459541994458224</v>
      </c>
      <c r="AR36" s="50">
        <f t="shared" si="30"/>
        <v>0</v>
      </c>
      <c r="AS36" s="50">
        <f t="shared" si="31"/>
        <v>0</v>
      </c>
      <c r="AT36" s="50">
        <f t="shared" si="4"/>
        <v>0</v>
      </c>
      <c r="AU36" s="50">
        <f t="shared" si="32"/>
        <v>0</v>
      </c>
      <c r="AW36" s="51">
        <v>45166.34375</v>
      </c>
      <c r="AX36" s="72">
        <v>1.33179201904401E-2</v>
      </c>
      <c r="AY36" s="73">
        <v>0.44939223900000003</v>
      </c>
      <c r="AZ36" s="52">
        <v>5149</v>
      </c>
      <c r="BA36" s="53">
        <f t="shared" si="33"/>
        <v>85.816666666666663</v>
      </c>
      <c r="BB36" s="72">
        <f t="shared" si="56"/>
        <v>1.142899517676268</v>
      </c>
      <c r="BC36" s="54">
        <f t="shared" si="34"/>
        <v>39.651546869503818</v>
      </c>
      <c r="BD36" s="54">
        <f t="shared" si="35"/>
        <v>3.7618062491693006E-2</v>
      </c>
      <c r="BE36" s="54">
        <f t="shared" si="36"/>
        <v>1.4916143680292888</v>
      </c>
      <c r="BF36" s="54">
        <f t="shared" si="6"/>
        <v>7.9222730393556429E-2</v>
      </c>
      <c r="BG36" s="54">
        <f t="shared" si="37"/>
        <v>3.1413038073301673</v>
      </c>
      <c r="BI36" s="66">
        <v>45183.34375</v>
      </c>
      <c r="BJ36" s="67">
        <v>6.3769622080516401E-3</v>
      </c>
      <c r="BK36" s="68">
        <v>0.47522856800000002</v>
      </c>
      <c r="BL36" s="68">
        <v>1623</v>
      </c>
      <c r="BM36" s="68">
        <f t="shared" si="38"/>
        <v>27.05</v>
      </c>
      <c r="BN36" s="68">
        <f t="shared" si="57"/>
        <v>0.17249682772779687</v>
      </c>
      <c r="BO36" s="69">
        <f t="shared" si="39"/>
        <v>15.707436170187719</v>
      </c>
      <c r="BP36" s="69">
        <f t="shared" si="40"/>
        <v>5.0310938597030548E-3</v>
      </c>
      <c r="BQ36" s="69">
        <f t="shared" si="41"/>
        <v>7.9025585667509099E-2</v>
      </c>
      <c r="BR36" s="69">
        <f t="shared" si="8"/>
        <v>1.1418650964327131E-3</v>
      </c>
      <c r="BS36" s="69">
        <f t="shared" si="42"/>
        <v>1.7935773117182086E-2</v>
      </c>
      <c r="BU36" s="82">
        <v>45046.677083333336</v>
      </c>
      <c r="BV36" s="112">
        <v>4.0290725999999999E-2</v>
      </c>
      <c r="BW36" s="83">
        <v>80.079324720000002</v>
      </c>
      <c r="BX36" s="112">
        <v>7660</v>
      </c>
      <c r="BY36" s="83">
        <f t="shared" ref="BY36:BY87" si="58">BX36/60</f>
        <v>127.66666666666667</v>
      </c>
      <c r="BZ36" s="84">
        <f t="shared" ref="BZ36:BZ87" si="59">BY36*BV36</f>
        <v>5.1437826859999998</v>
      </c>
      <c r="CA36" s="83">
        <f t="shared" ref="CA36:CA87" si="60">IF(37.141*BZ36^0.4897&gt;22.6, 37.141*BZ36^0.4897, 0)</f>
        <v>82.826381405665046</v>
      </c>
      <c r="CC36" s="87">
        <v>45047.552083333336</v>
      </c>
      <c r="CD36" s="109">
        <v>3.3589711909543699E-2</v>
      </c>
      <c r="CE36" s="88">
        <v>75.659696060000002</v>
      </c>
      <c r="CF36" s="89">
        <v>8163</v>
      </c>
      <c r="CG36" s="90">
        <f t="shared" si="43"/>
        <v>136.05000000000001</v>
      </c>
      <c r="CH36" s="91">
        <f t="shared" si="44"/>
        <v>4.5698803052934203</v>
      </c>
      <c r="CI36" s="91">
        <f t="shared" si="45"/>
        <v>78.164397664858541</v>
      </c>
      <c r="CK36" s="93">
        <v>45049.59375</v>
      </c>
      <c r="CL36">
        <v>3.5138969485248903E-2</v>
      </c>
      <c r="CM36" s="95">
        <v>97.229596529999995</v>
      </c>
      <c r="CN36" s="4">
        <v>9513</v>
      </c>
      <c r="CO36" s="95">
        <f t="shared" si="46"/>
        <v>158.55000000000001</v>
      </c>
      <c r="CP36" s="94">
        <f t="shared" si="47"/>
        <v>5.5712836118862139</v>
      </c>
      <c r="CQ36" s="96">
        <f t="shared" si="48"/>
        <v>86.128698986913051</v>
      </c>
      <c r="CS36" s="10">
        <v>45050.854166666664</v>
      </c>
      <c r="CT36" s="110">
        <v>8.9715870856291499E-2</v>
      </c>
      <c r="CU36" s="21">
        <v>113.3477233</v>
      </c>
      <c r="CV36" s="111">
        <v>4570</v>
      </c>
      <c r="CW36" s="21">
        <f t="shared" si="49"/>
        <v>76.166666666666671</v>
      </c>
      <c r="CX36" s="21">
        <f t="shared" si="50"/>
        <v>6.8333588302208694</v>
      </c>
      <c r="CY36" s="21">
        <f t="shared" si="51"/>
        <v>95.186196533147893</v>
      </c>
    </row>
    <row r="37" spans="1:103" x14ac:dyDescent="0.25">
      <c r="A37" s="10">
        <v>44776.354861111111</v>
      </c>
      <c r="B37" s="11">
        <v>1.47752317105199E-3</v>
      </c>
      <c r="C37" s="12">
        <v>0.72191215399999997</v>
      </c>
      <c r="D37" s="9">
        <v>128</v>
      </c>
      <c r="E37" s="13">
        <f t="shared" si="12"/>
        <v>2.1333333333333333</v>
      </c>
      <c r="F37" s="12">
        <f t="shared" si="52"/>
        <v>3.1520494315775784E-3</v>
      </c>
      <c r="G37" s="13">
        <f t="shared" si="14"/>
        <v>2.2126595392400104</v>
      </c>
      <c r="H37" s="11">
        <f t="shared" si="15"/>
        <v>0</v>
      </c>
      <c r="I37" s="125">
        <f t="shared" si="16"/>
        <v>0</v>
      </c>
      <c r="J37" s="21">
        <f>IF((F37-$K$96)/($I$96-$K$96)&lt;0, 0, IF((F37-$K$96)/($I$96-$K$96)&gt;1, 1, (F37-$K$96)/($I$96-$K$96)))</f>
        <v>0</v>
      </c>
      <c r="K37" s="125">
        <f t="shared" si="17"/>
        <v>0</v>
      </c>
      <c r="M37" s="25">
        <v>44781.354861111111</v>
      </c>
      <c r="N37" s="26">
        <v>3.65665104705773E-3</v>
      </c>
      <c r="O37" s="27">
        <v>1.3033880545000001</v>
      </c>
      <c r="P37" s="28">
        <v>906</v>
      </c>
      <c r="Q37" s="29">
        <f t="shared" si="18"/>
        <v>15.1</v>
      </c>
      <c r="R37" s="26">
        <f t="shared" si="53"/>
        <v>5.5215430810571724E-2</v>
      </c>
      <c r="S37" s="29">
        <f t="shared" si="19"/>
        <v>8.9916750266202623</v>
      </c>
      <c r="T37" s="29">
        <f t="shared" si="20"/>
        <v>3.4925152074279065E-4</v>
      </c>
      <c r="U37" s="126">
        <f t="shared" si="21"/>
        <v>3.1403561770720991E-3</v>
      </c>
      <c r="V37" s="128">
        <f>IF((R37-$W$102)/($U$101-$W$102)&lt;0, 0, IF((R37-$W$102)/($U$101-$W$102)&gt;1, 1, (R37-$W$102)/($U$101-$W$102)))</f>
        <v>4.7528238769498025E-3</v>
      </c>
      <c r="W37" s="126">
        <f t="shared" si="22"/>
        <v>4.2735847760294036E-2</v>
      </c>
      <c r="Y37" s="35">
        <v>45136.354166666664</v>
      </c>
      <c r="Z37" s="71">
        <v>7.46440744534044E-3</v>
      </c>
      <c r="AA37" s="70">
        <v>1.145105356</v>
      </c>
      <c r="AB37" s="36">
        <v>5375</v>
      </c>
      <c r="AC37" s="37">
        <f t="shared" si="23"/>
        <v>89.583333333333329</v>
      </c>
      <c r="AD37" s="37">
        <f t="shared" si="54"/>
        <v>0.6686865003117477</v>
      </c>
      <c r="AE37" s="38">
        <f t="shared" si="24"/>
        <v>30.497558859900899</v>
      </c>
      <c r="AF37" s="38">
        <f t="shared" si="25"/>
        <v>9.0507621709788721E-3</v>
      </c>
      <c r="AG37" s="38">
        <f t="shared" si="26"/>
        <v>0.27602615203639258</v>
      </c>
      <c r="AH37" s="38">
        <f t="shared" si="2"/>
        <v>4.9599310964637884E-2</v>
      </c>
      <c r="AI37" s="38">
        <f t="shared" si="27"/>
        <v>1.5126579055545719</v>
      </c>
      <c r="AK37" s="45">
        <v>45151.354166666664</v>
      </c>
      <c r="AL37" s="4">
        <v>5.1923909126105504E-3</v>
      </c>
      <c r="AM37" s="3">
        <v>0.59425534599999996</v>
      </c>
      <c r="AN37" s="4">
        <v>1336</v>
      </c>
      <c r="AO37" s="46">
        <f t="shared" si="28"/>
        <v>22.266666666666666</v>
      </c>
      <c r="AP37" s="47">
        <f t="shared" si="55"/>
        <v>0.11561723765412825</v>
      </c>
      <c r="AQ37" s="50">
        <f t="shared" si="29"/>
        <v>12.912661147967409</v>
      </c>
      <c r="AR37" s="50">
        <f t="shared" si="30"/>
        <v>0</v>
      </c>
      <c r="AS37" s="50">
        <f t="shared" si="31"/>
        <v>0</v>
      </c>
      <c r="AT37" s="50">
        <f t="shared" si="4"/>
        <v>0</v>
      </c>
      <c r="AU37" s="50">
        <f t="shared" si="32"/>
        <v>0</v>
      </c>
      <c r="AW37" s="51">
        <v>45166.354166666664</v>
      </c>
      <c r="AX37" s="72">
        <v>7.7398499161251202E-3</v>
      </c>
      <c r="AY37" s="73">
        <v>0.33439968599999997</v>
      </c>
      <c r="AZ37" s="52">
        <v>2591</v>
      </c>
      <c r="BA37" s="53">
        <f t="shared" si="33"/>
        <v>43.18333333333333</v>
      </c>
      <c r="BB37" s="72">
        <f t="shared" si="56"/>
        <v>0.33423251887800309</v>
      </c>
      <c r="BC37" s="54">
        <f t="shared" si="34"/>
        <v>21.716020453446596</v>
      </c>
      <c r="BD37" s="54">
        <f t="shared" si="35"/>
        <v>0</v>
      </c>
      <c r="BE37" s="54">
        <f t="shared" si="36"/>
        <v>0</v>
      </c>
      <c r="BF37" s="54">
        <f t="shared" si="6"/>
        <v>0</v>
      </c>
      <c r="BG37" s="54">
        <f t="shared" si="37"/>
        <v>0</v>
      </c>
      <c r="BI37" s="66">
        <v>45183.354166666664</v>
      </c>
      <c r="BJ37" s="67">
        <v>8.7199350546054901E-3</v>
      </c>
      <c r="BK37" s="68">
        <v>0.62723254799999995</v>
      </c>
      <c r="BL37" s="68">
        <v>2375</v>
      </c>
      <c r="BM37" s="68">
        <f t="shared" si="38"/>
        <v>39.583333333333336</v>
      </c>
      <c r="BN37" s="68">
        <f t="shared" si="57"/>
        <v>0.34516409591146735</v>
      </c>
      <c r="BO37" s="69">
        <f t="shared" si="39"/>
        <v>22.060976694544749</v>
      </c>
      <c r="BP37" s="69">
        <f t="shared" si="40"/>
        <v>0.16107059267283219</v>
      </c>
      <c r="BQ37" s="69">
        <f t="shared" si="41"/>
        <v>3.553374591131861</v>
      </c>
      <c r="BR37" s="69">
        <f t="shared" si="8"/>
        <v>1.592133739499587E-2</v>
      </c>
      <c r="BS37" s="69">
        <f t="shared" si="42"/>
        <v>0.35124025321698771</v>
      </c>
      <c r="BU37" s="82">
        <v>45046.6875</v>
      </c>
      <c r="BV37" s="112">
        <v>3.9351766000000003E-2</v>
      </c>
      <c r="BW37" s="83">
        <v>84.891986889999998</v>
      </c>
      <c r="BX37" s="112">
        <v>7482</v>
      </c>
      <c r="BY37" s="83">
        <f t="shared" si="58"/>
        <v>124.7</v>
      </c>
      <c r="BZ37" s="84">
        <f t="shared" si="59"/>
        <v>4.9071652202000005</v>
      </c>
      <c r="CA37" s="83">
        <f t="shared" si="60"/>
        <v>80.938169278524285</v>
      </c>
      <c r="CC37" s="87">
        <v>45047.5625</v>
      </c>
      <c r="CD37" s="109">
        <v>3.2626751827534099E-2</v>
      </c>
      <c r="CE37" s="88">
        <v>78.323104580000006</v>
      </c>
      <c r="CF37" s="89">
        <v>7950</v>
      </c>
      <c r="CG37" s="90">
        <f t="shared" si="43"/>
        <v>132.5</v>
      </c>
      <c r="CH37" s="91">
        <f t="shared" si="44"/>
        <v>4.3230446171482679</v>
      </c>
      <c r="CI37" s="91">
        <f t="shared" si="45"/>
        <v>76.067618111558048</v>
      </c>
      <c r="CK37" s="93">
        <v>45049.604166666664</v>
      </c>
      <c r="CL37">
        <v>3.5127544457337803E-2</v>
      </c>
      <c r="CM37" s="95">
        <v>101.36348099999999</v>
      </c>
      <c r="CN37" s="4">
        <v>9419</v>
      </c>
      <c r="CO37" s="95">
        <f t="shared" si="46"/>
        <v>156.98333333333332</v>
      </c>
      <c r="CP37" s="94">
        <f t="shared" si="47"/>
        <v>5.5144390207277461</v>
      </c>
      <c r="CQ37" s="96">
        <f t="shared" si="48"/>
        <v>85.697232722978967</v>
      </c>
      <c r="CS37" s="10">
        <v>45050.864583333336</v>
      </c>
      <c r="CT37" s="110">
        <v>8.42019086997393E-2</v>
      </c>
      <c r="CU37" s="21">
        <v>114.1275401</v>
      </c>
      <c r="CV37" s="111">
        <v>4428</v>
      </c>
      <c r="CW37" s="21">
        <f t="shared" si="49"/>
        <v>73.8</v>
      </c>
      <c r="CX37" s="21">
        <f t="shared" si="50"/>
        <v>6.2141008620407598</v>
      </c>
      <c r="CY37" s="21">
        <f t="shared" si="51"/>
        <v>90.859626091240912</v>
      </c>
    </row>
    <row r="38" spans="1:103" x14ac:dyDescent="0.25">
      <c r="A38" s="10">
        <v>44776.365277777775</v>
      </c>
      <c r="B38" s="11">
        <v>1.5269880596736601E-3</v>
      </c>
      <c r="C38" s="12">
        <v>0.72191215399999997</v>
      </c>
      <c r="D38" s="9">
        <v>147</v>
      </c>
      <c r="E38" s="13">
        <f t="shared" si="12"/>
        <v>2.4500000000000002</v>
      </c>
      <c r="F38" s="12">
        <f t="shared" si="52"/>
        <v>3.7411207462004674E-3</v>
      </c>
      <c r="G38" s="13">
        <f t="shared" si="14"/>
        <v>2.4063153288996197</v>
      </c>
      <c r="H38" s="11">
        <f t="shared" si="15"/>
        <v>0</v>
      </c>
      <c r="I38" s="125">
        <f t="shared" si="16"/>
        <v>0</v>
      </c>
      <c r="J38" s="21">
        <f>IF((F38-$K$96)/($I$96-$K$96)&lt;0, 0, IF((F38-$K$96)/($I$96-$K$96)&gt;1, 1, (F38-$K$96)/($I$96-$K$96)))</f>
        <v>5.0190102506256486E-5</v>
      </c>
      <c r="K38" s="125">
        <f t="shared" si="17"/>
        <v>1.2077321301984821E-4</v>
      </c>
      <c r="M38" s="25">
        <v>44781.365277777775</v>
      </c>
      <c r="N38" s="26">
        <v>3.4616339816976299E-3</v>
      </c>
      <c r="O38" s="27">
        <v>1.2281127095</v>
      </c>
      <c r="P38" s="28">
        <v>778</v>
      </c>
      <c r="Q38" s="29">
        <f t="shared" si="18"/>
        <v>12.966666666666667</v>
      </c>
      <c r="R38" s="26">
        <f t="shared" si="53"/>
        <v>4.4885853962679266E-2</v>
      </c>
      <c r="S38" s="29">
        <f t="shared" si="19"/>
        <v>8.1244058647089226</v>
      </c>
      <c r="T38" s="29">
        <f t="shared" si="20"/>
        <v>0</v>
      </c>
      <c r="U38" s="126">
        <f t="shared" si="21"/>
        <v>0</v>
      </c>
      <c r="V38" s="128">
        <f>IF((R38-$W$102)/($U$101-$W$102)&lt;0, 0, IF((R38-$W$102)/($U$101-$W$102)&gt;1, 1, (R38-$W$102)/($U$101-$W$102)))</f>
        <v>0</v>
      </c>
      <c r="W38" s="126">
        <f t="shared" si="22"/>
        <v>0</v>
      </c>
      <c r="Y38" s="35">
        <v>45136.364583333336</v>
      </c>
      <c r="Z38" s="71">
        <v>8.4005436746933306E-3</v>
      </c>
      <c r="AA38" s="70">
        <v>1.145105356</v>
      </c>
      <c r="AB38" s="36">
        <v>4829</v>
      </c>
      <c r="AC38" s="37">
        <f t="shared" si="23"/>
        <v>80.483333333333334</v>
      </c>
      <c r="AD38" s="37">
        <f t="shared" si="54"/>
        <v>0.6761037567515682</v>
      </c>
      <c r="AE38" s="38">
        <f t="shared" si="24"/>
        <v>30.662751949554721</v>
      </c>
      <c r="AF38" s="38">
        <f t="shared" si="25"/>
        <v>9.0507621709788721E-3</v>
      </c>
      <c r="AG38" s="38">
        <f t="shared" si="26"/>
        <v>0.27752127540313853</v>
      </c>
      <c r="AH38" s="38">
        <f t="shared" si="2"/>
        <v>5.1565921249745052E-2</v>
      </c>
      <c r="AI38" s="38">
        <f t="shared" si="27"/>
        <v>1.5811530523312054</v>
      </c>
      <c r="AK38" s="45">
        <v>45151.364583333336</v>
      </c>
      <c r="AL38" s="4">
        <v>5.9093812827711702E-3</v>
      </c>
      <c r="AM38" s="3">
        <v>0.66168135500000003</v>
      </c>
      <c r="AN38" s="4">
        <v>1316</v>
      </c>
      <c r="AO38" s="46">
        <f t="shared" si="28"/>
        <v>21.933333333333334</v>
      </c>
      <c r="AP38" s="47">
        <f t="shared" si="55"/>
        <v>0.12961242946878099</v>
      </c>
      <c r="AQ38" s="50">
        <f t="shared" si="29"/>
        <v>13.655784598711882</v>
      </c>
      <c r="AR38" s="50">
        <f t="shared" si="30"/>
        <v>3.0740633965156895E-2</v>
      </c>
      <c r="AS38" s="50">
        <f t="shared" si="31"/>
        <v>0.41978747585602894</v>
      </c>
      <c r="AT38" s="50">
        <f t="shared" si="4"/>
        <v>7.007205420802437E-3</v>
      </c>
      <c r="AU38" s="50">
        <f t="shared" si="32"/>
        <v>9.5688887865404332E-2</v>
      </c>
      <c r="AW38" s="51">
        <v>45166.364583333336</v>
      </c>
      <c r="AX38" s="72">
        <v>9.8195732874963998E-3</v>
      </c>
      <c r="AY38" s="73">
        <v>0.377160934</v>
      </c>
      <c r="AZ38" s="52">
        <v>3651</v>
      </c>
      <c r="BA38" s="53">
        <f t="shared" si="33"/>
        <v>60.85</v>
      </c>
      <c r="BB38" s="72">
        <f t="shared" si="56"/>
        <v>0.59752103454415595</v>
      </c>
      <c r="BC38" s="54">
        <f t="shared" si="34"/>
        <v>28.862487240276568</v>
      </c>
      <c r="BD38" s="54">
        <f t="shared" si="35"/>
        <v>0</v>
      </c>
      <c r="BE38" s="54">
        <f t="shared" si="36"/>
        <v>0</v>
      </c>
      <c r="BF38" s="54">
        <f t="shared" si="6"/>
        <v>0</v>
      </c>
      <c r="BG38" s="54">
        <f t="shared" si="37"/>
        <v>0</v>
      </c>
      <c r="BI38" s="66">
        <v>45183.364583333336</v>
      </c>
      <c r="BJ38" s="67">
        <v>5.6987856325918899E-3</v>
      </c>
      <c r="BK38" s="68">
        <v>0.39953381599999999</v>
      </c>
      <c r="BL38" s="68">
        <v>1178</v>
      </c>
      <c r="BM38" s="68">
        <f t="shared" si="38"/>
        <v>19.633333333333333</v>
      </c>
      <c r="BN38" s="68">
        <f t="shared" si="57"/>
        <v>0.11188615791988743</v>
      </c>
      <c r="BO38" s="69">
        <f t="shared" si="39"/>
        <v>12.706893107070591</v>
      </c>
      <c r="BP38" s="69">
        <f t="shared" si="40"/>
        <v>0</v>
      </c>
      <c r="BQ38" s="69">
        <f t="shared" si="41"/>
        <v>0</v>
      </c>
      <c r="BR38" s="69">
        <f t="shared" si="8"/>
        <v>0</v>
      </c>
      <c r="BS38" s="69">
        <f t="shared" si="42"/>
        <v>0</v>
      </c>
      <c r="BU38" s="82">
        <v>45046.697916666664</v>
      </c>
      <c r="BV38" s="112">
        <v>4.2582948000000002E-2</v>
      </c>
      <c r="BW38" s="83">
        <v>82.276892649999994</v>
      </c>
      <c r="BX38" s="112">
        <v>7172</v>
      </c>
      <c r="BY38" s="83">
        <f t="shared" si="58"/>
        <v>119.53333333333333</v>
      </c>
      <c r="BZ38" s="84">
        <f t="shared" si="59"/>
        <v>5.0900817176000004</v>
      </c>
      <c r="CA38" s="83">
        <f t="shared" si="60"/>
        <v>82.401801223161442</v>
      </c>
      <c r="CC38" s="87">
        <v>45047.572916666664</v>
      </c>
      <c r="CD38" s="109">
        <v>3.32721910181362E-2</v>
      </c>
      <c r="CE38" s="88">
        <v>76.101800600000004</v>
      </c>
      <c r="CF38" s="89">
        <v>7950</v>
      </c>
      <c r="CG38" s="90">
        <f t="shared" si="43"/>
        <v>132.5</v>
      </c>
      <c r="CH38" s="91">
        <f t="shared" si="44"/>
        <v>4.4085653099030466</v>
      </c>
      <c r="CI38" s="91">
        <f t="shared" si="45"/>
        <v>76.800840016251428</v>
      </c>
      <c r="CK38" s="93">
        <v>45049.614583333336</v>
      </c>
      <c r="CL38">
        <v>3.6505486270541697E-2</v>
      </c>
      <c r="CM38" s="95">
        <v>99.714355679999997</v>
      </c>
      <c r="CN38" s="4">
        <v>9179</v>
      </c>
      <c r="CO38" s="95">
        <f t="shared" si="46"/>
        <v>152.98333333333332</v>
      </c>
      <c r="CP38" s="94">
        <f t="shared" si="47"/>
        <v>5.5847309746217038</v>
      </c>
      <c r="CQ38" s="96">
        <f t="shared" si="48"/>
        <v>86.230439195638269</v>
      </c>
      <c r="CS38" s="10">
        <v>45050.875</v>
      </c>
      <c r="CT38" s="110">
        <v>8.0155052990088502E-2</v>
      </c>
      <c r="CU38" s="21">
        <v>120.2525852</v>
      </c>
      <c r="CV38" s="111">
        <v>4351</v>
      </c>
      <c r="CW38" s="21">
        <f t="shared" si="49"/>
        <v>72.516666666666666</v>
      </c>
      <c r="CX38" s="21">
        <f t="shared" si="50"/>
        <v>5.8125772593312508</v>
      </c>
      <c r="CY38" s="21">
        <f t="shared" si="51"/>
        <v>87.935647120621866</v>
      </c>
    </row>
    <row r="39" spans="1:103" x14ac:dyDescent="0.25">
      <c r="A39" s="10">
        <v>44776.375694444447</v>
      </c>
      <c r="B39" s="11">
        <v>1.6185400832467E-3</v>
      </c>
      <c r="C39" s="12">
        <v>0.77710206100000001</v>
      </c>
      <c r="D39" s="9">
        <v>150</v>
      </c>
      <c r="E39" s="13">
        <f t="shared" si="12"/>
        <v>2.5</v>
      </c>
      <c r="F39" s="12">
        <f t="shared" si="52"/>
        <v>4.0463502081167502E-3</v>
      </c>
      <c r="G39" s="13">
        <f t="shared" si="14"/>
        <v>2.5005328993596638</v>
      </c>
      <c r="H39" s="11">
        <f t="shared" si="15"/>
        <v>4.4131581693181363E-3</v>
      </c>
      <c r="I39" s="125">
        <f t="shared" si="16"/>
        <v>1.1035247192457865E-2</v>
      </c>
      <c r="J39" s="21">
        <f>IF((F39-$K$96)/($I$96-$K$96)&lt;0, 0, IF((F39-$K$96)/($I$96-$K$96)&gt;1, 1, (F39-$K$96)/($I$96-$K$96)))</f>
        <v>1.1349242690606165E-4</v>
      </c>
      <c r="K39" s="125">
        <f t="shared" si="17"/>
        <v>2.8379154730677909E-4</v>
      </c>
      <c r="M39" s="25">
        <v>44781.375694444447</v>
      </c>
      <c r="N39" s="26">
        <v>3.4131643147401001E-3</v>
      </c>
      <c r="O39" s="27">
        <v>1.1599344165000001</v>
      </c>
      <c r="P39" s="28">
        <v>810</v>
      </c>
      <c r="Q39" s="29">
        <f t="shared" si="18"/>
        <v>13.5</v>
      </c>
      <c r="R39" s="26">
        <f t="shared" si="53"/>
        <v>4.6077718248991352E-2</v>
      </c>
      <c r="S39" s="29">
        <f t="shared" si="19"/>
        <v>8.2293421289185194</v>
      </c>
      <c r="T39" s="29">
        <f t="shared" si="20"/>
        <v>0</v>
      </c>
      <c r="U39" s="126">
        <f t="shared" si="21"/>
        <v>0</v>
      </c>
      <c r="V39" s="128">
        <f>IF((R39-$W$102)/($U$101-$W$102)&lt;0, 0, IF((R39-$W$102)/($U$101-$W$102)&gt;1, 1, (R39-$W$102)/($U$101-$W$102)))</f>
        <v>1.2088769322458133E-4</v>
      </c>
      <c r="W39" s="126">
        <f t="shared" si="22"/>
        <v>9.9482618672082509E-4</v>
      </c>
      <c r="Y39" s="35">
        <v>45136.375</v>
      </c>
      <c r="Z39" s="71">
        <v>7.0970964554372797E-3</v>
      </c>
      <c r="AA39" s="70">
        <v>0.99150227300000005</v>
      </c>
      <c r="AB39" s="36">
        <v>4215</v>
      </c>
      <c r="AC39" s="37">
        <f t="shared" si="23"/>
        <v>70.25</v>
      </c>
      <c r="AD39" s="37">
        <f t="shared" si="54"/>
        <v>0.4985710259944689</v>
      </c>
      <c r="AE39" s="38">
        <f t="shared" si="24"/>
        <v>26.413777935966973</v>
      </c>
      <c r="AF39" s="38">
        <f t="shared" si="25"/>
        <v>1.0338347750657806E-3</v>
      </c>
      <c r="AG39" s="38">
        <f t="shared" si="26"/>
        <v>2.7307482171067893E-2</v>
      </c>
      <c r="AH39" s="38">
        <f t="shared" si="2"/>
        <v>4.4949190425565746E-3</v>
      </c>
      <c r="AI39" s="38">
        <f t="shared" si="27"/>
        <v>0.11872779343023863</v>
      </c>
      <c r="AK39" s="45">
        <v>45151.375</v>
      </c>
      <c r="AL39" s="4">
        <v>5.9834434241630499E-3</v>
      </c>
      <c r="AM39" s="3">
        <v>0.81307424100000003</v>
      </c>
      <c r="AN39" s="4">
        <v>1925</v>
      </c>
      <c r="AO39" s="46">
        <f t="shared" si="28"/>
        <v>32.083333333333336</v>
      </c>
      <c r="AP39" s="47">
        <f t="shared" si="55"/>
        <v>0.19196880985856454</v>
      </c>
      <c r="AQ39" s="50">
        <f t="shared" si="29"/>
        <v>16.552044794136915</v>
      </c>
      <c r="AR39" s="50">
        <f t="shared" si="30"/>
        <v>0.11309178921156748</v>
      </c>
      <c r="AS39" s="50">
        <f t="shared" si="31"/>
        <v>1.8719003608789548</v>
      </c>
      <c r="AT39" s="50">
        <f t="shared" si="4"/>
        <v>5.6390993541887875E-2</v>
      </c>
      <c r="AU39" s="50">
        <f t="shared" si="32"/>
        <v>0.93338625109121354</v>
      </c>
      <c r="AW39" s="51">
        <v>45166.375</v>
      </c>
      <c r="AX39" s="72">
        <v>7.33101660789795E-3</v>
      </c>
      <c r="AY39" s="73">
        <v>0.33439968599999997</v>
      </c>
      <c r="AZ39" s="52">
        <v>2663</v>
      </c>
      <c r="BA39" s="53">
        <f t="shared" si="33"/>
        <v>44.383333333333333</v>
      </c>
      <c r="BB39" s="72">
        <f t="shared" si="56"/>
        <v>0.32537495378053732</v>
      </c>
      <c r="BC39" s="54">
        <f t="shared" si="34"/>
        <v>21.432266257899443</v>
      </c>
      <c r="BD39" s="54">
        <f t="shared" si="35"/>
        <v>0</v>
      </c>
      <c r="BE39" s="54">
        <f t="shared" si="36"/>
        <v>0</v>
      </c>
      <c r="BF39" s="54">
        <f t="shared" si="6"/>
        <v>0</v>
      </c>
      <c r="BG39" s="54">
        <f t="shared" si="37"/>
        <v>0</v>
      </c>
      <c r="BI39" s="66">
        <v>45183.375</v>
      </c>
      <c r="BJ39" s="67">
        <v>4.0251710180752897E-3</v>
      </c>
      <c r="BK39" s="68">
        <v>0.39953381599999999</v>
      </c>
      <c r="BL39" s="68">
        <v>1135</v>
      </c>
      <c r="BM39" s="68">
        <f t="shared" si="38"/>
        <v>18.916666666666668</v>
      </c>
      <c r="BN39" s="68">
        <f t="shared" si="57"/>
        <v>7.6142818425257566E-2</v>
      </c>
      <c r="BO39" s="69">
        <f t="shared" si="39"/>
        <v>10.524156280775468</v>
      </c>
      <c r="BP39" s="69">
        <f t="shared" si="40"/>
        <v>0</v>
      </c>
      <c r="BQ39" s="69">
        <f t="shared" si="41"/>
        <v>0</v>
      </c>
      <c r="BR39" s="69">
        <f t="shared" si="8"/>
        <v>0</v>
      </c>
      <c r="BS39" s="69">
        <f t="shared" si="42"/>
        <v>0</v>
      </c>
      <c r="BU39" s="82">
        <v>45046.708333333336</v>
      </c>
      <c r="BV39" s="112">
        <v>4.1026825000000003E-2</v>
      </c>
      <c r="BW39" s="83">
        <v>82.276892649999994</v>
      </c>
      <c r="BX39" s="112">
        <v>7408</v>
      </c>
      <c r="BY39" s="83">
        <f t="shared" si="58"/>
        <v>123.46666666666667</v>
      </c>
      <c r="BZ39" s="84">
        <f t="shared" si="59"/>
        <v>5.0654453266666675</v>
      </c>
      <c r="CA39" s="83">
        <f t="shared" si="60"/>
        <v>82.206251840258588</v>
      </c>
      <c r="CC39" s="87">
        <v>45047.583333333336</v>
      </c>
      <c r="CD39" s="109">
        <v>3.49042020366623E-2</v>
      </c>
      <c r="CE39" s="88">
        <v>79.202259850000004</v>
      </c>
      <c r="CF39" s="89">
        <v>7478</v>
      </c>
      <c r="CG39" s="90">
        <f t="shared" si="43"/>
        <v>124.63333333333334</v>
      </c>
      <c r="CH39" s="91">
        <f t="shared" si="44"/>
        <v>4.3502270471693452</v>
      </c>
      <c r="CI39" s="91">
        <f t="shared" si="45"/>
        <v>76.301465955937488</v>
      </c>
      <c r="CK39" s="93">
        <v>45049.625</v>
      </c>
      <c r="CL39">
        <v>3.6451717327375503E-2</v>
      </c>
      <c r="CM39" s="95">
        <v>103.8090014</v>
      </c>
      <c r="CN39" s="4">
        <v>8880</v>
      </c>
      <c r="CO39" s="95">
        <f t="shared" si="46"/>
        <v>148</v>
      </c>
      <c r="CP39" s="94">
        <f t="shared" si="47"/>
        <v>5.3948541644515746</v>
      </c>
      <c r="CQ39" s="96">
        <f t="shared" si="48"/>
        <v>84.782077882760689</v>
      </c>
      <c r="CS39" s="10">
        <v>45050.885416666664</v>
      </c>
      <c r="CT39" s="110">
        <v>8.2299462501231602E-2</v>
      </c>
      <c r="CU39" s="21">
        <v>114.8986831</v>
      </c>
      <c r="CV39" s="111">
        <v>4474</v>
      </c>
      <c r="CW39" s="21">
        <f t="shared" si="49"/>
        <v>74.566666666666663</v>
      </c>
      <c r="CX39" s="21">
        <f t="shared" si="50"/>
        <v>6.1367965871751693</v>
      </c>
      <c r="CY39" s="21">
        <f t="shared" si="51"/>
        <v>90.304347094054023</v>
      </c>
    </row>
    <row r="40" spans="1:103" x14ac:dyDescent="0.25">
      <c r="A40" s="10">
        <v>44776.386111111111</v>
      </c>
      <c r="B40" s="11">
        <v>1.9699526705927099E-3</v>
      </c>
      <c r="C40" s="12">
        <v>0.73831050949999999</v>
      </c>
      <c r="D40" s="9">
        <v>154</v>
      </c>
      <c r="E40" s="13">
        <f t="shared" si="12"/>
        <v>2.5666666666666669</v>
      </c>
      <c r="F40" s="12">
        <f t="shared" si="52"/>
        <v>5.0562118545212894E-3</v>
      </c>
      <c r="G40" s="13">
        <f t="shared" si="14"/>
        <v>2.7887964937903398</v>
      </c>
      <c r="H40" s="11">
        <f t="shared" si="15"/>
        <v>1.168247246671537E-3</v>
      </c>
      <c r="I40" s="125">
        <f t="shared" si="16"/>
        <v>3.2580038253978007E-3</v>
      </c>
      <c r="J40" s="21">
        <f>IF((F40-$K$96)/($I$96-$K$96)&lt;0, 0, IF((F40-$K$96)/($I$96-$K$96)&gt;1, 1, (F40-$K$96)/($I$96-$K$96)))</f>
        <v>3.2293023522993517E-4</v>
      </c>
      <c r="K40" s="125">
        <f t="shared" si="17"/>
        <v>9.0058670774813287E-4</v>
      </c>
      <c r="M40" s="25">
        <v>44781.386111111111</v>
      </c>
      <c r="N40" s="26">
        <v>3.8335622992210099E-3</v>
      </c>
      <c r="O40" s="27">
        <v>1.1715929684999999</v>
      </c>
      <c r="P40" s="28">
        <v>843</v>
      </c>
      <c r="Q40" s="29">
        <f t="shared" si="18"/>
        <v>14.05</v>
      </c>
      <c r="R40" s="26">
        <f t="shared" si="53"/>
        <v>5.3861550304055192E-2</v>
      </c>
      <c r="S40" s="29">
        <f t="shared" si="19"/>
        <v>8.8830242017558998</v>
      </c>
      <c r="T40" s="29">
        <f t="shared" si="20"/>
        <v>0</v>
      </c>
      <c r="U40" s="126">
        <f t="shared" si="21"/>
        <v>0</v>
      </c>
      <c r="V40" s="128">
        <f>IF((R40-$W$102)/($U$101-$W$102)&lt;0, 0, IF((R40-$W$102)/($U$101-$W$102)&gt;1, 1, (R40-$W$102)/($U$101-$W$102)))</f>
        <v>4.0665374497600238E-3</v>
      </c>
      <c r="W40" s="126">
        <f t="shared" si="22"/>
        <v>3.6123150583565009E-2</v>
      </c>
      <c r="Y40" s="35">
        <v>45136.385416666664</v>
      </c>
      <c r="Z40" s="71">
        <v>9.7070100761388108E-3</v>
      </c>
      <c r="AA40" s="70">
        <v>0.99150227300000005</v>
      </c>
      <c r="AB40" s="36">
        <v>4458</v>
      </c>
      <c r="AC40" s="37">
        <f t="shared" si="23"/>
        <v>74.3</v>
      </c>
      <c r="AD40" s="37">
        <f t="shared" si="54"/>
        <v>0.72123084865711362</v>
      </c>
      <c r="AE40" s="38">
        <f t="shared" si="24"/>
        <v>31.648459436364803</v>
      </c>
      <c r="AF40" s="38">
        <f t="shared" si="25"/>
        <v>1.0338347750657806E-3</v>
      </c>
      <c r="AG40" s="38">
        <f t="shared" si="26"/>
        <v>3.2719277942572692E-2</v>
      </c>
      <c r="AH40" s="38">
        <f t="shared" si="2"/>
        <v>6.3530911782089375E-2</v>
      </c>
      <c r="AI40" s="38">
        <f t="shared" si="27"/>
        <v>2.0106554844907265</v>
      </c>
      <c r="AK40" s="45">
        <v>45151.385416666664</v>
      </c>
      <c r="AL40" s="4">
        <v>5.0464275926609698E-3</v>
      </c>
      <c r="AM40" s="3">
        <v>0.50323377899999999</v>
      </c>
      <c r="AN40" s="4">
        <v>999</v>
      </c>
      <c r="AO40" s="46">
        <f t="shared" si="28"/>
        <v>16.649999999999999</v>
      </c>
      <c r="AP40" s="47">
        <f t="shared" si="55"/>
        <v>8.4023019417805142E-2</v>
      </c>
      <c r="AQ40" s="50">
        <f t="shared" si="29"/>
        <v>11.044128025648384</v>
      </c>
      <c r="AR40" s="50">
        <f t="shared" si="30"/>
        <v>0</v>
      </c>
      <c r="AS40" s="50">
        <f t="shared" si="31"/>
        <v>0</v>
      </c>
      <c r="AT40" s="50">
        <f t="shared" si="4"/>
        <v>0</v>
      </c>
      <c r="AU40" s="50">
        <f t="shared" si="32"/>
        <v>0</v>
      </c>
      <c r="AW40" s="51">
        <v>45166.385416666664</v>
      </c>
      <c r="AX40" s="72">
        <v>1.19769987878003E-2</v>
      </c>
      <c r="AY40" s="73">
        <v>0.44939223900000003</v>
      </c>
      <c r="AZ40" s="52">
        <v>4679</v>
      </c>
      <c r="BA40" s="53">
        <f t="shared" si="33"/>
        <v>77.983333333333334</v>
      </c>
      <c r="BB40" s="72">
        <f t="shared" si="56"/>
        <v>0.93400628880196002</v>
      </c>
      <c r="BC40" s="54">
        <f t="shared" si="34"/>
        <v>35.919798352605596</v>
      </c>
      <c r="BD40" s="54">
        <f t="shared" si="35"/>
        <v>3.7618062491693006E-2</v>
      </c>
      <c r="BE40" s="54">
        <f t="shared" si="36"/>
        <v>1.3512332191173289</v>
      </c>
      <c r="BF40" s="54">
        <f t="shared" si="6"/>
        <v>4.584418639211929E-2</v>
      </c>
      <c r="BG40" s="54">
        <f t="shared" si="37"/>
        <v>1.6467139308441905</v>
      </c>
      <c r="BI40" s="66">
        <v>45183.385416666664</v>
      </c>
      <c r="BJ40" s="67">
        <v>5.6592452129397199E-3</v>
      </c>
      <c r="BK40" s="68">
        <v>0.44894941300000002</v>
      </c>
      <c r="BL40" s="68">
        <v>1330</v>
      </c>
      <c r="BM40" s="68">
        <f t="shared" si="38"/>
        <v>22.166666666666668</v>
      </c>
      <c r="BN40" s="68">
        <f t="shared" si="57"/>
        <v>0.12544660222016379</v>
      </c>
      <c r="BO40" s="69">
        <f t="shared" si="39"/>
        <v>13.439060757187775</v>
      </c>
      <c r="BP40" s="69">
        <f t="shared" si="40"/>
        <v>0</v>
      </c>
      <c r="BQ40" s="69">
        <f t="shared" si="41"/>
        <v>0</v>
      </c>
      <c r="BR40" s="69">
        <f t="shared" si="8"/>
        <v>0</v>
      </c>
      <c r="BS40" s="69">
        <f t="shared" si="42"/>
        <v>0</v>
      </c>
      <c r="BU40" s="82">
        <v>45046.71875</v>
      </c>
      <c r="BV40" s="112">
        <v>3.9209519999999998E-2</v>
      </c>
      <c r="BW40" s="83">
        <v>79.202259850000004</v>
      </c>
      <c r="BX40" s="112">
        <v>7428</v>
      </c>
      <c r="BY40" s="83">
        <f t="shared" si="58"/>
        <v>123.8</v>
      </c>
      <c r="BZ40" s="84">
        <f t="shared" si="59"/>
        <v>4.8541385759999995</v>
      </c>
      <c r="CA40" s="83">
        <f t="shared" si="60"/>
        <v>80.508683044747798</v>
      </c>
      <c r="CC40" s="87">
        <v>45047.59375</v>
      </c>
      <c r="CD40" s="109">
        <v>3.6533401601040898E-2</v>
      </c>
      <c r="CE40" s="88">
        <v>80.523852189999999</v>
      </c>
      <c r="CF40" s="89">
        <v>7517</v>
      </c>
      <c r="CG40" s="90">
        <f t="shared" si="43"/>
        <v>125.28333333333333</v>
      </c>
      <c r="CH40" s="91">
        <f t="shared" si="44"/>
        <v>4.57702633058374</v>
      </c>
      <c r="CI40" s="91">
        <f t="shared" si="45"/>
        <v>78.224228579029855</v>
      </c>
      <c r="CK40" s="93">
        <v>45049.635416666664</v>
      </c>
      <c r="CL40">
        <v>3.5982636997220797E-2</v>
      </c>
      <c r="CM40" s="95">
        <v>103.8090014</v>
      </c>
      <c r="CN40" s="4">
        <v>8922</v>
      </c>
      <c r="CO40" s="95">
        <f t="shared" si="46"/>
        <v>148.69999999999999</v>
      </c>
      <c r="CP40" s="94">
        <f t="shared" si="47"/>
        <v>5.3506181214867325</v>
      </c>
      <c r="CQ40" s="96">
        <f t="shared" si="48"/>
        <v>84.440930421910934</v>
      </c>
      <c r="CS40" s="10">
        <v>45050.895833333336</v>
      </c>
      <c r="CT40" s="110">
        <v>8.5582657254601596E-2</v>
      </c>
      <c r="CU40" s="21">
        <v>114.1275401</v>
      </c>
      <c r="CV40" s="111">
        <v>4573</v>
      </c>
      <c r="CW40" s="21">
        <f t="shared" si="49"/>
        <v>76.216666666666669</v>
      </c>
      <c r="CX40" s="21">
        <f t="shared" si="50"/>
        <v>6.5228248604215517</v>
      </c>
      <c r="CY40" s="21">
        <f t="shared" si="51"/>
        <v>93.042798337528467</v>
      </c>
    </row>
    <row r="41" spans="1:103" x14ac:dyDescent="0.25">
      <c r="A41" s="10">
        <v>44776.396527777775</v>
      </c>
      <c r="B41" s="11">
        <v>1.67916379384027E-3</v>
      </c>
      <c r="C41" s="12">
        <v>0.65388842250000001</v>
      </c>
      <c r="D41" s="9">
        <v>115</v>
      </c>
      <c r="E41" s="13">
        <f t="shared" si="12"/>
        <v>1.9166666666666667</v>
      </c>
      <c r="F41" s="12">
        <f t="shared" si="52"/>
        <v>3.2183972715271844E-3</v>
      </c>
      <c r="G41" s="13">
        <f t="shared" si="14"/>
        <v>2.2353458694972441</v>
      </c>
      <c r="H41" s="11">
        <f t="shared" si="15"/>
        <v>0</v>
      </c>
      <c r="I41" s="125">
        <f t="shared" si="16"/>
        <v>0</v>
      </c>
      <c r="J41" s="21">
        <f>IF((F41-$K$96)/($I$96-$K$96)&lt;0, 0, IF((F41-$K$96)/($I$96-$K$96)&gt;1, 1, (F41-$K$96)/($I$96-$K$96)))</f>
        <v>0</v>
      </c>
      <c r="K41" s="125">
        <f t="shared" si="17"/>
        <v>0</v>
      </c>
      <c r="M41" s="25">
        <v>44781.396527777775</v>
      </c>
      <c r="N41" s="26">
        <v>3.15750563489481E-3</v>
      </c>
      <c r="O41" s="27">
        <v>1.142992303</v>
      </c>
      <c r="P41" s="28">
        <v>722</v>
      </c>
      <c r="Q41" s="29">
        <f t="shared" si="18"/>
        <v>12.033333333333333</v>
      </c>
      <c r="R41" s="26">
        <f t="shared" si="53"/>
        <v>3.799531780656755E-2</v>
      </c>
      <c r="S41" s="29">
        <f t="shared" si="19"/>
        <v>7.4876823764861795</v>
      </c>
      <c r="T41" s="29">
        <f t="shared" si="20"/>
        <v>0</v>
      </c>
      <c r="U41" s="126">
        <f t="shared" si="21"/>
        <v>0</v>
      </c>
      <c r="V41" s="128">
        <f>IF((R41-$W$102)/($U$101-$W$102)&lt;0, 0, IF((R41-$W$102)/($U$101-$W$102)&gt;1, 1, (R41-$W$102)/($U$101-$W$102)))</f>
        <v>0</v>
      </c>
      <c r="W41" s="126">
        <f t="shared" si="22"/>
        <v>0</v>
      </c>
      <c r="Y41" s="35">
        <v>45136.395833333336</v>
      </c>
      <c r="Z41" s="71">
        <v>7.4884125662997396E-3</v>
      </c>
      <c r="AA41" s="70">
        <v>0.99150227300000005</v>
      </c>
      <c r="AB41" s="36">
        <v>4292</v>
      </c>
      <c r="AC41" s="37">
        <f t="shared" si="23"/>
        <v>71.533333333333331</v>
      </c>
      <c r="AD41" s="37">
        <f t="shared" si="54"/>
        <v>0.53567111224264141</v>
      </c>
      <c r="AE41" s="38">
        <f t="shared" si="24"/>
        <v>27.358674605746323</v>
      </c>
      <c r="AF41" s="38">
        <f t="shared" si="25"/>
        <v>1.0338347750657806E-3</v>
      </c>
      <c r="AG41" s="38">
        <f t="shared" si="26"/>
        <v>2.8284349207129633E-2</v>
      </c>
      <c r="AH41" s="38">
        <f t="shared" si="2"/>
        <v>1.4331630471639224E-2</v>
      </c>
      <c r="AI41" s="38">
        <f t="shared" si="27"/>
        <v>0.39209441464337624</v>
      </c>
      <c r="AK41" s="45">
        <v>45151.395833333336</v>
      </c>
      <c r="AL41" s="4">
        <v>4.7078887460927097E-3</v>
      </c>
      <c r="AM41" s="3">
        <v>0.59425534599999996</v>
      </c>
      <c r="AN41" s="4">
        <v>1204</v>
      </c>
      <c r="AO41" s="46">
        <f t="shared" si="28"/>
        <v>20.066666666666666</v>
      </c>
      <c r="AP41" s="47">
        <f t="shared" si="55"/>
        <v>9.447163417159371E-2</v>
      </c>
      <c r="AQ41" s="50">
        <f t="shared" si="29"/>
        <v>11.696574784232283</v>
      </c>
      <c r="AR41" s="50">
        <f t="shared" si="30"/>
        <v>0</v>
      </c>
      <c r="AS41" s="50">
        <f t="shared" si="31"/>
        <v>0</v>
      </c>
      <c r="AT41" s="50">
        <f t="shared" si="4"/>
        <v>0</v>
      </c>
      <c r="AU41" s="50">
        <f t="shared" si="32"/>
        <v>0</v>
      </c>
      <c r="AW41" s="51">
        <v>45166.395833333336</v>
      </c>
      <c r="AX41" s="72">
        <v>1.0630397236378699E-2</v>
      </c>
      <c r="AY41" s="73">
        <v>0.377160934</v>
      </c>
      <c r="AZ41" s="52">
        <v>3588</v>
      </c>
      <c r="BA41" s="53">
        <f t="shared" si="33"/>
        <v>59.8</v>
      </c>
      <c r="BB41" s="72">
        <f t="shared" si="56"/>
        <v>0.63569775473544621</v>
      </c>
      <c r="BC41" s="54">
        <f t="shared" si="34"/>
        <v>29.751265901467569</v>
      </c>
      <c r="BD41" s="54">
        <f t="shared" si="35"/>
        <v>0</v>
      </c>
      <c r="BE41" s="54">
        <f t="shared" si="36"/>
        <v>0</v>
      </c>
      <c r="BF41" s="54">
        <f t="shared" si="6"/>
        <v>0</v>
      </c>
      <c r="BG41" s="54">
        <f t="shared" si="37"/>
        <v>0</v>
      </c>
      <c r="BI41" s="66">
        <v>45183.395833333336</v>
      </c>
      <c r="BJ41" s="67">
        <v>2.7543519901081499E-3</v>
      </c>
      <c r="BK41" s="68">
        <v>0.29572637699999998</v>
      </c>
      <c r="BL41" s="68">
        <v>284</v>
      </c>
      <c r="BM41" s="68">
        <f t="shared" si="38"/>
        <v>4.7333333333333334</v>
      </c>
      <c r="BN41" s="68">
        <f t="shared" si="57"/>
        <v>1.3037266086511909E-2</v>
      </c>
      <c r="BO41" s="69">
        <f t="shared" si="39"/>
        <v>4.4346610980965808</v>
      </c>
      <c r="BP41" s="69">
        <f t="shared" si="40"/>
        <v>0</v>
      </c>
      <c r="BQ41" s="69">
        <f t="shared" si="41"/>
        <v>0</v>
      </c>
      <c r="BR41" s="69">
        <f t="shared" si="8"/>
        <v>0</v>
      </c>
      <c r="BS41" s="69">
        <f t="shared" si="42"/>
        <v>0</v>
      </c>
      <c r="BU41" s="82">
        <v>45046.729166666664</v>
      </c>
      <c r="BV41" s="112">
        <v>3.7530854000000002E-2</v>
      </c>
      <c r="BW41" s="83">
        <v>80.523852189999999</v>
      </c>
      <c r="BX41" s="112">
        <v>7748</v>
      </c>
      <c r="BY41" s="83">
        <f t="shared" si="58"/>
        <v>129.13333333333333</v>
      </c>
      <c r="BZ41" s="84">
        <f t="shared" si="59"/>
        <v>4.846484279866667</v>
      </c>
      <c r="CA41" s="83">
        <f t="shared" si="60"/>
        <v>80.446490152713736</v>
      </c>
      <c r="CC41" s="87">
        <v>45047.604166666664</v>
      </c>
      <c r="CD41" s="109">
        <v>3.5234572837790398E-2</v>
      </c>
      <c r="CE41" s="88">
        <v>80.523852189999999</v>
      </c>
      <c r="CF41" s="89">
        <v>7270</v>
      </c>
      <c r="CG41" s="90">
        <f t="shared" si="43"/>
        <v>121.16666666666667</v>
      </c>
      <c r="CH41" s="91">
        <f t="shared" si="44"/>
        <v>4.2692557421789363</v>
      </c>
      <c r="CI41" s="91">
        <f t="shared" si="45"/>
        <v>75.602655643266957</v>
      </c>
      <c r="CK41" s="93">
        <v>45049.645833333336</v>
      </c>
      <c r="CL41">
        <v>3.9406552442094199E-2</v>
      </c>
      <c r="CM41" s="95">
        <v>103.80204430000001</v>
      </c>
      <c r="CN41" s="4">
        <v>8863</v>
      </c>
      <c r="CO41" s="95">
        <f t="shared" si="46"/>
        <v>147.71666666666667</v>
      </c>
      <c r="CP41" s="94">
        <f t="shared" si="47"/>
        <v>5.8210045715713479</v>
      </c>
      <c r="CQ41" s="96">
        <f t="shared" si="48"/>
        <v>87.998057215811713</v>
      </c>
      <c r="CS41" s="10">
        <v>45050.90625</v>
      </c>
      <c r="CT41" s="110">
        <v>8.7378313416970804E-2</v>
      </c>
      <c r="CU41" s="21">
        <v>112.9598134</v>
      </c>
      <c r="CV41" s="111">
        <v>4425</v>
      </c>
      <c r="CW41" s="21">
        <f t="shared" si="49"/>
        <v>73.75</v>
      </c>
      <c r="CX41" s="21">
        <f t="shared" si="50"/>
        <v>6.4441506145015968</v>
      </c>
      <c r="CY41" s="21">
        <f t="shared" si="51"/>
        <v>92.491543564485895</v>
      </c>
    </row>
    <row r="42" spans="1:103" x14ac:dyDescent="0.25">
      <c r="A42" s="10">
        <v>44776.406944444447</v>
      </c>
      <c r="B42" s="11">
        <v>1.52336149363826E-3</v>
      </c>
      <c r="C42" s="12">
        <v>0.66321230600000003</v>
      </c>
      <c r="D42" s="9">
        <v>116</v>
      </c>
      <c r="E42" s="13">
        <f t="shared" si="12"/>
        <v>1.9333333333333333</v>
      </c>
      <c r="F42" s="12">
        <f t="shared" si="52"/>
        <v>2.945165554367303E-3</v>
      </c>
      <c r="G42" s="13">
        <f t="shared" si="14"/>
        <v>2.1403096958246715</v>
      </c>
      <c r="H42" s="11">
        <f t="shared" si="15"/>
        <v>0</v>
      </c>
      <c r="I42" s="125">
        <f t="shared" si="16"/>
        <v>0</v>
      </c>
      <c r="J42" s="21">
        <f>IF((F42-$K$96)/($I$96-$K$96)&lt;0, 0, IF((F42-$K$96)/($I$96-$K$96)&gt;1, 1, (F42-$K$96)/($I$96-$K$96)))</f>
        <v>0</v>
      </c>
      <c r="K42" s="125">
        <f t="shared" si="17"/>
        <v>0</v>
      </c>
      <c r="M42" s="25">
        <v>44781.406944444447</v>
      </c>
      <c r="N42" s="26">
        <v>3.40619910451701E-3</v>
      </c>
      <c r="O42" s="27">
        <v>1.1391712730000001</v>
      </c>
      <c r="P42" s="28">
        <v>690</v>
      </c>
      <c r="Q42" s="29">
        <f t="shared" si="18"/>
        <v>11.5</v>
      </c>
      <c r="R42" s="26">
        <f t="shared" si="53"/>
        <v>3.9171289701945618E-2</v>
      </c>
      <c r="S42" s="29">
        <f t="shared" si="19"/>
        <v>7.6002864174498352</v>
      </c>
      <c r="T42" s="29">
        <f t="shared" si="20"/>
        <v>0</v>
      </c>
      <c r="U42" s="126">
        <f t="shared" si="21"/>
        <v>0</v>
      </c>
      <c r="V42" s="128">
        <f>IF((R42-$W$102)/($U$101-$W$102)&lt;0, 0, IF((R42-$W$102)/($U$101-$W$102)&gt;1, 1, (R42-$W$102)/($U$101-$W$102)))</f>
        <v>0</v>
      </c>
      <c r="W42" s="126">
        <f t="shared" si="22"/>
        <v>0</v>
      </c>
      <c r="Y42" s="35">
        <v>45136.40625</v>
      </c>
      <c r="Z42" s="71">
        <v>7.8988869008013302E-3</v>
      </c>
      <c r="AA42" s="70">
        <v>1.145105356</v>
      </c>
      <c r="AB42" s="36">
        <v>5177</v>
      </c>
      <c r="AC42" s="37">
        <f t="shared" si="23"/>
        <v>86.283333333333331</v>
      </c>
      <c r="AD42" s="37">
        <f t="shared" si="54"/>
        <v>0.68154229142414147</v>
      </c>
      <c r="AE42" s="38">
        <f t="shared" si="24"/>
        <v>30.783289155104974</v>
      </c>
      <c r="AF42" s="38">
        <f t="shared" si="25"/>
        <v>9.0507621709788721E-3</v>
      </c>
      <c r="AG42" s="38">
        <f t="shared" si="26"/>
        <v>0.27861222898332827</v>
      </c>
      <c r="AH42" s="38">
        <f t="shared" si="2"/>
        <v>5.3007893535558778E-2</v>
      </c>
      <c r="AI42" s="38">
        <f t="shared" si="27"/>
        <v>1.6317573142081256</v>
      </c>
      <c r="AK42" s="45">
        <v>45151.40625</v>
      </c>
      <c r="AL42" s="4">
        <v>5.3876873761773397E-3</v>
      </c>
      <c r="AM42" s="3">
        <v>0.59425534599999996</v>
      </c>
      <c r="AN42" s="4">
        <v>1203</v>
      </c>
      <c r="AO42" s="46">
        <f t="shared" si="28"/>
        <v>20.05</v>
      </c>
      <c r="AP42" s="47">
        <f t="shared" si="55"/>
        <v>0.10802313189235567</v>
      </c>
      <c r="AQ42" s="50">
        <f t="shared" si="29"/>
        <v>12.490124065586047</v>
      </c>
      <c r="AR42" s="50">
        <f t="shared" si="30"/>
        <v>0</v>
      </c>
      <c r="AS42" s="50">
        <f t="shared" si="31"/>
        <v>0</v>
      </c>
      <c r="AT42" s="50">
        <f t="shared" si="4"/>
        <v>0</v>
      </c>
      <c r="AU42" s="50">
        <f t="shared" si="32"/>
        <v>0</v>
      </c>
      <c r="AW42" s="51">
        <v>45166.40625</v>
      </c>
      <c r="AX42" s="72">
        <v>5.9073109628511996E-3</v>
      </c>
      <c r="AY42" s="73">
        <v>0.314737561</v>
      </c>
      <c r="AZ42" s="52">
        <v>2163</v>
      </c>
      <c r="BA42" s="53">
        <f t="shared" si="33"/>
        <v>36.049999999999997</v>
      </c>
      <c r="BB42" s="72">
        <f t="shared" si="56"/>
        <v>0.21295856021078574</v>
      </c>
      <c r="BC42" s="54">
        <f t="shared" si="34"/>
        <v>17.414848637296785</v>
      </c>
      <c r="BD42" s="54">
        <f t="shared" si="35"/>
        <v>0</v>
      </c>
      <c r="BE42" s="54">
        <f t="shared" si="36"/>
        <v>0</v>
      </c>
      <c r="BF42" s="54">
        <f t="shared" si="6"/>
        <v>0</v>
      </c>
      <c r="BG42" s="54">
        <f t="shared" si="37"/>
        <v>0</v>
      </c>
      <c r="BI42" s="66">
        <v>45183.40625</v>
      </c>
      <c r="BJ42" s="67">
        <v>5.2471403429525101E-3</v>
      </c>
      <c r="BK42" s="68">
        <v>0.376777213</v>
      </c>
      <c r="BL42" s="68">
        <v>844</v>
      </c>
      <c r="BM42" s="68">
        <f t="shared" si="38"/>
        <v>14.066666666666666</v>
      </c>
      <c r="BN42" s="68">
        <f t="shared" si="57"/>
        <v>7.3809774157531968E-2</v>
      </c>
      <c r="BO42" s="69">
        <f t="shared" si="39"/>
        <v>10.364991684305219</v>
      </c>
      <c r="BP42" s="69">
        <f t="shared" si="40"/>
        <v>0</v>
      </c>
      <c r="BQ42" s="69">
        <f t="shared" si="41"/>
        <v>0</v>
      </c>
      <c r="BR42" s="69">
        <f t="shared" si="8"/>
        <v>0</v>
      </c>
      <c r="BS42" s="69">
        <f t="shared" si="42"/>
        <v>0</v>
      </c>
      <c r="BU42" s="82">
        <v>45046.739583333336</v>
      </c>
      <c r="BV42" s="112">
        <v>3.6854618999999998E-2</v>
      </c>
      <c r="BW42" s="83">
        <v>80.523852189999999</v>
      </c>
      <c r="BX42" s="112">
        <v>7972</v>
      </c>
      <c r="BY42" s="83">
        <f t="shared" si="58"/>
        <v>132.86666666666667</v>
      </c>
      <c r="BZ42" s="84">
        <f t="shared" si="59"/>
        <v>4.8967503778000001</v>
      </c>
      <c r="CA42" s="83">
        <f t="shared" si="60"/>
        <v>80.854002467705754</v>
      </c>
      <c r="CC42" s="87">
        <v>45047.614583333336</v>
      </c>
      <c r="CD42" s="109">
        <v>3.9851719914284899E-2</v>
      </c>
      <c r="CE42" s="88">
        <v>82.718647970000006</v>
      </c>
      <c r="CF42" s="89">
        <v>7034</v>
      </c>
      <c r="CG42" s="90">
        <f t="shared" si="43"/>
        <v>117.23333333333333</v>
      </c>
      <c r="CH42" s="91">
        <f t="shared" si="44"/>
        <v>4.6719499646179994</v>
      </c>
      <c r="CI42" s="91">
        <f t="shared" si="45"/>
        <v>79.014510302123043</v>
      </c>
      <c r="CK42" s="93">
        <v>45049.65625</v>
      </c>
      <c r="CL42">
        <v>3.6988797592521903E-2</v>
      </c>
      <c r="CM42" s="95">
        <v>102.9873886</v>
      </c>
      <c r="CN42" s="4">
        <v>8641</v>
      </c>
      <c r="CO42" s="95">
        <f t="shared" si="46"/>
        <v>144.01666666666668</v>
      </c>
      <c r="CP42" s="94">
        <f t="shared" si="47"/>
        <v>5.32700333328303</v>
      </c>
      <c r="CQ42" s="96">
        <f t="shared" si="48"/>
        <v>84.258224306674776</v>
      </c>
      <c r="CS42" s="10">
        <v>45050.916666666664</v>
      </c>
      <c r="CT42" s="110">
        <v>7.7941260938044196E-2</v>
      </c>
      <c r="CU42" s="21">
        <v>114.1275401</v>
      </c>
      <c r="CV42" s="111">
        <v>4530</v>
      </c>
      <c r="CW42" s="21">
        <f t="shared" si="49"/>
        <v>75.5</v>
      </c>
      <c r="CX42" s="21">
        <f t="shared" si="50"/>
        <v>5.8845652008223368</v>
      </c>
      <c r="CY42" s="21">
        <f t="shared" si="51"/>
        <v>88.467290071766357</v>
      </c>
    </row>
    <row r="43" spans="1:103" x14ac:dyDescent="0.25">
      <c r="A43" s="10">
        <v>44776.417361111111</v>
      </c>
      <c r="B43" s="11">
        <v>1.83348655117861E-3</v>
      </c>
      <c r="C43" s="12">
        <v>0.73972780449999997</v>
      </c>
      <c r="D43" s="9">
        <v>134</v>
      </c>
      <c r="E43" s="13">
        <f t="shared" si="12"/>
        <v>2.2333333333333334</v>
      </c>
      <c r="F43" s="12">
        <f t="shared" si="52"/>
        <v>4.0947866309655623E-3</v>
      </c>
      <c r="G43" s="13">
        <f t="shared" si="14"/>
        <v>2.5151462820220147</v>
      </c>
      <c r="H43" s="11">
        <f t="shared" si="15"/>
        <v>1.286803887184159E-3</v>
      </c>
      <c r="I43" s="125">
        <f t="shared" si="16"/>
        <v>3.2365000125427136E-3</v>
      </c>
      <c r="J43" s="21">
        <f>IF((F43-$K$96)/($I$96-$K$96)&lt;0, 0, IF((F43-$K$96)/($I$96-$K$96)&gt;1, 1, (F43-$K$96)/($I$96-$K$96)))</f>
        <v>1.235377814163763E-4</v>
      </c>
      <c r="K43" s="125">
        <f t="shared" si="17"/>
        <v>3.1071559161864717E-4</v>
      </c>
      <c r="M43" s="25">
        <v>44781.417361111111</v>
      </c>
      <c r="N43" s="26">
        <v>3.65055506764743E-3</v>
      </c>
      <c r="O43" s="27">
        <v>1.126503907</v>
      </c>
      <c r="P43" s="28">
        <v>765</v>
      </c>
      <c r="Q43" s="29">
        <f t="shared" si="18"/>
        <v>12.75</v>
      </c>
      <c r="R43" s="26">
        <f t="shared" si="53"/>
        <v>4.6544577112504731E-2</v>
      </c>
      <c r="S43" s="29">
        <f t="shared" si="19"/>
        <v>8.2700680944641576</v>
      </c>
      <c r="T43" s="29">
        <f t="shared" si="20"/>
        <v>0</v>
      </c>
      <c r="U43" s="126">
        <f t="shared" si="21"/>
        <v>0</v>
      </c>
      <c r="V43" s="128">
        <f>IF((R43-$W$102)/($U$101-$W$102)&lt;0, 0, IF((R43-$W$102)/($U$101-$W$102)&gt;1, 1, (R43-$W$102)/($U$101-$W$102)))</f>
        <v>3.5753996785319563E-4</v>
      </c>
      <c r="W43" s="126">
        <f t="shared" si="22"/>
        <v>2.9568798806384536E-3</v>
      </c>
      <c r="Y43" s="35">
        <v>45136.416666666664</v>
      </c>
      <c r="Z43" s="71">
        <v>7.0901273989394404E-3</v>
      </c>
      <c r="AA43" s="70">
        <v>0.89859415399999998</v>
      </c>
      <c r="AB43" s="36">
        <v>3761</v>
      </c>
      <c r="AC43" s="37">
        <f t="shared" si="23"/>
        <v>62.68333333333333</v>
      </c>
      <c r="AD43" s="37">
        <f t="shared" si="54"/>
        <v>0.44443281912352056</v>
      </c>
      <c r="AE43" s="38">
        <f t="shared" si="24"/>
        <v>24.968028454143379</v>
      </c>
      <c r="AF43" s="38">
        <f t="shared" si="25"/>
        <v>0</v>
      </c>
      <c r="AG43" s="38">
        <f t="shared" si="26"/>
        <v>0</v>
      </c>
      <c r="AH43" s="38">
        <f t="shared" si="2"/>
        <v>0</v>
      </c>
      <c r="AI43" s="38">
        <f t="shared" si="27"/>
        <v>0</v>
      </c>
      <c r="AK43" s="45">
        <v>45151.416666666664</v>
      </c>
      <c r="AL43" s="4">
        <v>7.52203922405932E-3</v>
      </c>
      <c r="AM43" s="3">
        <v>0.69769667099999999</v>
      </c>
      <c r="AN43" s="4">
        <v>1564</v>
      </c>
      <c r="AO43" s="46">
        <f t="shared" si="28"/>
        <v>26.066666666666666</v>
      </c>
      <c r="AP43" s="47">
        <f t="shared" si="55"/>
        <v>0.19607448910714628</v>
      </c>
      <c r="AQ43" s="50">
        <f t="shared" si="29"/>
        <v>16.724463748255641</v>
      </c>
      <c r="AR43" s="50">
        <f t="shared" si="30"/>
        <v>5.033140178475267E-2</v>
      </c>
      <c r="AS43" s="50">
        <f t="shared" si="31"/>
        <v>0.84176570454798527</v>
      </c>
      <c r="AT43" s="50">
        <f t="shared" si="4"/>
        <v>5.9642529196101648E-2</v>
      </c>
      <c r="AU43" s="50">
        <f t="shared" si="32"/>
        <v>0.99748931739448066</v>
      </c>
      <c r="AW43" s="51">
        <v>45166.416666666664</v>
      </c>
      <c r="AX43" s="72">
        <v>1.0229736157172599E-2</v>
      </c>
      <c r="AY43" s="73">
        <v>0.377160934</v>
      </c>
      <c r="AZ43" s="52">
        <v>3795</v>
      </c>
      <c r="BA43" s="53">
        <f t="shared" si="33"/>
        <v>63.25</v>
      </c>
      <c r="BB43" s="72">
        <f t="shared" si="56"/>
        <v>0.64703081194116685</v>
      </c>
      <c r="BC43" s="54">
        <f t="shared" si="34"/>
        <v>30.009830800478195</v>
      </c>
      <c r="BD43" s="54">
        <f t="shared" si="35"/>
        <v>0</v>
      </c>
      <c r="BE43" s="54">
        <f t="shared" si="36"/>
        <v>0</v>
      </c>
      <c r="BF43" s="54">
        <f t="shared" si="6"/>
        <v>0</v>
      </c>
      <c r="BG43" s="54">
        <f t="shared" si="37"/>
        <v>0</v>
      </c>
      <c r="BI43" s="66">
        <v>45183.416666666664</v>
      </c>
      <c r="BJ43" s="67">
        <v>5.4693397405303802E-3</v>
      </c>
      <c r="BK43" s="68">
        <v>0.376777213</v>
      </c>
      <c r="BL43" s="68">
        <v>815</v>
      </c>
      <c r="BM43" s="68">
        <f t="shared" si="38"/>
        <v>13.583333333333334</v>
      </c>
      <c r="BN43" s="68">
        <f t="shared" si="57"/>
        <v>7.4291864808870997E-2</v>
      </c>
      <c r="BO43" s="69">
        <f t="shared" si="39"/>
        <v>10.398088933924949</v>
      </c>
      <c r="BP43" s="69">
        <f t="shared" si="40"/>
        <v>0</v>
      </c>
      <c r="BQ43" s="69">
        <f t="shared" si="41"/>
        <v>0</v>
      </c>
      <c r="BR43" s="69">
        <f t="shared" si="8"/>
        <v>0</v>
      </c>
      <c r="BS43" s="69">
        <f t="shared" si="42"/>
        <v>0</v>
      </c>
      <c r="BU43" s="82">
        <v>45046.75</v>
      </c>
      <c r="BV43" s="112">
        <v>3.4144079000000001E-2</v>
      </c>
      <c r="BW43" s="83">
        <v>81.397704649999994</v>
      </c>
      <c r="BX43" s="112">
        <v>8518</v>
      </c>
      <c r="BY43" s="83">
        <f t="shared" si="58"/>
        <v>141.96666666666667</v>
      </c>
      <c r="BZ43" s="84">
        <f t="shared" si="59"/>
        <v>4.8473210820333339</v>
      </c>
      <c r="CA43" s="83">
        <f t="shared" si="60"/>
        <v>80.453291799280009</v>
      </c>
      <c r="CC43" s="87">
        <v>45047.625</v>
      </c>
      <c r="CD43" s="109">
        <v>4.0075093253381697E-2</v>
      </c>
      <c r="CE43" s="88">
        <v>81.405228940000001</v>
      </c>
      <c r="CF43" s="89">
        <v>7042</v>
      </c>
      <c r="CG43" s="90">
        <f t="shared" si="43"/>
        <v>117.36666666666666</v>
      </c>
      <c r="CH43" s="91">
        <f t="shared" si="44"/>
        <v>4.7034801115052316</v>
      </c>
      <c r="CI43" s="91">
        <f t="shared" si="45"/>
        <v>79.275196969160135</v>
      </c>
      <c r="CK43" s="93">
        <v>45049.666666666664</v>
      </c>
      <c r="CL43">
        <v>3.7413065288139702E-2</v>
      </c>
      <c r="CM43" s="95">
        <v>104.61473460000001</v>
      </c>
      <c r="CN43" s="4">
        <v>8260</v>
      </c>
      <c r="CO43" s="95">
        <f t="shared" si="46"/>
        <v>137.66666666666666</v>
      </c>
      <c r="CP43" s="94">
        <f t="shared" si="47"/>
        <v>5.1505319880005649</v>
      </c>
      <c r="CQ43" s="96">
        <f t="shared" si="48"/>
        <v>82.879583620842681</v>
      </c>
      <c r="CS43" s="10">
        <v>45050.927083333336</v>
      </c>
      <c r="CT43" s="110">
        <v>8.8769036045406799E-2</v>
      </c>
      <c r="CU43" s="21">
        <v>113.74097140000001</v>
      </c>
      <c r="CV43" s="111">
        <v>4406</v>
      </c>
      <c r="CW43" s="21">
        <f t="shared" si="49"/>
        <v>73.433333333333337</v>
      </c>
      <c r="CX43" s="21">
        <f t="shared" si="50"/>
        <v>6.5186062136010392</v>
      </c>
      <c r="CY43" s="21">
        <f t="shared" si="51"/>
        <v>93.013325496445361</v>
      </c>
    </row>
    <row r="44" spans="1:103" x14ac:dyDescent="0.25">
      <c r="A44" s="10">
        <v>44776.427777777775</v>
      </c>
      <c r="B44" s="11">
        <v>1.53863608572197E-3</v>
      </c>
      <c r="C44" s="12">
        <v>0.72333429699999996</v>
      </c>
      <c r="D44" s="9">
        <v>127</v>
      </c>
      <c r="E44" s="13">
        <f t="shared" si="12"/>
        <v>2.1166666666666667</v>
      </c>
      <c r="F44" s="12">
        <f t="shared" si="52"/>
        <v>3.2567797147781698E-3</v>
      </c>
      <c r="G44" s="13">
        <f t="shared" si="14"/>
        <v>2.2483611090648514</v>
      </c>
      <c r="H44" s="11">
        <f t="shared" si="15"/>
        <v>0</v>
      </c>
      <c r="I44" s="125">
        <f t="shared" si="16"/>
        <v>0</v>
      </c>
      <c r="J44" s="21">
        <f>IF((F44-$K$96)/($I$96-$K$96)&lt;0, 0, IF((F44-$K$96)/($I$96-$K$96)&gt;1, 1, (F44-$K$96)/($I$96-$K$96)))</f>
        <v>0</v>
      </c>
      <c r="K44" s="125">
        <f t="shared" si="17"/>
        <v>0</v>
      </c>
      <c r="M44" s="25">
        <v>44781.427777777775</v>
      </c>
      <c r="N44" s="26">
        <v>3.28949326496658E-3</v>
      </c>
      <c r="O44" s="27">
        <v>1.1902769595</v>
      </c>
      <c r="P44" s="28">
        <v>802</v>
      </c>
      <c r="Q44" s="29">
        <f t="shared" si="18"/>
        <v>13.366666666666667</v>
      </c>
      <c r="R44" s="26">
        <f t="shared" si="53"/>
        <v>4.3969559975053286E-2</v>
      </c>
      <c r="S44" s="29">
        <f t="shared" si="19"/>
        <v>8.0427614120993436</v>
      </c>
      <c r="T44" s="29">
        <f t="shared" si="20"/>
        <v>0</v>
      </c>
      <c r="U44" s="126">
        <f t="shared" si="21"/>
        <v>0</v>
      </c>
      <c r="V44" s="128">
        <f>IF((R44-$W$102)/($U$101-$W$102)&lt;0, 0, IF((R44-$W$102)/($U$101-$W$102)&gt;1, 1, (R44-$W$102)/($U$101-$W$102)))</f>
        <v>0</v>
      </c>
      <c r="W44" s="126">
        <f t="shared" si="22"/>
        <v>0</v>
      </c>
      <c r="Y44" s="35">
        <v>45136.427083333336</v>
      </c>
      <c r="Z44" s="71">
        <v>9.9106306272953703E-3</v>
      </c>
      <c r="AA44" s="70">
        <v>0.89859415399999998</v>
      </c>
      <c r="AB44" s="36">
        <v>4471</v>
      </c>
      <c r="AC44" s="37">
        <f t="shared" si="23"/>
        <v>74.516666666666666</v>
      </c>
      <c r="AD44" s="37">
        <f t="shared" si="54"/>
        <v>0.73850715891062668</v>
      </c>
      <c r="AE44" s="38">
        <f t="shared" si="24"/>
        <v>32.017461353840112</v>
      </c>
      <c r="AF44" s="38">
        <f t="shared" si="25"/>
        <v>0</v>
      </c>
      <c r="AG44" s="38">
        <f t="shared" si="26"/>
        <v>0</v>
      </c>
      <c r="AH44" s="38">
        <f t="shared" si="2"/>
        <v>6.8111550150052214E-2</v>
      </c>
      <c r="AI44" s="38">
        <f t="shared" si="27"/>
        <v>2.1807589246794392</v>
      </c>
      <c r="AK44" s="45">
        <v>45151.427083333336</v>
      </c>
      <c r="AL44" s="4">
        <v>6.47636080442402E-3</v>
      </c>
      <c r="AM44" s="3">
        <v>0.59425534599999996</v>
      </c>
      <c r="AN44" s="4">
        <v>1210</v>
      </c>
      <c r="AO44" s="46">
        <f t="shared" si="28"/>
        <v>20.166666666666668</v>
      </c>
      <c r="AP44" s="47">
        <f t="shared" si="55"/>
        <v>0.13060660955588441</v>
      </c>
      <c r="AQ44" s="50">
        <f t="shared" si="29"/>
        <v>13.706978432163005</v>
      </c>
      <c r="AR44" s="50">
        <f t="shared" si="30"/>
        <v>0</v>
      </c>
      <c r="AS44" s="50">
        <f t="shared" si="31"/>
        <v>0</v>
      </c>
      <c r="AT44" s="50">
        <f t="shared" si="4"/>
        <v>7.7945567466622913E-3</v>
      </c>
      <c r="AU44" s="50">
        <f t="shared" si="32"/>
        <v>0.10683982121477066</v>
      </c>
      <c r="AW44" s="51">
        <v>45166.427083333336</v>
      </c>
      <c r="AX44" s="72">
        <v>1.0277800000538601E-2</v>
      </c>
      <c r="AY44" s="73">
        <v>0.377160934</v>
      </c>
      <c r="AZ44" s="52">
        <v>3981</v>
      </c>
      <c r="BA44" s="53">
        <f t="shared" si="33"/>
        <v>66.349999999999994</v>
      </c>
      <c r="BB44" s="72">
        <f t="shared" si="56"/>
        <v>0.6819320300357361</v>
      </c>
      <c r="BC44" s="54">
        <f t="shared" si="34"/>
        <v>30.791908264570221</v>
      </c>
      <c r="BD44" s="54">
        <f t="shared" si="35"/>
        <v>0</v>
      </c>
      <c r="BE44" s="54">
        <f t="shared" si="36"/>
        <v>0</v>
      </c>
      <c r="BF44" s="54">
        <f t="shared" si="6"/>
        <v>5.5658500228695082E-3</v>
      </c>
      <c r="BG44" s="54">
        <f t="shared" si="37"/>
        <v>0.17138314331855395</v>
      </c>
      <c r="BI44" s="66">
        <v>45183.427083333336</v>
      </c>
      <c r="BJ44" s="67">
        <v>3.0347529379728001E-3</v>
      </c>
      <c r="BK44" s="68">
        <v>0.33439968599999997</v>
      </c>
      <c r="BL44" s="68">
        <v>556</v>
      </c>
      <c r="BM44" s="68">
        <f t="shared" si="38"/>
        <v>9.2666666666666675</v>
      </c>
      <c r="BN44" s="68">
        <f t="shared" si="57"/>
        <v>2.8122043891881283E-2</v>
      </c>
      <c r="BO44" s="69">
        <f t="shared" si="39"/>
        <v>6.4617752816755347</v>
      </c>
      <c r="BP44" s="69">
        <f t="shared" si="40"/>
        <v>0</v>
      </c>
      <c r="BQ44" s="69">
        <f t="shared" si="41"/>
        <v>0</v>
      </c>
      <c r="BR44" s="69">
        <f t="shared" si="8"/>
        <v>0</v>
      </c>
      <c r="BS44" s="69">
        <f t="shared" si="42"/>
        <v>0</v>
      </c>
      <c r="BU44" s="82">
        <v>45046.760416666664</v>
      </c>
      <c r="BV44" s="112">
        <v>3.7107438999999999E-2</v>
      </c>
      <c r="BW44" s="83">
        <v>82.276892649999994</v>
      </c>
      <c r="BX44" s="112">
        <v>8202</v>
      </c>
      <c r="BY44" s="83">
        <f t="shared" si="58"/>
        <v>136.69999999999999</v>
      </c>
      <c r="BZ44" s="84">
        <f t="shared" si="59"/>
        <v>5.0725869112999993</v>
      </c>
      <c r="CA44" s="83">
        <f t="shared" si="60"/>
        <v>82.262987454587801</v>
      </c>
      <c r="CC44" s="87">
        <v>45047.635416666664</v>
      </c>
      <c r="CD44" s="109">
        <v>3.8233092602070001E-2</v>
      </c>
      <c r="CE44" s="88">
        <v>84.027783200000002</v>
      </c>
      <c r="CF44" s="89">
        <v>6951</v>
      </c>
      <c r="CG44" s="90">
        <f t="shared" si="43"/>
        <v>115.85</v>
      </c>
      <c r="CH44" s="91">
        <f t="shared" si="44"/>
        <v>4.4293037779498095</v>
      </c>
      <c r="CI44" s="91">
        <f t="shared" si="45"/>
        <v>76.977547572329826</v>
      </c>
      <c r="CK44" s="93">
        <v>45049.677083333336</v>
      </c>
      <c r="CL44">
        <v>3.8211726363623598E-2</v>
      </c>
      <c r="CM44" s="95">
        <v>106.2245245</v>
      </c>
      <c r="CN44" s="4">
        <v>8204</v>
      </c>
      <c r="CO44" s="95">
        <f t="shared" si="46"/>
        <v>136.73333333333332</v>
      </c>
      <c r="CP44" s="94">
        <f t="shared" si="47"/>
        <v>5.2248167181194658</v>
      </c>
      <c r="CQ44" s="96">
        <f t="shared" si="48"/>
        <v>83.462807818498561</v>
      </c>
      <c r="CS44" s="10">
        <v>45050.9375</v>
      </c>
      <c r="CT44" s="110">
        <v>7.8072902061341001E-2</v>
      </c>
      <c r="CU44" s="21">
        <v>114.1275401</v>
      </c>
      <c r="CV44" s="111">
        <v>4653</v>
      </c>
      <c r="CW44" s="21">
        <f t="shared" si="49"/>
        <v>77.55</v>
      </c>
      <c r="CX44" s="21">
        <f t="shared" si="50"/>
        <v>6.0545535548569944</v>
      </c>
      <c r="CY44" s="21">
        <f t="shared" si="51"/>
        <v>89.709659716083408</v>
      </c>
    </row>
    <row r="45" spans="1:103" x14ac:dyDescent="0.25">
      <c r="A45" s="10">
        <v>44776.438194444447</v>
      </c>
      <c r="B45" s="11">
        <v>1.5323471590504799E-3</v>
      </c>
      <c r="C45" s="12">
        <v>0.71002781749999999</v>
      </c>
      <c r="D45" s="9">
        <v>100</v>
      </c>
      <c r="E45" s="13">
        <f t="shared" si="12"/>
        <v>1.6666666666666667</v>
      </c>
      <c r="F45" s="12">
        <f t="shared" si="52"/>
        <v>2.5539119317508001E-3</v>
      </c>
      <c r="G45" s="13">
        <f t="shared" si="14"/>
        <v>1.9960082421885208</v>
      </c>
      <c r="H45" s="11">
        <f t="shared" si="15"/>
        <v>0</v>
      </c>
      <c r="I45" s="125">
        <f t="shared" si="16"/>
        <v>0</v>
      </c>
      <c r="J45" s="21">
        <f>IF((F45-$K$96)/($I$96-$K$96)&lt;0, 0, IF((F45-$K$96)/($I$96-$K$96)&gt;1, 1, (F45-$K$96)/($I$96-$K$96)))</f>
        <v>0</v>
      </c>
      <c r="K45" s="125">
        <f t="shared" si="17"/>
        <v>0</v>
      </c>
      <c r="M45" s="25">
        <v>44781.438194444447</v>
      </c>
      <c r="N45" s="26">
        <v>3.6605450949931699E-3</v>
      </c>
      <c r="O45" s="27">
        <v>1.228492825</v>
      </c>
      <c r="P45" s="28">
        <v>827</v>
      </c>
      <c r="Q45" s="29">
        <f t="shared" si="18"/>
        <v>13.783333333333333</v>
      </c>
      <c r="R45" s="26">
        <f t="shared" si="53"/>
        <v>5.0454513225989192E-2</v>
      </c>
      <c r="S45" s="29">
        <f t="shared" si="19"/>
        <v>8.6032735656642547</v>
      </c>
      <c r="T45" s="29">
        <f t="shared" si="20"/>
        <v>0</v>
      </c>
      <c r="U45" s="126">
        <f t="shared" si="21"/>
        <v>0</v>
      </c>
      <c r="V45" s="128">
        <f>IF((R45-$W$102)/($U$101-$W$102)&lt;0, 0, IF((R45-$W$102)/($U$101-$W$102)&gt;1, 1, (R45-$W$102)/($U$101-$W$102)))</f>
        <v>2.3394992862332438E-3</v>
      </c>
      <c r="W45" s="126">
        <f t="shared" si="22"/>
        <v>2.0127352366140858E-2</v>
      </c>
      <c r="Y45" s="35">
        <v>45136.4375</v>
      </c>
      <c r="Z45" s="71">
        <v>7.1914230595903801E-3</v>
      </c>
      <c r="AA45" s="70">
        <v>0.85535298199999998</v>
      </c>
      <c r="AB45" s="36">
        <v>3967</v>
      </c>
      <c r="AC45" s="37">
        <f t="shared" si="23"/>
        <v>66.11666666666666</v>
      </c>
      <c r="AD45" s="37">
        <f t="shared" si="54"/>
        <v>0.47547292128991725</v>
      </c>
      <c r="AE45" s="38">
        <f t="shared" si="24"/>
        <v>25.807271531844108</v>
      </c>
      <c r="AF45" s="38">
        <f t="shared" si="25"/>
        <v>0</v>
      </c>
      <c r="AG45" s="38">
        <f t="shared" si="26"/>
        <v>0</v>
      </c>
      <c r="AH45" s="38">
        <f t="shared" si="2"/>
        <v>0</v>
      </c>
      <c r="AI45" s="38">
        <f t="shared" si="27"/>
        <v>0</v>
      </c>
      <c r="AK45" s="45">
        <v>45151.4375</v>
      </c>
      <c r="AL45" s="4">
        <v>5.0946192727216698E-3</v>
      </c>
      <c r="AM45" s="3">
        <v>0.59425534599999996</v>
      </c>
      <c r="AN45" s="4">
        <v>1076</v>
      </c>
      <c r="AO45" s="46">
        <f t="shared" si="28"/>
        <v>17.933333333333334</v>
      </c>
      <c r="AP45" s="47">
        <f t="shared" si="55"/>
        <v>9.1363505624141944E-2</v>
      </c>
      <c r="AQ45" s="50">
        <f t="shared" si="29"/>
        <v>11.506520376444639</v>
      </c>
      <c r="AR45" s="50">
        <f t="shared" si="30"/>
        <v>0</v>
      </c>
      <c r="AS45" s="50">
        <f t="shared" si="31"/>
        <v>0</v>
      </c>
      <c r="AT45" s="50">
        <f t="shared" si="4"/>
        <v>0</v>
      </c>
      <c r="AU45" s="50">
        <f t="shared" si="32"/>
        <v>0</v>
      </c>
      <c r="AW45" s="51">
        <v>45166.4375</v>
      </c>
      <c r="AX45" s="72">
        <v>1.0536330408973499E-2</v>
      </c>
      <c r="AY45" s="73">
        <v>0.44939223900000003</v>
      </c>
      <c r="AZ45" s="52">
        <v>4954</v>
      </c>
      <c r="BA45" s="53">
        <f t="shared" si="33"/>
        <v>82.566666666666663</v>
      </c>
      <c r="BB45" s="72">
        <f t="shared" si="56"/>
        <v>0.8699496807675785</v>
      </c>
      <c r="BC45" s="54">
        <f t="shared" si="34"/>
        <v>34.691563207225272</v>
      </c>
      <c r="BD45" s="54">
        <f t="shared" si="35"/>
        <v>3.7618062491693006E-2</v>
      </c>
      <c r="BE45" s="54">
        <f t="shared" si="36"/>
        <v>1.305029392663918</v>
      </c>
      <c r="BF45" s="54">
        <f t="shared" si="6"/>
        <v>3.5608735863730312E-2</v>
      </c>
      <c r="BG45" s="54">
        <f t="shared" si="37"/>
        <v>1.2353227109459894</v>
      </c>
      <c r="BI45" s="66">
        <v>45183.4375</v>
      </c>
      <c r="BJ45" s="67">
        <v>4.3050076959034499E-3</v>
      </c>
      <c r="BK45" s="68">
        <v>0.399936554</v>
      </c>
      <c r="BL45" s="68">
        <v>965</v>
      </c>
      <c r="BM45" s="68">
        <f t="shared" si="38"/>
        <v>16.083333333333332</v>
      </c>
      <c r="BN45" s="68">
        <f t="shared" si="57"/>
        <v>6.9238873775780474E-2</v>
      </c>
      <c r="BO45" s="69">
        <f t="shared" si="39"/>
        <v>10.045533014601808</v>
      </c>
      <c r="BP45" s="69">
        <f t="shared" si="40"/>
        <v>0</v>
      </c>
      <c r="BQ45" s="69">
        <f t="shared" si="41"/>
        <v>0</v>
      </c>
      <c r="BR45" s="69">
        <f t="shared" si="8"/>
        <v>0</v>
      </c>
      <c r="BS45" s="69">
        <f t="shared" si="42"/>
        <v>0</v>
      </c>
      <c r="BU45" s="82">
        <v>45046.770833333336</v>
      </c>
      <c r="BV45" s="112">
        <v>4.1665016999999999E-2</v>
      </c>
      <c r="BW45" s="83">
        <v>85.762083380000007</v>
      </c>
      <c r="BX45" s="112">
        <v>6389</v>
      </c>
      <c r="BY45" s="83">
        <f t="shared" si="58"/>
        <v>106.48333333333333</v>
      </c>
      <c r="BZ45" s="84">
        <f t="shared" si="59"/>
        <v>4.4366298935500001</v>
      </c>
      <c r="CA45" s="83">
        <f t="shared" si="60"/>
        <v>77.039870709692963</v>
      </c>
      <c r="CC45" s="87">
        <v>45047.645833333336</v>
      </c>
      <c r="CD45" s="109">
        <v>4.1968666597743703E-2</v>
      </c>
      <c r="CE45" s="88">
        <v>82.718647970000006</v>
      </c>
      <c r="CF45" s="89">
        <v>6951</v>
      </c>
      <c r="CG45" s="90">
        <f t="shared" si="43"/>
        <v>115.85</v>
      </c>
      <c r="CH45" s="91">
        <f t="shared" si="44"/>
        <v>4.8620700253486078</v>
      </c>
      <c r="CI45" s="91">
        <f t="shared" si="45"/>
        <v>80.573075096478703</v>
      </c>
      <c r="CK45" s="93">
        <v>45049.6875</v>
      </c>
      <c r="CL45">
        <v>8.6471916018175193E-2</v>
      </c>
      <c r="CM45" s="95">
        <v>101.7699069</v>
      </c>
      <c r="CN45" s="4">
        <v>5648</v>
      </c>
      <c r="CO45" s="95">
        <f t="shared" si="46"/>
        <v>94.13333333333334</v>
      </c>
      <c r="CP45" s="94">
        <f t="shared" si="47"/>
        <v>8.1398896945108916</v>
      </c>
      <c r="CQ45" s="96">
        <f t="shared" si="48"/>
        <v>103.70112832820597</v>
      </c>
      <c r="CS45" s="10">
        <v>45050.947916666664</v>
      </c>
      <c r="CT45" s="110">
        <v>7.6924984541036898E-2</v>
      </c>
      <c r="CU45" s="21">
        <v>107.0292163</v>
      </c>
      <c r="CV45" s="111">
        <v>4862</v>
      </c>
      <c r="CW45" s="21">
        <f t="shared" si="49"/>
        <v>81.033333333333331</v>
      </c>
      <c r="CX45" s="21">
        <f t="shared" si="50"/>
        <v>6.2334879139753561</v>
      </c>
      <c r="CY45" s="21">
        <f t="shared" si="51"/>
        <v>90.998330165609516</v>
      </c>
    </row>
    <row r="46" spans="1:103" x14ac:dyDescent="0.25">
      <c r="A46" s="10">
        <v>44776.448611111111</v>
      </c>
      <c r="B46" s="11">
        <v>1.8349051903074399E-3</v>
      </c>
      <c r="C46" s="12">
        <v>0.72868923050000001</v>
      </c>
      <c r="D46" s="9">
        <v>121</v>
      </c>
      <c r="E46" s="13">
        <f t="shared" si="12"/>
        <v>2.0166666666666666</v>
      </c>
      <c r="F46" s="12">
        <f t="shared" si="52"/>
        <v>3.7003921337866704E-3</v>
      </c>
      <c r="G46" s="13">
        <f t="shared" si="14"/>
        <v>2.393450860062051</v>
      </c>
      <c r="H46" s="11">
        <f t="shared" si="15"/>
        <v>3.6342784374226062E-4</v>
      </c>
      <c r="I46" s="125">
        <f t="shared" si="16"/>
        <v>8.698466851754103E-4</v>
      </c>
      <c r="J46" s="21">
        <f>IF((F46-$K$96)/($I$96-$K$96)&lt;0, 0, IF((F46-$K$96)/($I$96-$K$96)&gt;1, 1, (F46-$K$96)/($I$96-$K$96)))</f>
        <v>4.1743290657932174E-5</v>
      </c>
      <c r="K46" s="125">
        <f t="shared" si="17"/>
        <v>9.9910514927047938E-5</v>
      </c>
      <c r="M46" s="25">
        <v>44781.448611111111</v>
      </c>
      <c r="N46" s="26">
        <v>2.9920416967513302E-3</v>
      </c>
      <c r="O46" s="27">
        <v>1.212618097</v>
      </c>
      <c r="P46" s="28">
        <v>767</v>
      </c>
      <c r="Q46" s="29">
        <f t="shared" si="18"/>
        <v>12.783333333333333</v>
      </c>
      <c r="R46" s="26">
        <f t="shared" si="53"/>
        <v>3.8248266356804506E-2</v>
      </c>
      <c r="S46" s="29">
        <f t="shared" si="19"/>
        <v>7.5120517164204665</v>
      </c>
      <c r="T46" s="29">
        <f t="shared" si="20"/>
        <v>0</v>
      </c>
      <c r="U46" s="126">
        <f t="shared" si="21"/>
        <v>0</v>
      </c>
      <c r="V46" s="128">
        <f>IF((R46-$W$102)/($U$101-$W$102)&lt;0, 0, IF((R46-$W$102)/($U$101-$W$102)&gt;1, 1, (R46-$W$102)/($U$101-$W$102)))</f>
        <v>0</v>
      </c>
      <c r="W46" s="126">
        <f t="shared" si="22"/>
        <v>0</v>
      </c>
      <c r="Y46" s="35">
        <v>45136.447916666664</v>
      </c>
      <c r="Z46" s="71">
        <v>5.5897858817166701E-3</v>
      </c>
      <c r="AA46" s="70">
        <v>0.66228851600000005</v>
      </c>
      <c r="AB46" s="36">
        <v>3144</v>
      </c>
      <c r="AC46" s="37">
        <f t="shared" si="23"/>
        <v>52.4</v>
      </c>
      <c r="AD46" s="37">
        <f t="shared" si="54"/>
        <v>0.29290478020195349</v>
      </c>
      <c r="AE46" s="38">
        <f t="shared" si="24"/>
        <v>20.356801407695279</v>
      </c>
      <c r="AF46" s="38">
        <f t="shared" si="25"/>
        <v>0</v>
      </c>
      <c r="AG46" s="38">
        <f t="shared" si="26"/>
        <v>0</v>
      </c>
      <c r="AH46" s="38">
        <f t="shared" si="2"/>
        <v>0</v>
      </c>
      <c r="AI46" s="38">
        <f t="shared" si="27"/>
        <v>0</v>
      </c>
      <c r="AK46" s="45">
        <v>45151.447916666664</v>
      </c>
      <c r="AL46" s="4">
        <v>7.2259572661356403E-3</v>
      </c>
      <c r="AM46" s="3">
        <v>0.66228851600000005</v>
      </c>
      <c r="AN46" s="4">
        <v>1443</v>
      </c>
      <c r="AO46" s="46">
        <f t="shared" si="28"/>
        <v>24.05</v>
      </c>
      <c r="AP46" s="47">
        <f t="shared" si="55"/>
        <v>0.17378427225056214</v>
      </c>
      <c r="AQ46" s="50">
        <f t="shared" si="29"/>
        <v>15.764736627470365</v>
      </c>
      <c r="AR46" s="50">
        <f t="shared" si="30"/>
        <v>3.1070903181179155E-2</v>
      </c>
      <c r="AS46" s="50">
        <f t="shared" si="31"/>
        <v>0.48982460542892048</v>
      </c>
      <c r="AT46" s="50">
        <f t="shared" si="4"/>
        <v>4.1989558649418848E-2</v>
      </c>
      <c r="AU46" s="50">
        <f t="shared" si="32"/>
        <v>0.66195433321180841</v>
      </c>
      <c r="AW46" s="51">
        <v>45166.447916666664</v>
      </c>
      <c r="AX46" s="72">
        <v>1.3016474451338101E-2</v>
      </c>
      <c r="AY46" s="73">
        <v>0.44939223900000003</v>
      </c>
      <c r="AZ46" s="52">
        <v>4748</v>
      </c>
      <c r="BA46" s="53">
        <f t="shared" si="33"/>
        <v>79.13333333333334</v>
      </c>
      <c r="BB46" s="72">
        <f t="shared" si="56"/>
        <v>1.0300370115825552</v>
      </c>
      <c r="BC46" s="54">
        <f t="shared" si="34"/>
        <v>37.683186838441159</v>
      </c>
      <c r="BD46" s="54">
        <f t="shared" si="35"/>
        <v>3.7618062491693006E-2</v>
      </c>
      <c r="BE46" s="54">
        <f t="shared" si="36"/>
        <v>1.4175684773746229</v>
      </c>
      <c r="BF46" s="54">
        <f t="shared" si="6"/>
        <v>6.1188703412106533E-2</v>
      </c>
      <c r="BG46" s="54">
        <f t="shared" si="37"/>
        <v>2.3057853430803728</v>
      </c>
      <c r="BI46" s="66">
        <v>45183.447916666664</v>
      </c>
      <c r="BJ46" s="67">
        <v>5.0325801980003904E-3</v>
      </c>
      <c r="BK46" s="68">
        <v>0.44894941300000002</v>
      </c>
      <c r="BL46" s="68">
        <v>1233</v>
      </c>
      <c r="BM46" s="68">
        <f t="shared" si="38"/>
        <v>20.55</v>
      </c>
      <c r="BN46" s="68">
        <f t="shared" si="57"/>
        <v>0.10341952306890803</v>
      </c>
      <c r="BO46" s="69">
        <f t="shared" si="39"/>
        <v>12.226564744054555</v>
      </c>
      <c r="BP46" s="69">
        <f t="shared" si="40"/>
        <v>0</v>
      </c>
      <c r="BQ46" s="69">
        <f t="shared" si="41"/>
        <v>0</v>
      </c>
      <c r="BR46" s="69">
        <f t="shared" si="8"/>
        <v>0</v>
      </c>
      <c r="BS46" s="69">
        <f t="shared" si="42"/>
        <v>0</v>
      </c>
      <c r="BU46" s="82">
        <v>45046.78125</v>
      </c>
      <c r="BV46" s="112">
        <v>5.3859668999999999E-2</v>
      </c>
      <c r="BW46" s="83">
        <v>85.762083380000007</v>
      </c>
      <c r="BX46" s="112">
        <v>6559</v>
      </c>
      <c r="BY46" s="83">
        <f t="shared" si="58"/>
        <v>109.31666666666666</v>
      </c>
      <c r="BZ46" s="84">
        <f t="shared" si="59"/>
        <v>5.8877594828499999</v>
      </c>
      <c r="CA46" s="83">
        <f t="shared" si="60"/>
        <v>88.490803262610711</v>
      </c>
      <c r="CC46" s="87">
        <v>45047.65625</v>
      </c>
      <c r="CD46" s="109">
        <v>3.9625525231903901E-2</v>
      </c>
      <c r="CE46" s="88">
        <v>87.494480339999996</v>
      </c>
      <c r="CF46" s="89">
        <v>6813</v>
      </c>
      <c r="CG46" s="90">
        <f t="shared" si="43"/>
        <v>113.55</v>
      </c>
      <c r="CH46" s="91">
        <f t="shared" si="44"/>
        <v>4.4994783900826878</v>
      </c>
      <c r="CI46" s="91">
        <f t="shared" si="45"/>
        <v>77.572378438807007</v>
      </c>
      <c r="CK46" s="93">
        <v>45049.697916666664</v>
      </c>
      <c r="CL46">
        <v>0.101483844069199</v>
      </c>
      <c r="CM46" s="95">
        <v>106.2245245</v>
      </c>
      <c r="CN46" s="4">
        <v>3395</v>
      </c>
      <c r="CO46" s="95">
        <f t="shared" si="46"/>
        <v>56.583333333333336</v>
      </c>
      <c r="CP46" s="94">
        <f t="shared" si="47"/>
        <v>5.74229417691551</v>
      </c>
      <c r="CQ46" s="96">
        <f t="shared" si="48"/>
        <v>87.413343389784544</v>
      </c>
      <c r="CS46" s="10">
        <v>45050.958333333336</v>
      </c>
      <c r="CT46" s="110">
        <v>8.0397566198641204E-2</v>
      </c>
      <c r="CU46" s="21">
        <v>112.9598134</v>
      </c>
      <c r="CV46" s="111">
        <v>4767</v>
      </c>
      <c r="CW46" s="21">
        <f t="shared" si="49"/>
        <v>79.45</v>
      </c>
      <c r="CX46" s="21">
        <f t="shared" si="50"/>
        <v>6.3875866344820436</v>
      </c>
      <c r="CY46" s="21">
        <f t="shared" si="51"/>
        <v>92.09308581435441</v>
      </c>
    </row>
    <row r="47" spans="1:103" x14ac:dyDescent="0.25">
      <c r="A47" s="10">
        <v>44776.459027777775</v>
      </c>
      <c r="B47" s="11">
        <v>1.3362125891374899E-3</v>
      </c>
      <c r="C47" s="12">
        <v>0.66863318549999995</v>
      </c>
      <c r="D47" s="9">
        <v>95</v>
      </c>
      <c r="E47" s="13">
        <f t="shared" si="12"/>
        <v>1.5833333333333333</v>
      </c>
      <c r="F47" s="12">
        <f t="shared" si="52"/>
        <v>2.1156699328010258E-3</v>
      </c>
      <c r="G47" s="13">
        <f t="shared" si="14"/>
        <v>1.8202265142136964</v>
      </c>
      <c r="H47" s="11">
        <f t="shared" si="15"/>
        <v>0</v>
      </c>
      <c r="I47" s="125">
        <f t="shared" si="16"/>
        <v>0</v>
      </c>
      <c r="J47" s="21">
        <f>IF((F47-$K$96)/($I$96-$K$96)&lt;0, 0, IF((F47-$K$96)/($I$96-$K$96)&gt;1, 1, (F47-$K$96)/($I$96-$K$96)))</f>
        <v>0</v>
      </c>
      <c r="K47" s="125">
        <f t="shared" si="17"/>
        <v>0</v>
      </c>
      <c r="M47" s="25">
        <v>44781.459027777775</v>
      </c>
      <c r="N47" s="26">
        <v>3.6286534058963698E-3</v>
      </c>
      <c r="O47" s="27">
        <v>1.2029581084999901</v>
      </c>
      <c r="P47" s="28">
        <v>849</v>
      </c>
      <c r="Q47" s="29">
        <f t="shared" si="18"/>
        <v>14.15</v>
      </c>
      <c r="R47" s="26">
        <f t="shared" si="53"/>
        <v>5.1345445693433633E-2</v>
      </c>
      <c r="S47" s="29">
        <f t="shared" si="19"/>
        <v>8.6773354505305136</v>
      </c>
      <c r="T47" s="29">
        <f t="shared" si="20"/>
        <v>0</v>
      </c>
      <c r="U47" s="126">
        <f t="shared" si="21"/>
        <v>0</v>
      </c>
      <c r="V47" s="128">
        <f>IF((R47-$W$102)/($U$101-$W$102)&lt;0, 0, IF((R47-$W$102)/($U$101-$W$102)&gt;1, 1, (R47-$W$102)/($U$101-$W$102)))</f>
        <v>2.7911158484090382E-3</v>
      </c>
      <c r="W47" s="126">
        <f t="shared" si="22"/>
        <v>2.4219448497937297E-2</v>
      </c>
      <c r="Y47" s="35">
        <v>45136.458333333336</v>
      </c>
      <c r="Z47" s="71">
        <v>3.7332386039585601E-3</v>
      </c>
      <c r="AA47" s="70">
        <v>0.475692385</v>
      </c>
      <c r="AB47" s="36">
        <v>1263</v>
      </c>
      <c r="AC47" s="37">
        <f t="shared" si="23"/>
        <v>21.05</v>
      </c>
      <c r="AD47" s="37">
        <f t="shared" si="54"/>
        <v>7.8584672613327688E-2</v>
      </c>
      <c r="AE47" s="38">
        <f t="shared" si="24"/>
        <v>10.688100700571788</v>
      </c>
      <c r="AF47" s="38">
        <f t="shared" si="25"/>
        <v>0</v>
      </c>
      <c r="AG47" s="38">
        <f t="shared" si="26"/>
        <v>0</v>
      </c>
      <c r="AH47" s="38">
        <f t="shared" si="2"/>
        <v>0</v>
      </c>
      <c r="AI47" s="38">
        <f t="shared" si="27"/>
        <v>0</v>
      </c>
      <c r="AK47" s="45">
        <v>45151.458333333336</v>
      </c>
      <c r="AL47" s="4">
        <v>5.4511975980878697E-3</v>
      </c>
      <c r="AM47" s="3">
        <v>0.59425534599999996</v>
      </c>
      <c r="AN47" s="4">
        <v>1196</v>
      </c>
      <c r="AO47" s="46">
        <f t="shared" si="28"/>
        <v>19.933333333333334</v>
      </c>
      <c r="AP47" s="47">
        <f t="shared" si="55"/>
        <v>0.10866053878855153</v>
      </c>
      <c r="AQ47" s="50">
        <f t="shared" si="29"/>
        <v>12.526160718124604</v>
      </c>
      <c r="AR47" s="50">
        <f t="shared" si="30"/>
        <v>0</v>
      </c>
      <c r="AS47" s="50">
        <f t="shared" si="31"/>
        <v>0</v>
      </c>
      <c r="AT47" s="50">
        <f t="shared" si="4"/>
        <v>0</v>
      </c>
      <c r="AU47" s="50">
        <f t="shared" si="32"/>
        <v>0</v>
      </c>
      <c r="AW47" s="51">
        <v>45166.458333333336</v>
      </c>
      <c r="AX47" s="72">
        <v>1.4131578061917701E-2</v>
      </c>
      <c r="AY47" s="73">
        <v>0.44939223900000003</v>
      </c>
      <c r="AZ47" s="52">
        <v>5180</v>
      </c>
      <c r="BA47" s="53">
        <f t="shared" si="33"/>
        <v>86.333333333333329</v>
      </c>
      <c r="BB47" s="72">
        <f t="shared" si="56"/>
        <v>1.2200262393455614</v>
      </c>
      <c r="BC47" s="54">
        <f t="shared" si="34"/>
        <v>40.94006952406091</v>
      </c>
      <c r="BD47" s="54">
        <f t="shared" si="35"/>
        <v>3.7618062491693006E-2</v>
      </c>
      <c r="BE47" s="54">
        <f t="shared" si="36"/>
        <v>1.5400860937703797</v>
      </c>
      <c r="BF47" s="54">
        <f t="shared" si="6"/>
        <v>9.1546622780102491E-2</v>
      </c>
      <c r="BG47" s="54">
        <f t="shared" si="37"/>
        <v>3.7479251013103743</v>
      </c>
      <c r="BI47" s="66">
        <v>45183.458333333336</v>
      </c>
      <c r="BJ47" s="67">
        <v>4.59052443231848E-3</v>
      </c>
      <c r="BK47" s="68">
        <v>0.376777213</v>
      </c>
      <c r="BL47" s="68">
        <v>858</v>
      </c>
      <c r="BM47" s="68">
        <f t="shared" si="38"/>
        <v>14.3</v>
      </c>
      <c r="BN47" s="68">
        <f t="shared" si="57"/>
        <v>6.5644499382154262E-2</v>
      </c>
      <c r="BO47" s="69">
        <f t="shared" si="39"/>
        <v>9.7866852259088297</v>
      </c>
      <c r="BP47" s="69">
        <f t="shared" si="40"/>
        <v>0</v>
      </c>
      <c r="BQ47" s="69">
        <f t="shared" si="41"/>
        <v>0</v>
      </c>
      <c r="BR47" s="69">
        <f t="shared" si="8"/>
        <v>0</v>
      </c>
      <c r="BS47" s="69">
        <f t="shared" si="42"/>
        <v>0</v>
      </c>
      <c r="BU47" s="82">
        <v>45046.791666666664</v>
      </c>
      <c r="BV47" s="112">
        <v>4.5875403000000002E-2</v>
      </c>
      <c r="BW47" s="83">
        <v>84.891986889999998</v>
      </c>
      <c r="BX47" s="112">
        <v>6946</v>
      </c>
      <c r="BY47" s="83">
        <f t="shared" si="58"/>
        <v>115.76666666666667</v>
      </c>
      <c r="BZ47" s="84">
        <f t="shared" si="59"/>
        <v>5.3108424873000004</v>
      </c>
      <c r="CA47" s="83">
        <f t="shared" si="60"/>
        <v>84.132950554715677</v>
      </c>
      <c r="CC47" s="87">
        <v>45047.708333333336</v>
      </c>
      <c r="CD47" s="109">
        <v>3.8100968407537003E-2</v>
      </c>
      <c r="CE47" s="88">
        <v>85.323607859999996</v>
      </c>
      <c r="CF47" s="89">
        <v>6843</v>
      </c>
      <c r="CG47" s="90">
        <f t="shared" si="43"/>
        <v>114.05</v>
      </c>
      <c r="CH47" s="91">
        <f t="shared" si="44"/>
        <v>4.3454154468795947</v>
      </c>
      <c r="CI47" s="91">
        <f t="shared" si="45"/>
        <v>76.260126646499643</v>
      </c>
      <c r="CK47" s="93">
        <v>45049.708333333336</v>
      </c>
      <c r="CL47">
        <v>9.8266774819539798E-2</v>
      </c>
      <c r="CM47" s="95">
        <v>109.0251016</v>
      </c>
      <c r="CN47" s="4">
        <v>3609</v>
      </c>
      <c r="CO47" s="95">
        <f t="shared" si="46"/>
        <v>60.15</v>
      </c>
      <c r="CP47" s="94">
        <f t="shared" si="47"/>
        <v>5.910746505395319</v>
      </c>
      <c r="CQ47" s="96">
        <f t="shared" si="48"/>
        <v>88.659819687119949</v>
      </c>
      <c r="CS47" s="10">
        <v>45050.96875</v>
      </c>
      <c r="CT47" s="110">
        <v>7.9014152565006698E-2</v>
      </c>
      <c r="CU47" s="21">
        <v>110.9974619</v>
      </c>
      <c r="CV47" s="111">
        <v>4856</v>
      </c>
      <c r="CW47" s="21">
        <f t="shared" si="49"/>
        <v>80.933333333333337</v>
      </c>
      <c r="CX47" s="21">
        <f t="shared" si="50"/>
        <v>6.3948787475945421</v>
      </c>
      <c r="CY47" s="21">
        <f t="shared" si="51"/>
        <v>92.144554997418936</v>
      </c>
    </row>
    <row r="48" spans="1:103" x14ac:dyDescent="0.25">
      <c r="A48" s="10">
        <v>44776.469444444447</v>
      </c>
      <c r="B48" s="11">
        <v>1.57749098484379E-3</v>
      </c>
      <c r="C48" s="12">
        <v>0.65794700399999995</v>
      </c>
      <c r="D48" s="9">
        <v>89</v>
      </c>
      <c r="E48" s="13">
        <f t="shared" si="12"/>
        <v>1.4833333333333334</v>
      </c>
      <c r="F48" s="12">
        <f t="shared" si="52"/>
        <v>2.3399449608516218E-3</v>
      </c>
      <c r="G48" s="13">
        <f t="shared" si="14"/>
        <v>1.9122893030964594</v>
      </c>
      <c r="H48" s="11">
        <f t="shared" si="15"/>
        <v>0</v>
      </c>
      <c r="I48" s="125">
        <f t="shared" si="16"/>
        <v>0</v>
      </c>
      <c r="J48" s="21">
        <f>IF((F48-$K$96)/($I$96-$K$96)&lt;0, 0, IF((F48-$K$96)/($I$96-$K$96)&gt;1, 1, (F48-$K$96)/($I$96-$K$96)))</f>
        <v>0</v>
      </c>
      <c r="K48" s="125">
        <f t="shared" si="17"/>
        <v>0</v>
      </c>
      <c r="M48" s="25">
        <v>44781.469444444447</v>
      </c>
      <c r="N48" s="26">
        <v>3.1493245660237702E-3</v>
      </c>
      <c r="O48" s="27">
        <v>1.1786703704999999</v>
      </c>
      <c r="P48" s="28">
        <v>801</v>
      </c>
      <c r="Q48" s="29">
        <f t="shared" si="18"/>
        <v>13.35</v>
      </c>
      <c r="R48" s="26">
        <f t="shared" si="53"/>
        <v>4.2043482956417327E-2</v>
      </c>
      <c r="S48" s="29">
        <f t="shared" si="19"/>
        <v>7.8682624843202937</v>
      </c>
      <c r="T48" s="29">
        <f t="shared" si="20"/>
        <v>0</v>
      </c>
      <c r="U48" s="126">
        <f t="shared" si="21"/>
        <v>0</v>
      </c>
      <c r="V48" s="128">
        <f>IF((R48-$W$102)/($U$101-$W$102)&lt;0, 0, IF((R48-$W$102)/($U$101-$W$102)&gt;1, 1, (R48-$W$102)/($U$101-$W$102)))</f>
        <v>0</v>
      </c>
      <c r="W48" s="126">
        <f t="shared" si="22"/>
        <v>0</v>
      </c>
      <c r="Y48" s="35">
        <v>45136.46875</v>
      </c>
      <c r="Z48" s="71">
        <v>6.6261927688387101E-3</v>
      </c>
      <c r="AA48" s="70">
        <v>0.77321039300000005</v>
      </c>
      <c r="AB48" s="36">
        <v>3412</v>
      </c>
      <c r="AC48" s="37">
        <f t="shared" si="23"/>
        <v>56.866666666666667</v>
      </c>
      <c r="AD48" s="37">
        <f t="shared" si="54"/>
        <v>0.376809495454628</v>
      </c>
      <c r="AE48" s="38">
        <f t="shared" si="24"/>
        <v>23.029285130619289</v>
      </c>
      <c r="AF48" s="38">
        <f t="shared" si="25"/>
        <v>0</v>
      </c>
      <c r="AG48" s="38">
        <f t="shared" si="26"/>
        <v>0</v>
      </c>
      <c r="AH48" s="38">
        <f t="shared" si="2"/>
        <v>0</v>
      </c>
      <c r="AI48" s="38">
        <f t="shared" si="27"/>
        <v>0</v>
      </c>
      <c r="AK48" s="45">
        <v>45151.46875</v>
      </c>
      <c r="AL48" s="4">
        <v>5.71809601586296E-3</v>
      </c>
      <c r="AM48" s="3">
        <v>0.59425534599999996</v>
      </c>
      <c r="AN48" s="4">
        <v>1299</v>
      </c>
      <c r="AO48" s="46">
        <f t="shared" si="28"/>
        <v>21.65</v>
      </c>
      <c r="AP48" s="47">
        <f t="shared" si="55"/>
        <v>0.12379677874343308</v>
      </c>
      <c r="AQ48" s="50">
        <f t="shared" si="29"/>
        <v>13.352216283654387</v>
      </c>
      <c r="AR48" s="50">
        <f t="shared" si="30"/>
        <v>0</v>
      </c>
      <c r="AS48" s="50">
        <f t="shared" si="31"/>
        <v>0</v>
      </c>
      <c r="AT48" s="50">
        <f t="shared" si="4"/>
        <v>2.401439957644272E-3</v>
      </c>
      <c r="AU48" s="50">
        <f t="shared" si="32"/>
        <v>3.2064545706676155E-2</v>
      </c>
      <c r="AW48" s="51">
        <v>45166.46875</v>
      </c>
      <c r="AX48" s="72">
        <v>8.1139714277344809E-3</v>
      </c>
      <c r="AY48" s="73">
        <v>0.377160934</v>
      </c>
      <c r="AZ48" s="52">
        <v>3712</v>
      </c>
      <c r="BA48" s="53">
        <f t="shared" si="33"/>
        <v>61.866666666666667</v>
      </c>
      <c r="BB48" s="72">
        <f t="shared" si="56"/>
        <v>0.50198436566250659</v>
      </c>
      <c r="BC48" s="54">
        <f t="shared" si="34"/>
        <v>26.502178779401593</v>
      </c>
      <c r="BD48" s="54">
        <f t="shared" si="35"/>
        <v>0</v>
      </c>
      <c r="BE48" s="54">
        <f t="shared" si="36"/>
        <v>0</v>
      </c>
      <c r="BF48" s="54">
        <f t="shared" si="6"/>
        <v>0</v>
      </c>
      <c r="BG48" s="54">
        <f t="shared" si="37"/>
        <v>0</v>
      </c>
      <c r="BI48" s="66">
        <v>45183.46875</v>
      </c>
      <c r="BJ48" s="67">
        <v>5.43883589558097E-3</v>
      </c>
      <c r="BK48" s="68">
        <v>0.44894941300000002</v>
      </c>
      <c r="BL48" s="68">
        <v>1260</v>
      </c>
      <c r="BM48" s="68">
        <f t="shared" si="38"/>
        <v>21</v>
      </c>
      <c r="BN48" s="68">
        <f t="shared" si="57"/>
        <v>0.11421555380720037</v>
      </c>
      <c r="BO48" s="69">
        <f t="shared" si="39"/>
        <v>12.835761755715284</v>
      </c>
      <c r="BP48" s="69">
        <f t="shared" si="40"/>
        <v>0</v>
      </c>
      <c r="BQ48" s="69">
        <f t="shared" si="41"/>
        <v>0</v>
      </c>
      <c r="BR48" s="69">
        <f t="shared" si="8"/>
        <v>0</v>
      </c>
      <c r="BS48" s="69">
        <f t="shared" si="42"/>
        <v>0</v>
      </c>
      <c r="BU48" s="82">
        <v>45046.802083333336</v>
      </c>
      <c r="BV48" s="112">
        <v>4.8170641E-2</v>
      </c>
      <c r="BW48" s="83">
        <v>83.586986100000004</v>
      </c>
      <c r="BX48" s="112">
        <v>6007</v>
      </c>
      <c r="BY48" s="83">
        <f t="shared" si="58"/>
        <v>100.11666666666666</v>
      </c>
      <c r="BZ48" s="84">
        <f t="shared" si="59"/>
        <v>4.8226840081166662</v>
      </c>
      <c r="CA48" s="83">
        <f t="shared" si="60"/>
        <v>80.252786642949317</v>
      </c>
      <c r="CC48" s="87">
        <v>45047.71875</v>
      </c>
      <c r="CD48" s="109">
        <v>3.8870706739779902E-2</v>
      </c>
      <c r="CE48" s="88">
        <v>84.020316870000002</v>
      </c>
      <c r="CF48" s="89">
        <v>6747</v>
      </c>
      <c r="CG48" s="90">
        <f t="shared" si="43"/>
        <v>112.45</v>
      </c>
      <c r="CH48" s="91">
        <f t="shared" si="44"/>
        <v>4.37101097288825</v>
      </c>
      <c r="CI48" s="91">
        <f t="shared" si="45"/>
        <v>76.479765477308888</v>
      </c>
      <c r="CK48" s="93">
        <v>45049.71875</v>
      </c>
      <c r="CL48">
        <v>0.116324421671541</v>
      </c>
      <c r="CM48" s="95">
        <v>112.18199679999999</v>
      </c>
      <c r="CN48" s="4">
        <v>3342</v>
      </c>
      <c r="CO48" s="95">
        <f t="shared" si="46"/>
        <v>55.7</v>
      </c>
      <c r="CP48" s="94">
        <f t="shared" si="47"/>
        <v>6.4792702871048338</v>
      </c>
      <c r="CQ48" s="96">
        <f t="shared" si="48"/>
        <v>92.738042042116604</v>
      </c>
      <c r="CS48" s="10">
        <v>45050.979166666664</v>
      </c>
      <c r="CT48" s="110">
        <v>7.8127255268186799E-2</v>
      </c>
      <c r="CU48" s="21">
        <v>107.8305381</v>
      </c>
      <c r="CV48" s="111">
        <v>4667</v>
      </c>
      <c r="CW48" s="21">
        <f t="shared" si="49"/>
        <v>77.783333333333331</v>
      </c>
      <c r="CX48" s="21">
        <f t="shared" si="50"/>
        <v>6.0769983389437963</v>
      </c>
      <c r="CY48" s="21">
        <f t="shared" si="51"/>
        <v>89.872361534852587</v>
      </c>
    </row>
    <row r="49" spans="1:103" x14ac:dyDescent="0.25">
      <c r="A49" s="10">
        <v>44776.479861111111</v>
      </c>
      <c r="B49" s="11">
        <v>1.88072315721025E-3</v>
      </c>
      <c r="C49" s="12">
        <v>0.69552619199999999</v>
      </c>
      <c r="D49" s="9">
        <v>127</v>
      </c>
      <c r="E49" s="13">
        <f t="shared" si="12"/>
        <v>2.1166666666666667</v>
      </c>
      <c r="F49" s="12">
        <f t="shared" si="52"/>
        <v>3.9808640160950296E-3</v>
      </c>
      <c r="G49" s="13">
        <f t="shared" si="14"/>
        <v>2.4806328887058307</v>
      </c>
      <c r="H49" s="11">
        <f t="shared" si="15"/>
        <v>0</v>
      </c>
      <c r="I49" s="125">
        <f t="shared" si="16"/>
        <v>0</v>
      </c>
      <c r="J49" s="21">
        <f>IF((F49-$K$96)/($I$96-$K$96)&lt;0, 0, IF((F49-$K$96)/($I$96-$K$96)&gt;1, 1, (F49-$K$96)/($I$96-$K$96)))</f>
        <v>9.9911076845549197E-5</v>
      </c>
      <c r="K49" s="125">
        <f t="shared" si="17"/>
        <v>2.4784270316908493E-4</v>
      </c>
      <c r="M49" s="25">
        <v>44781.479861111111</v>
      </c>
      <c r="N49" s="26">
        <v>3.35735845027515E-3</v>
      </c>
      <c r="O49" s="27">
        <v>1.251653779</v>
      </c>
      <c r="P49" s="28">
        <v>837</v>
      </c>
      <c r="Q49" s="29">
        <f t="shared" si="18"/>
        <v>13.95</v>
      </c>
      <c r="R49" s="26">
        <f t="shared" si="53"/>
        <v>4.6835150381338342E-2</v>
      </c>
      <c r="S49" s="29">
        <f t="shared" si="19"/>
        <v>8.2953107824859842</v>
      </c>
      <c r="T49" s="29">
        <f t="shared" si="20"/>
        <v>0</v>
      </c>
      <c r="U49" s="126">
        <f t="shared" si="21"/>
        <v>0</v>
      </c>
      <c r="V49" s="128">
        <f>IF((R49-$W$102)/($U$101-$W$102)&lt;0, 0, IF((R49-$W$102)/($U$101-$W$102)&gt;1, 1, (R49-$W$102)/($U$101-$W$102)))</f>
        <v>5.0483250182856284E-4</v>
      </c>
      <c r="W49" s="126">
        <f t="shared" si="22"/>
        <v>4.1877424957678525E-3</v>
      </c>
      <c r="Y49" s="35">
        <v>45136.479166666664</v>
      </c>
      <c r="Z49" s="71">
        <v>4.9496387641399797E-3</v>
      </c>
      <c r="AA49" s="70">
        <v>0.56216848100000005</v>
      </c>
      <c r="AB49" s="36">
        <v>2314</v>
      </c>
      <c r="AC49" s="37">
        <f t="shared" si="23"/>
        <v>38.56666666666667</v>
      </c>
      <c r="AD49" s="37">
        <f t="shared" si="54"/>
        <v>0.19089106833699857</v>
      </c>
      <c r="AE49" s="38">
        <f t="shared" si="24"/>
        <v>16.506473735075257</v>
      </c>
      <c r="AF49" s="38">
        <f t="shared" si="25"/>
        <v>0</v>
      </c>
      <c r="AG49" s="38">
        <f t="shared" si="26"/>
        <v>0</v>
      </c>
      <c r="AH49" s="38">
        <f t="shared" si="2"/>
        <v>0</v>
      </c>
      <c r="AI49" s="38">
        <f t="shared" si="27"/>
        <v>0</v>
      </c>
      <c r="AK49" s="45">
        <v>45151.479166666664</v>
      </c>
      <c r="AL49" s="4">
        <v>3.59740281805622E-3</v>
      </c>
      <c r="AM49" s="3">
        <v>0.42386643899999998</v>
      </c>
      <c r="AN49" s="4">
        <v>602</v>
      </c>
      <c r="AO49" s="46">
        <f t="shared" si="28"/>
        <v>10.033333333333333</v>
      </c>
      <c r="AP49" s="47">
        <f t="shared" si="55"/>
        <v>3.6093941607830742E-2</v>
      </c>
      <c r="AQ49" s="50">
        <f t="shared" si="29"/>
        <v>7.3017872516010875</v>
      </c>
      <c r="AR49" s="50">
        <f t="shared" si="30"/>
        <v>0</v>
      </c>
      <c r="AS49" s="50">
        <f t="shared" si="31"/>
        <v>0</v>
      </c>
      <c r="AT49" s="50">
        <f t="shared" si="4"/>
        <v>0</v>
      </c>
      <c r="AU49" s="50">
        <f t="shared" si="32"/>
        <v>0</v>
      </c>
      <c r="AW49" s="51">
        <v>45166.479166666664</v>
      </c>
      <c r="AX49" s="72">
        <v>8.2288900462328396E-3</v>
      </c>
      <c r="AY49" s="73">
        <v>0.377160934</v>
      </c>
      <c r="AZ49" s="52">
        <v>4056</v>
      </c>
      <c r="BA49" s="53">
        <f t="shared" si="33"/>
        <v>67.599999999999994</v>
      </c>
      <c r="BB49" s="72">
        <f t="shared" si="56"/>
        <v>0.55627296712533991</v>
      </c>
      <c r="BC49" s="54">
        <f t="shared" si="34"/>
        <v>27.868981957172135</v>
      </c>
      <c r="BD49" s="54">
        <f t="shared" si="35"/>
        <v>0</v>
      </c>
      <c r="BE49" s="54">
        <f t="shared" si="36"/>
        <v>0</v>
      </c>
      <c r="BF49" s="54">
        <f t="shared" si="6"/>
        <v>0</v>
      </c>
      <c r="BG49" s="54">
        <f t="shared" si="37"/>
        <v>0</v>
      </c>
      <c r="BI49" s="66">
        <v>45183.479166666664</v>
      </c>
      <c r="BJ49" s="67">
        <v>4.9756135295642096E-3</v>
      </c>
      <c r="BK49" s="68">
        <v>0.44894941300000002</v>
      </c>
      <c r="BL49" s="68">
        <v>1271</v>
      </c>
      <c r="BM49" s="68">
        <f t="shared" si="38"/>
        <v>21.183333333333334</v>
      </c>
      <c r="BN49" s="68">
        <f t="shared" si="57"/>
        <v>0.10540007993460183</v>
      </c>
      <c r="BO49" s="69">
        <f t="shared" si="39"/>
        <v>12.340671763483735</v>
      </c>
      <c r="BP49" s="69">
        <f t="shared" si="40"/>
        <v>0</v>
      </c>
      <c r="BQ49" s="69">
        <f t="shared" si="41"/>
        <v>0</v>
      </c>
      <c r="BR49" s="69">
        <f t="shared" si="8"/>
        <v>0</v>
      </c>
      <c r="BS49" s="69">
        <f t="shared" si="42"/>
        <v>0</v>
      </c>
      <c r="BU49" s="82">
        <v>45046.8125</v>
      </c>
      <c r="BV49" s="112">
        <v>4.5163926E-2</v>
      </c>
      <c r="BW49" s="83">
        <v>85.762083380000007</v>
      </c>
      <c r="BX49" s="112">
        <v>6513</v>
      </c>
      <c r="BY49" s="83">
        <f t="shared" si="58"/>
        <v>108.55</v>
      </c>
      <c r="BZ49" s="84">
        <f t="shared" si="59"/>
        <v>4.9025441673000003</v>
      </c>
      <c r="CA49" s="83">
        <f t="shared" si="60"/>
        <v>80.900835828363043</v>
      </c>
      <c r="CC49" s="87">
        <v>45047.729166666664</v>
      </c>
      <c r="CD49" s="109">
        <v>3.8969982262399602E-2</v>
      </c>
      <c r="CE49" s="88">
        <v>85.323607859999996</v>
      </c>
      <c r="CF49" s="89">
        <v>6626</v>
      </c>
      <c r="CG49" s="90">
        <f t="shared" si="43"/>
        <v>110.43333333333334</v>
      </c>
      <c r="CH49" s="91">
        <f t="shared" si="44"/>
        <v>4.3035850411776631</v>
      </c>
      <c r="CI49" s="91">
        <f t="shared" si="45"/>
        <v>75.899748061847362</v>
      </c>
      <c r="CK49" s="93">
        <v>45049.729166666664</v>
      </c>
      <c r="CL49">
        <v>9.7484018750784399E-2</v>
      </c>
      <c r="CM49" s="95">
        <v>105.0166174</v>
      </c>
      <c r="CN49" s="4">
        <v>3590</v>
      </c>
      <c r="CO49" s="95">
        <f t="shared" si="46"/>
        <v>59.833333333333336</v>
      </c>
      <c r="CP49" s="94">
        <f t="shared" si="47"/>
        <v>5.8327937885886003</v>
      </c>
      <c r="CQ49" s="96">
        <f t="shared" si="48"/>
        <v>88.085287232976739</v>
      </c>
      <c r="CS49" s="10">
        <v>45050.989583333336</v>
      </c>
      <c r="CT49" s="110">
        <v>8.6189387700503398E-2</v>
      </c>
      <c r="CU49" s="21">
        <v>109.0251016</v>
      </c>
      <c r="CV49" s="111">
        <v>4667</v>
      </c>
      <c r="CW49" s="21">
        <f t="shared" si="49"/>
        <v>77.783333333333331</v>
      </c>
      <c r="CX49" s="21">
        <f t="shared" si="50"/>
        <v>6.7040978733041561</v>
      </c>
      <c r="CY49" s="21">
        <f t="shared" si="51"/>
        <v>94.300166620277253</v>
      </c>
    </row>
    <row r="50" spans="1:103" x14ac:dyDescent="0.25">
      <c r="A50" s="10">
        <v>44776.490277777775</v>
      </c>
      <c r="B50" s="11">
        <v>1.49764535066663E-3</v>
      </c>
      <c r="C50" s="12">
        <v>0.73331566249999902</v>
      </c>
      <c r="D50" s="9">
        <v>110</v>
      </c>
      <c r="E50" s="13">
        <f t="shared" si="12"/>
        <v>1.8333333333333333</v>
      </c>
      <c r="F50" s="12">
        <f t="shared" si="52"/>
        <v>2.7456831428888215E-3</v>
      </c>
      <c r="G50" s="13">
        <f t="shared" si="14"/>
        <v>2.0680484163617989</v>
      </c>
      <c r="H50" s="11">
        <f t="shared" si="15"/>
        <v>7.5042859904019042E-4</v>
      </c>
      <c r="I50" s="125">
        <f t="shared" si="16"/>
        <v>1.5519226758376691E-3</v>
      </c>
      <c r="J50" s="21">
        <f>IF((F50-$K$96)/($I$96-$K$96)&lt;0, 0, IF((F50-$K$96)/($I$96-$K$96)&gt;1, 1, (F50-$K$96)/($I$96-$K$96)))</f>
        <v>0</v>
      </c>
      <c r="K50" s="125">
        <f t="shared" si="17"/>
        <v>0</v>
      </c>
      <c r="M50" s="25">
        <v>44781.490277777775</v>
      </c>
      <c r="N50" s="26">
        <v>3.3282184882447402E-3</v>
      </c>
      <c r="O50" s="27">
        <v>1.2937263295000001</v>
      </c>
      <c r="P50" s="28">
        <v>901</v>
      </c>
      <c r="Q50" s="29">
        <f t="shared" si="18"/>
        <v>15.016666666666667</v>
      </c>
      <c r="R50" s="26">
        <f t="shared" si="53"/>
        <v>4.9978747631808519E-2</v>
      </c>
      <c r="S50" s="29">
        <f t="shared" si="19"/>
        <v>8.5634504287651811</v>
      </c>
      <c r="T50" s="29">
        <f t="shared" si="20"/>
        <v>3.4689401364954089E-5</v>
      </c>
      <c r="U50" s="126">
        <f t="shared" si="21"/>
        <v>2.9706096899232353E-4</v>
      </c>
      <c r="V50" s="128">
        <f>IF((R50-$W$102)/($U$101-$W$102)&lt;0, 0, IF((R50-$W$102)/($U$101-$W$102)&gt;1, 1, (R50-$W$102)/($U$101-$W$102)))</f>
        <v>2.0983321608935234E-3</v>
      </c>
      <c r="W50" s="126">
        <f t="shared" si="22"/>
        <v>1.7968963442895412E-2</v>
      </c>
      <c r="Y50" s="35">
        <v>45136.489583333336</v>
      </c>
      <c r="Z50" s="71">
        <v>7.5254533645734796E-3</v>
      </c>
      <c r="AA50" s="70">
        <v>0.73432993800000002</v>
      </c>
      <c r="AB50" s="36">
        <v>3094</v>
      </c>
      <c r="AC50" s="37">
        <f t="shared" si="23"/>
        <v>51.56666666666667</v>
      </c>
      <c r="AD50" s="37">
        <f t="shared" si="54"/>
        <v>0.38806254516650579</v>
      </c>
      <c r="AE50" s="38">
        <f t="shared" si="24"/>
        <v>23.363546554934821</v>
      </c>
      <c r="AF50" s="38">
        <f t="shared" si="25"/>
        <v>0</v>
      </c>
      <c r="AG50" s="38">
        <f t="shared" si="26"/>
        <v>0</v>
      </c>
      <c r="AH50" s="38">
        <f t="shared" si="2"/>
        <v>0</v>
      </c>
      <c r="AI50" s="38">
        <f t="shared" si="27"/>
        <v>0</v>
      </c>
      <c r="AK50" s="45">
        <v>45151.489583333336</v>
      </c>
      <c r="AL50" s="4">
        <v>5.3495256449413702E-3</v>
      </c>
      <c r="AM50" s="3">
        <v>0.66228851600000005</v>
      </c>
      <c r="AN50" s="4">
        <v>1439</v>
      </c>
      <c r="AO50" s="46">
        <f t="shared" si="28"/>
        <v>23.983333333333334</v>
      </c>
      <c r="AP50" s="47">
        <f t="shared" si="55"/>
        <v>0.12829945671784387</v>
      </c>
      <c r="AQ50" s="50">
        <f t="shared" si="29"/>
        <v>13.587866952177826</v>
      </c>
      <c r="AR50" s="50">
        <f t="shared" si="30"/>
        <v>3.1070903181179155E-2</v>
      </c>
      <c r="AS50" s="50">
        <f t="shared" si="31"/>
        <v>0.42218729850986114</v>
      </c>
      <c r="AT50" s="50">
        <f t="shared" si="4"/>
        <v>5.9673829080823049E-3</v>
      </c>
      <c r="AU50" s="50">
        <f t="shared" si="32"/>
        <v>8.1084005007722365E-2</v>
      </c>
      <c r="AW50" s="51">
        <v>45166.489583333336</v>
      </c>
      <c r="AX50" s="72">
        <v>1.3045911178820599E-2</v>
      </c>
      <c r="AY50" s="73">
        <v>0.44939223900000003</v>
      </c>
      <c r="AZ50" s="52">
        <v>5197</v>
      </c>
      <c r="BA50" s="53">
        <f t="shared" si="33"/>
        <v>86.61666666666666</v>
      </c>
      <c r="BB50" s="72">
        <f t="shared" si="56"/>
        <v>1.1299933399388442</v>
      </c>
      <c r="BC50" s="54">
        <f t="shared" si="34"/>
        <v>39.431641163362293</v>
      </c>
      <c r="BD50" s="54">
        <f t="shared" si="35"/>
        <v>3.7618062491693006E-2</v>
      </c>
      <c r="BE50" s="54">
        <f t="shared" si="36"/>
        <v>1.4833419414333771</v>
      </c>
      <c r="BF50" s="54">
        <f t="shared" si="6"/>
        <v>7.7160483456111775E-2</v>
      </c>
      <c r="BG50" s="54">
        <f t="shared" si="37"/>
        <v>3.0425644956329525</v>
      </c>
      <c r="BI50" s="66">
        <v>45183.489583333336</v>
      </c>
      <c r="BJ50" s="67">
        <v>4.7343069462729998E-3</v>
      </c>
      <c r="BK50" s="68">
        <v>0.44894941300000002</v>
      </c>
      <c r="BL50" s="68">
        <v>1186</v>
      </c>
      <c r="BM50" s="68">
        <f t="shared" si="38"/>
        <v>19.766666666666666</v>
      </c>
      <c r="BN50" s="68">
        <f t="shared" si="57"/>
        <v>9.3581467304662963E-2</v>
      </c>
      <c r="BO50" s="69">
        <f t="shared" si="39"/>
        <v>11.642473616465129</v>
      </c>
      <c r="BP50" s="69">
        <f t="shared" si="40"/>
        <v>0</v>
      </c>
      <c r="BQ50" s="69">
        <f t="shared" si="41"/>
        <v>0</v>
      </c>
      <c r="BR50" s="69">
        <f t="shared" si="8"/>
        <v>0</v>
      </c>
      <c r="BS50" s="69">
        <f t="shared" si="42"/>
        <v>0</v>
      </c>
      <c r="BU50" s="82">
        <v>45046.822916666664</v>
      </c>
      <c r="BV50" s="112">
        <v>3.8424170000000001E-2</v>
      </c>
      <c r="BW50" s="83">
        <v>84.891986889999998</v>
      </c>
      <c r="BX50" s="112">
        <v>7559</v>
      </c>
      <c r="BY50" s="83">
        <f t="shared" si="58"/>
        <v>125.98333333333333</v>
      </c>
      <c r="BZ50" s="84">
        <f t="shared" si="59"/>
        <v>4.8408050171666668</v>
      </c>
      <c r="CA50" s="83">
        <f t="shared" si="60"/>
        <v>80.400312456493324</v>
      </c>
      <c r="CC50" s="87">
        <v>45047.739583333336</v>
      </c>
      <c r="CD50" s="109">
        <v>4.0596798057392497E-2</v>
      </c>
      <c r="CE50" s="88">
        <v>85.323607859999996</v>
      </c>
      <c r="CF50" s="89">
        <v>6782</v>
      </c>
      <c r="CG50" s="90">
        <f t="shared" si="43"/>
        <v>113.03333333333333</v>
      </c>
      <c r="CH50" s="91">
        <f t="shared" si="44"/>
        <v>4.5887914070872649</v>
      </c>
      <c r="CI50" s="91">
        <f t="shared" si="45"/>
        <v>78.322629276989787</v>
      </c>
      <c r="CK50" s="93">
        <v>45049.739583333336</v>
      </c>
      <c r="CL50">
        <v>9.1606533761781003E-2</v>
      </c>
      <c r="CM50" s="95">
        <v>105.0166174</v>
      </c>
      <c r="CN50" s="4">
        <v>3568</v>
      </c>
      <c r="CO50" s="95">
        <f t="shared" si="46"/>
        <v>59.466666666666669</v>
      </c>
      <c r="CP50" s="94">
        <f t="shared" si="47"/>
        <v>5.447535207700577</v>
      </c>
      <c r="CQ50" s="96">
        <f t="shared" si="48"/>
        <v>85.186496090273181</v>
      </c>
      <c r="CS50" s="10">
        <v>45051</v>
      </c>
      <c r="CT50" s="110">
        <v>8.5362383611256004E-2</v>
      </c>
      <c r="CU50" s="21">
        <v>115.2898797</v>
      </c>
      <c r="CV50" s="111">
        <v>4567</v>
      </c>
      <c r="CW50" s="21">
        <f t="shared" si="49"/>
        <v>76.11666666666666</v>
      </c>
      <c r="CX50" s="21">
        <f t="shared" si="50"/>
        <v>6.497500099210102</v>
      </c>
      <c r="CY50" s="21">
        <f t="shared" si="51"/>
        <v>92.865724924964567</v>
      </c>
    </row>
    <row r="51" spans="1:103" x14ac:dyDescent="0.25">
      <c r="A51" s="10">
        <v>44776.500694444447</v>
      </c>
      <c r="B51" s="11">
        <v>1.44990757909898E-3</v>
      </c>
      <c r="C51" s="12">
        <v>0.74682702999999995</v>
      </c>
      <c r="D51" s="9">
        <v>128</v>
      </c>
      <c r="E51" s="13">
        <f t="shared" si="12"/>
        <v>2.1333333333333333</v>
      </c>
      <c r="F51" s="12">
        <f t="shared" si="52"/>
        <v>3.0931361687444904E-3</v>
      </c>
      <c r="G51" s="13">
        <f t="shared" si="14"/>
        <v>2.1923101887379342</v>
      </c>
      <c r="H51" s="11">
        <f t="shared" si="15"/>
        <v>1.88065366829645E-3</v>
      </c>
      <c r="I51" s="125">
        <f t="shared" si="16"/>
        <v>4.1229761984936785E-3</v>
      </c>
      <c r="J51" s="21">
        <f>IF((F51-$K$96)/($I$96-$K$96)&lt;0, 0, IF((F51-$K$96)/($I$96-$K$96)&gt;1, 1, (F51-$K$96)/($I$96-$K$96)))</f>
        <v>0</v>
      </c>
      <c r="K51" s="125">
        <f t="shared" si="17"/>
        <v>0</v>
      </c>
      <c r="M51" s="25">
        <v>44781.500694444447</v>
      </c>
      <c r="N51" s="26">
        <v>3.0087789011748198E-3</v>
      </c>
      <c r="O51" s="27">
        <v>1.1877777380000001</v>
      </c>
      <c r="P51" s="28">
        <v>844</v>
      </c>
      <c r="Q51" s="29">
        <f t="shared" si="18"/>
        <v>14.066666666666666</v>
      </c>
      <c r="R51" s="26">
        <f t="shared" si="53"/>
        <v>4.2323489876525795E-2</v>
      </c>
      <c r="S51" s="29">
        <f t="shared" si="19"/>
        <v>7.8938803457987481</v>
      </c>
      <c r="T51" s="29">
        <f t="shared" si="20"/>
        <v>0</v>
      </c>
      <c r="U51" s="126">
        <f t="shared" si="21"/>
        <v>0</v>
      </c>
      <c r="V51" s="128">
        <f>IF((R51-$W$102)/($U$101-$W$102)&lt;0, 0, IF((R51-$W$102)/($U$101-$W$102)&gt;1, 1, (R51-$W$102)/($U$101-$W$102)))</f>
        <v>0</v>
      </c>
      <c r="W51" s="126">
        <f t="shared" si="22"/>
        <v>0</v>
      </c>
      <c r="Y51" s="35">
        <v>45136.5</v>
      </c>
      <c r="Z51" s="71">
        <v>9.0030645332755295E-3</v>
      </c>
      <c r="AA51" s="70">
        <v>0.85462156099999997</v>
      </c>
      <c r="AB51" s="36">
        <v>3866</v>
      </c>
      <c r="AC51" s="37">
        <f t="shared" si="23"/>
        <v>64.433333333333337</v>
      </c>
      <c r="AD51" s="37">
        <f t="shared" si="54"/>
        <v>0.58009745809405333</v>
      </c>
      <c r="AE51" s="38">
        <f t="shared" si="24"/>
        <v>28.447231957877804</v>
      </c>
      <c r="AF51" s="38">
        <f t="shared" si="25"/>
        <v>0</v>
      </c>
      <c r="AG51" s="38">
        <f t="shared" si="26"/>
        <v>0</v>
      </c>
      <c r="AH51" s="38">
        <f t="shared" si="2"/>
        <v>2.6110825297917785E-2</v>
      </c>
      <c r="AI51" s="38">
        <f t="shared" si="27"/>
        <v>0.74278070386149109</v>
      </c>
      <c r="AK51" s="45">
        <v>45151.5</v>
      </c>
      <c r="AL51" s="4">
        <v>4.09028408030315E-3</v>
      </c>
      <c r="AM51" s="3">
        <v>0.53201108200000002</v>
      </c>
      <c r="AN51" s="4">
        <v>1006</v>
      </c>
      <c r="AO51" s="46">
        <f t="shared" si="28"/>
        <v>16.766666666666666</v>
      </c>
      <c r="AP51" s="47">
        <f t="shared" si="55"/>
        <v>6.8580429746416149E-2</v>
      </c>
      <c r="AQ51" s="50">
        <f t="shared" si="29"/>
        <v>9.9986376926468417</v>
      </c>
      <c r="AR51" s="50">
        <f t="shared" si="30"/>
        <v>0</v>
      </c>
      <c r="AS51" s="50">
        <f t="shared" si="31"/>
        <v>0</v>
      </c>
      <c r="AT51" s="50">
        <f t="shared" si="4"/>
        <v>0</v>
      </c>
      <c r="AU51" s="50">
        <f t="shared" si="32"/>
        <v>0</v>
      </c>
      <c r="AW51" s="51">
        <v>45166.5</v>
      </c>
      <c r="AX51" s="72">
        <v>8.9315088498678995E-3</v>
      </c>
      <c r="AY51" s="73">
        <v>0.33439968599999997</v>
      </c>
      <c r="AZ51" s="52">
        <v>3374</v>
      </c>
      <c r="BA51" s="53">
        <f t="shared" si="33"/>
        <v>56.233333333333334</v>
      </c>
      <c r="BB51" s="72">
        <f t="shared" si="56"/>
        <v>0.50224851432423823</v>
      </c>
      <c r="BC51" s="54">
        <f t="shared" si="34"/>
        <v>26.50900706392347</v>
      </c>
      <c r="BD51" s="54">
        <f t="shared" si="35"/>
        <v>0</v>
      </c>
      <c r="BE51" s="54">
        <f t="shared" si="36"/>
        <v>0</v>
      </c>
      <c r="BF51" s="54">
        <f t="shared" si="6"/>
        <v>0</v>
      </c>
      <c r="BG51" s="54">
        <f t="shared" si="37"/>
        <v>0</v>
      </c>
      <c r="BI51" s="66">
        <v>45183.5</v>
      </c>
      <c r="BJ51" s="67">
        <v>4.7910827052805201E-3</v>
      </c>
      <c r="BK51" s="68">
        <v>0.44894941300000002</v>
      </c>
      <c r="BL51" s="68">
        <v>1296</v>
      </c>
      <c r="BM51" s="68">
        <f t="shared" si="38"/>
        <v>21.6</v>
      </c>
      <c r="BN51" s="68">
        <f t="shared" si="57"/>
        <v>0.10348738643405923</v>
      </c>
      <c r="BO51" s="69">
        <f t="shared" si="39"/>
        <v>12.230492954276334</v>
      </c>
      <c r="BP51" s="69">
        <f t="shared" si="40"/>
        <v>0</v>
      </c>
      <c r="BQ51" s="69">
        <f t="shared" si="41"/>
        <v>0</v>
      </c>
      <c r="BR51" s="69">
        <f t="shared" si="8"/>
        <v>0</v>
      </c>
      <c r="BS51" s="69">
        <f t="shared" si="42"/>
        <v>0</v>
      </c>
      <c r="BU51" s="82">
        <v>45046.833333333336</v>
      </c>
      <c r="BV51" s="112">
        <v>3.7696868000000001E-2</v>
      </c>
      <c r="BW51" s="83">
        <v>83.586986100000004</v>
      </c>
      <c r="BX51" s="112">
        <v>7781</v>
      </c>
      <c r="BY51" s="83">
        <f t="shared" si="58"/>
        <v>129.68333333333334</v>
      </c>
      <c r="BZ51" s="84">
        <f t="shared" si="59"/>
        <v>4.888655498466667</v>
      </c>
      <c r="CA51" s="83">
        <f t="shared" si="60"/>
        <v>80.788521161062619</v>
      </c>
      <c r="CC51" s="87">
        <v>45047.75</v>
      </c>
      <c r="CD51" s="109">
        <v>4.1567105547000299E-2</v>
      </c>
      <c r="CE51" s="88">
        <v>86.192545629999998</v>
      </c>
      <c r="CF51" s="89">
        <v>6764</v>
      </c>
      <c r="CG51" s="90">
        <f t="shared" si="43"/>
        <v>112.73333333333333</v>
      </c>
      <c r="CH51" s="91">
        <f t="shared" si="44"/>
        <v>4.6859983653318338</v>
      </c>
      <c r="CI51" s="91">
        <f t="shared" si="45"/>
        <v>79.130770975385673</v>
      </c>
      <c r="CK51" s="93">
        <v>45049.75</v>
      </c>
      <c r="CL51">
        <v>0.104428712593764</v>
      </c>
      <c r="CM51" s="95">
        <v>109.0251016</v>
      </c>
      <c r="CN51" s="4">
        <v>3686</v>
      </c>
      <c r="CO51" s="95">
        <f t="shared" si="46"/>
        <v>61.43333333333333</v>
      </c>
      <c r="CP51" s="94">
        <f t="shared" si="47"/>
        <v>6.4154039103435681</v>
      </c>
      <c r="CQ51" s="96">
        <f t="shared" si="48"/>
        <v>92.289265097919056</v>
      </c>
      <c r="CS51" s="10">
        <v>45051.010416666664</v>
      </c>
      <c r="CT51" s="110">
        <v>9.1677339327990895E-2</v>
      </c>
      <c r="CU51" s="21">
        <v>104.61473460000001</v>
      </c>
      <c r="CV51" s="111">
        <v>4519</v>
      </c>
      <c r="CW51" s="21">
        <f t="shared" si="49"/>
        <v>75.316666666666663</v>
      </c>
      <c r="CX51" s="21">
        <f t="shared" si="50"/>
        <v>6.9048316070531808</v>
      </c>
      <c r="CY51" s="21">
        <f t="shared" si="51"/>
        <v>95.672442518428866</v>
      </c>
    </row>
    <row r="52" spans="1:103" x14ac:dyDescent="0.25">
      <c r="A52" s="10">
        <v>44776.511111111111</v>
      </c>
      <c r="B52" s="11">
        <v>1.6445534406063201E-3</v>
      </c>
      <c r="C52" s="12">
        <v>0.76967573</v>
      </c>
      <c r="D52" s="9">
        <v>131</v>
      </c>
      <c r="E52" s="13">
        <f t="shared" si="12"/>
        <v>2.1833333333333331</v>
      </c>
      <c r="F52" s="12">
        <f t="shared" si="52"/>
        <v>3.5906083453237985E-3</v>
      </c>
      <c r="G52" s="13">
        <f t="shared" si="14"/>
        <v>2.3584103922725554</v>
      </c>
      <c r="H52" s="11">
        <f t="shared" si="15"/>
        <v>3.7919460330340525E-3</v>
      </c>
      <c r="I52" s="125">
        <f t="shared" si="16"/>
        <v>8.942964931244201E-3</v>
      </c>
      <c r="J52" s="21">
        <f>IF((F52-$K$96)/($I$96-$K$96)&lt;0, 0, IF((F52-$K$96)/($I$96-$K$96)&gt;1, 1, (F52-$K$96)/($I$96-$K$96)))</f>
        <v>1.8974947957703574E-5</v>
      </c>
      <c r="K52" s="125">
        <f t="shared" si="17"/>
        <v>4.4750714456279013E-5</v>
      </c>
      <c r="M52" s="25">
        <v>44781.511111111111</v>
      </c>
      <c r="N52" s="26">
        <v>3.6192184068272399E-3</v>
      </c>
      <c r="O52" s="27">
        <v>1.141804142</v>
      </c>
      <c r="P52" s="28">
        <v>754</v>
      </c>
      <c r="Q52" s="29">
        <f t="shared" si="18"/>
        <v>12.566666666666666</v>
      </c>
      <c r="R52" s="26">
        <f t="shared" si="53"/>
        <v>4.5481511312462315E-2</v>
      </c>
      <c r="S52" s="29">
        <f t="shared" si="19"/>
        <v>8.1770252175386684</v>
      </c>
      <c r="T52" s="29">
        <f t="shared" si="20"/>
        <v>0</v>
      </c>
      <c r="U52" s="126">
        <f t="shared" si="21"/>
        <v>0</v>
      </c>
      <c r="V52" s="128">
        <f>IF((R52-$W$102)/($U$101-$W$102)&lt;0, 0, IF((R52-$W$102)/($U$101-$W$102)&gt;1, 1, (R52-$W$102)/($U$101-$W$102)))</f>
        <v>0</v>
      </c>
      <c r="W52" s="126">
        <f t="shared" si="22"/>
        <v>0</v>
      </c>
      <c r="Y52" s="35">
        <v>45136.510416666664</v>
      </c>
      <c r="Z52" s="71">
        <v>5.9519933653504999E-3</v>
      </c>
      <c r="AA52" s="70">
        <v>0.772537527</v>
      </c>
      <c r="AB52" s="36">
        <v>3095</v>
      </c>
      <c r="AC52" s="37">
        <f t="shared" si="23"/>
        <v>51.583333333333336</v>
      </c>
      <c r="AD52" s="37">
        <f t="shared" si="54"/>
        <v>0.30702365776266333</v>
      </c>
      <c r="AE52" s="38">
        <f t="shared" si="24"/>
        <v>20.83155278206107</v>
      </c>
      <c r="AF52" s="38">
        <f t="shared" si="25"/>
        <v>0</v>
      </c>
      <c r="AG52" s="38">
        <f t="shared" si="26"/>
        <v>0</v>
      </c>
      <c r="AH52" s="38">
        <f t="shared" si="2"/>
        <v>0</v>
      </c>
      <c r="AI52" s="38">
        <f t="shared" si="27"/>
        <v>0</v>
      </c>
      <c r="AK52" s="45">
        <v>45151.510416666664</v>
      </c>
      <c r="AL52" s="4">
        <v>4.6310378051022498E-3</v>
      </c>
      <c r="AM52" s="3">
        <v>0.53201108200000002</v>
      </c>
      <c r="AN52" s="4">
        <v>996</v>
      </c>
      <c r="AO52" s="46">
        <f t="shared" si="28"/>
        <v>16.600000000000001</v>
      </c>
      <c r="AP52" s="47">
        <f t="shared" si="55"/>
        <v>7.6875227564697349E-2</v>
      </c>
      <c r="AQ52" s="50">
        <f t="shared" si="29"/>
        <v>10.57360785955937</v>
      </c>
      <c r="AR52" s="50">
        <f t="shared" si="30"/>
        <v>0</v>
      </c>
      <c r="AS52" s="50">
        <f t="shared" si="31"/>
        <v>0</v>
      </c>
      <c r="AT52" s="50">
        <f t="shared" si="4"/>
        <v>0</v>
      </c>
      <c r="AU52" s="50">
        <f t="shared" si="32"/>
        <v>0</v>
      </c>
      <c r="AW52" s="51">
        <v>45166.510416666664</v>
      </c>
      <c r="AX52" s="72">
        <v>5.6741231058604902E-2</v>
      </c>
      <c r="AY52" s="73">
        <v>2.247064306</v>
      </c>
      <c r="AZ52" s="52">
        <v>7302</v>
      </c>
      <c r="BA52" s="53">
        <f t="shared" si="33"/>
        <v>121.7</v>
      </c>
      <c r="BB52" s="72">
        <f t="shared" si="56"/>
        <v>6.9054078198322166</v>
      </c>
      <c r="BC52" s="54">
        <f t="shared" si="34"/>
        <v>95.676352165121884</v>
      </c>
      <c r="BD52" s="54">
        <f t="shared" si="35"/>
        <v>1</v>
      </c>
      <c r="BE52" s="54">
        <f t="shared" si="36"/>
        <v>95.676352165121884</v>
      </c>
      <c r="BF52" s="54">
        <f t="shared" si="6"/>
        <v>1</v>
      </c>
      <c r="BG52" s="54">
        <f t="shared" si="37"/>
        <v>95.676352165121884</v>
      </c>
      <c r="BI52" s="66">
        <v>45183.510416666664</v>
      </c>
      <c r="BJ52" s="67">
        <v>7.2708837491915496E-3</v>
      </c>
      <c r="BK52" s="68">
        <v>0.44894941300000002</v>
      </c>
      <c r="BL52" s="68">
        <v>1306</v>
      </c>
      <c r="BM52" s="68">
        <f t="shared" si="38"/>
        <v>21.766666666666666</v>
      </c>
      <c r="BN52" s="68">
        <f t="shared" si="57"/>
        <v>0.15826290294073606</v>
      </c>
      <c r="BO52" s="69">
        <f t="shared" si="39"/>
        <v>15.058771778320695</v>
      </c>
      <c r="BP52" s="69">
        <f t="shared" si="40"/>
        <v>0</v>
      </c>
      <c r="BQ52" s="69">
        <f t="shared" si="41"/>
        <v>0</v>
      </c>
      <c r="BR52" s="69">
        <f t="shared" si="8"/>
        <v>0</v>
      </c>
      <c r="BS52" s="69">
        <f t="shared" si="42"/>
        <v>0</v>
      </c>
      <c r="BU52" s="82">
        <v>45046.84375</v>
      </c>
      <c r="BV52" s="112">
        <v>4.0805168000000003E-2</v>
      </c>
      <c r="BW52" s="83">
        <v>85.762083380000007</v>
      </c>
      <c r="BX52" s="112">
        <v>7657</v>
      </c>
      <c r="BY52" s="83">
        <f t="shared" si="58"/>
        <v>127.61666666666666</v>
      </c>
      <c r="BZ52" s="84">
        <f t="shared" si="59"/>
        <v>5.2074195229333338</v>
      </c>
      <c r="CA52" s="83">
        <f t="shared" si="60"/>
        <v>83.326600419213051</v>
      </c>
      <c r="CC52" s="87">
        <v>45047.760416666664</v>
      </c>
      <c r="CD52" s="109">
        <v>4.1827051271433102E-2</v>
      </c>
      <c r="CE52" s="88">
        <v>82.711152870000006</v>
      </c>
      <c r="CF52" s="89">
        <v>7136</v>
      </c>
      <c r="CG52" s="90">
        <f t="shared" si="43"/>
        <v>118.93333333333334</v>
      </c>
      <c r="CH52" s="91">
        <f t="shared" si="44"/>
        <v>4.9746306312157769</v>
      </c>
      <c r="CI52" s="91">
        <f t="shared" si="45"/>
        <v>81.481192405152612</v>
      </c>
      <c r="CK52" s="93">
        <v>45049.760416666664</v>
      </c>
      <c r="CL52">
        <v>9.7533989993822706E-2</v>
      </c>
      <c r="CM52" s="95">
        <v>123.998997</v>
      </c>
      <c r="CN52" s="4">
        <v>3381</v>
      </c>
      <c r="CO52" s="95">
        <f t="shared" si="46"/>
        <v>56.35</v>
      </c>
      <c r="CP52" s="94">
        <f t="shared" si="47"/>
        <v>5.4960403361519097</v>
      </c>
      <c r="CQ52" s="96">
        <f t="shared" si="48"/>
        <v>85.557095819920633</v>
      </c>
      <c r="CS52" s="10">
        <v>45051.020833333336</v>
      </c>
      <c r="CT52" s="110">
        <v>7.8003327691375204E-2</v>
      </c>
      <c r="CU52" s="21">
        <v>110.9974619</v>
      </c>
      <c r="CV52" s="111">
        <v>4510</v>
      </c>
      <c r="CW52" s="21">
        <f t="shared" si="49"/>
        <v>75.166666666666671</v>
      </c>
      <c r="CX52" s="21">
        <f t="shared" si="50"/>
        <v>5.8632501314683703</v>
      </c>
      <c r="CY52" s="21">
        <f t="shared" si="51"/>
        <v>88.310222285266121</v>
      </c>
    </row>
    <row r="53" spans="1:103" x14ac:dyDescent="0.25">
      <c r="A53" s="10">
        <v>44776.521527777775</v>
      </c>
      <c r="B53" s="11">
        <v>1.49849804631073E-3</v>
      </c>
      <c r="C53" s="12">
        <v>0.7477791265</v>
      </c>
      <c r="D53" s="9">
        <v>146</v>
      </c>
      <c r="E53" s="13">
        <f t="shared" si="12"/>
        <v>2.4333333333333331</v>
      </c>
      <c r="F53" s="12">
        <f t="shared" si="52"/>
        <v>3.646345246022776E-3</v>
      </c>
      <c r="G53" s="13">
        <f t="shared" si="14"/>
        <v>2.3762676229922564</v>
      </c>
      <c r="H53" s="11">
        <f t="shared" si="15"/>
        <v>1.9602964825897575E-3</v>
      </c>
      <c r="I53" s="125">
        <f t="shared" si="16"/>
        <v>4.6581890630436442E-3</v>
      </c>
      <c r="J53" s="21">
        <f>IF((F53-$K$96)/($I$96-$K$96)&lt;0, 0, IF((F53-$K$96)/($I$96-$K$96)&gt;1, 1, (F53-$K$96)/($I$96-$K$96)))</f>
        <v>3.0534367375918582E-5</v>
      </c>
      <c r="K53" s="125">
        <f t="shared" si="17"/>
        <v>7.2557828583946345E-5</v>
      </c>
      <c r="M53" s="25">
        <v>44781.521527777775</v>
      </c>
      <c r="N53" s="26">
        <v>3.45172323880017E-3</v>
      </c>
      <c r="O53" s="27">
        <v>1.2578480294999901</v>
      </c>
      <c r="P53" s="28">
        <v>769</v>
      </c>
      <c r="Q53" s="29">
        <f t="shared" si="18"/>
        <v>12.816666666666666</v>
      </c>
      <c r="R53" s="26">
        <f t="shared" si="53"/>
        <v>4.4239586177288848E-2</v>
      </c>
      <c r="S53" s="29">
        <f t="shared" si="19"/>
        <v>8.066911022859431</v>
      </c>
      <c r="T53" s="29">
        <f t="shared" si="20"/>
        <v>0</v>
      </c>
      <c r="U53" s="126">
        <f t="shared" si="21"/>
        <v>0</v>
      </c>
      <c r="V53" s="128">
        <f>IF((R53-$W$102)/($U$101-$W$102)&lt;0, 0, IF((R53-$W$102)/($U$101-$W$102)&gt;1, 1, (R53-$W$102)/($U$101-$W$102)))</f>
        <v>0</v>
      </c>
      <c r="W53" s="126">
        <f t="shared" si="22"/>
        <v>0</v>
      </c>
      <c r="Y53" s="35">
        <v>45136.520833333336</v>
      </c>
      <c r="Z53" s="71">
        <v>6.0874473409900402E-3</v>
      </c>
      <c r="AA53" s="70">
        <v>0.85462156099999997</v>
      </c>
      <c r="AB53" s="36">
        <v>3532</v>
      </c>
      <c r="AC53" s="37">
        <f t="shared" si="23"/>
        <v>58.866666666666667</v>
      </c>
      <c r="AD53" s="37">
        <f t="shared" si="54"/>
        <v>0.35834773347294702</v>
      </c>
      <c r="AE53" s="38">
        <f t="shared" si="24"/>
        <v>22.46966438227409</v>
      </c>
      <c r="AF53" s="38">
        <f t="shared" si="25"/>
        <v>0</v>
      </c>
      <c r="AG53" s="38">
        <f t="shared" si="26"/>
        <v>0</v>
      </c>
      <c r="AH53" s="38">
        <f t="shared" si="2"/>
        <v>0</v>
      </c>
      <c r="AI53" s="38">
        <f t="shared" si="27"/>
        <v>0</v>
      </c>
      <c r="AK53" s="45">
        <v>45151.520833333336</v>
      </c>
      <c r="AL53" s="4">
        <v>5.4668184779477196E-3</v>
      </c>
      <c r="AM53" s="3">
        <v>0.59425534599999996</v>
      </c>
      <c r="AN53" s="4">
        <v>1349</v>
      </c>
      <c r="AO53" s="46">
        <f t="shared" si="28"/>
        <v>22.483333333333334</v>
      </c>
      <c r="AP53" s="47">
        <f t="shared" si="55"/>
        <v>0.12291230211252457</v>
      </c>
      <c r="AQ53" s="50">
        <f t="shared" si="29"/>
        <v>13.305415372457322</v>
      </c>
      <c r="AR53" s="50">
        <f t="shared" si="30"/>
        <v>0</v>
      </c>
      <c r="AS53" s="50">
        <f t="shared" si="31"/>
        <v>0</v>
      </c>
      <c r="AT53" s="50">
        <f t="shared" si="4"/>
        <v>1.7009694321614745E-3</v>
      </c>
      <c r="AU53" s="50">
        <f t="shared" si="32"/>
        <v>2.2632104830761283E-2</v>
      </c>
      <c r="AW53" s="51">
        <v>45166.520833333336</v>
      </c>
      <c r="AX53" s="72">
        <v>2.7278545013558999E-2</v>
      </c>
      <c r="AY53" s="73">
        <v>2.0619739560000001</v>
      </c>
      <c r="AZ53" s="52">
        <v>10382</v>
      </c>
      <c r="BA53" s="53">
        <f t="shared" si="33"/>
        <v>173.03333333333333</v>
      </c>
      <c r="BB53" s="72">
        <f t="shared" si="56"/>
        <v>4.7200975721794922</v>
      </c>
      <c r="BC53" s="54">
        <f t="shared" si="34"/>
        <v>79.412228909168903</v>
      </c>
      <c r="BD53" s="54">
        <f t="shared" si="35"/>
        <v>0.90091206682409308</v>
      </c>
      <c r="BE53" s="54">
        <f t="shared" si="36"/>
        <v>71.543435277667356</v>
      </c>
      <c r="BF53" s="54">
        <f t="shared" si="6"/>
        <v>0.65081455894409201</v>
      </c>
      <c r="BG53" s="54">
        <f t="shared" si="37"/>
        <v>51.68263473228803</v>
      </c>
      <c r="BI53" s="66">
        <v>45183.520833333336</v>
      </c>
      <c r="BJ53" s="67">
        <v>5.5277851148418404E-3</v>
      </c>
      <c r="BK53" s="68">
        <v>0.376777213</v>
      </c>
      <c r="BL53" s="68">
        <v>1635</v>
      </c>
      <c r="BM53" s="68">
        <f t="shared" si="38"/>
        <v>27.25</v>
      </c>
      <c r="BN53" s="68">
        <f t="shared" si="57"/>
        <v>0.15063214437944014</v>
      </c>
      <c r="BO53" s="69">
        <f t="shared" si="39"/>
        <v>14.698731953066492</v>
      </c>
      <c r="BP53" s="69">
        <f t="shared" si="40"/>
        <v>0</v>
      </c>
      <c r="BQ53" s="69">
        <f t="shared" si="41"/>
        <v>0</v>
      </c>
      <c r="BR53" s="69">
        <f t="shared" si="8"/>
        <v>0</v>
      </c>
      <c r="BS53" s="69">
        <f t="shared" si="42"/>
        <v>0</v>
      </c>
      <c r="BU53" s="82">
        <v>45046.854166666664</v>
      </c>
      <c r="BV53" s="112">
        <v>4.0073295000000002E-2</v>
      </c>
      <c r="BW53" s="83">
        <v>86.192545629999998</v>
      </c>
      <c r="BX53" s="112">
        <v>7462</v>
      </c>
      <c r="BY53" s="83">
        <f t="shared" si="58"/>
        <v>124.36666666666666</v>
      </c>
      <c r="BZ53" s="84">
        <f t="shared" si="59"/>
        <v>4.9837821215</v>
      </c>
      <c r="CA53" s="83">
        <f t="shared" si="60"/>
        <v>81.554561769067547</v>
      </c>
      <c r="CC53" s="87">
        <v>45047.770833333336</v>
      </c>
      <c r="CD53" s="109">
        <v>4.22807288036244E-2</v>
      </c>
      <c r="CE53" s="88">
        <v>90.484855949999996</v>
      </c>
      <c r="CF53" s="89">
        <v>7026</v>
      </c>
      <c r="CG53" s="90">
        <f t="shared" si="43"/>
        <v>117.1</v>
      </c>
      <c r="CH53" s="91">
        <f t="shared" si="44"/>
        <v>4.9510733429044169</v>
      </c>
      <c r="CI53" s="91">
        <f t="shared" si="45"/>
        <v>81.29201136279157</v>
      </c>
      <c r="CK53" s="93">
        <v>45049.770833333336</v>
      </c>
      <c r="CL53">
        <v>0.105343227407854</v>
      </c>
      <c r="CM53" s="95">
        <v>126.9470365</v>
      </c>
      <c r="CN53" s="4">
        <v>3433</v>
      </c>
      <c r="CO53" s="95">
        <f t="shared" si="46"/>
        <v>57.216666666666669</v>
      </c>
      <c r="CP53" s="94">
        <f t="shared" si="47"/>
        <v>6.0273883281860465</v>
      </c>
      <c r="CQ53" s="96">
        <f t="shared" si="48"/>
        <v>89.512327251925768</v>
      </c>
      <c r="CS53" s="10">
        <v>45051.03125</v>
      </c>
      <c r="CT53" s="110">
        <v>7.6525678702842506E-2</v>
      </c>
      <c r="CU53" s="21">
        <v>103.80204430000001</v>
      </c>
      <c r="CV53" s="111">
        <v>4691</v>
      </c>
      <c r="CW53" s="21">
        <f t="shared" si="49"/>
        <v>78.183333333333337</v>
      </c>
      <c r="CX53" s="21">
        <f t="shared" si="50"/>
        <v>5.9830326465839034</v>
      </c>
      <c r="CY53" s="21">
        <f t="shared" si="51"/>
        <v>89.189142578424537</v>
      </c>
    </row>
    <row r="54" spans="1:103" x14ac:dyDescent="0.25">
      <c r="A54" s="10">
        <v>44776.531944444447</v>
      </c>
      <c r="B54" s="11">
        <v>1.75272505335628E-3</v>
      </c>
      <c r="C54" s="12">
        <v>0.71824162000000003</v>
      </c>
      <c r="D54" s="9">
        <v>101</v>
      </c>
      <c r="E54" s="13">
        <f t="shared" si="12"/>
        <v>1.6833333333333333</v>
      </c>
      <c r="F54" s="12">
        <f t="shared" si="52"/>
        <v>2.9504205064830712E-3</v>
      </c>
      <c r="G54" s="13">
        <f t="shared" si="14"/>
        <v>2.1421789492760746</v>
      </c>
      <c r="H54" s="11">
        <f t="shared" si="15"/>
        <v>0</v>
      </c>
      <c r="I54" s="125">
        <f t="shared" si="16"/>
        <v>0</v>
      </c>
      <c r="J54" s="21">
        <f>IF((F54-$K$96)/($I$96-$K$96)&lt;0, 0, IF((F54-$K$96)/($I$96-$K$96)&gt;1, 1, (F54-$K$96)/($I$96-$K$96)))</f>
        <v>0</v>
      </c>
      <c r="K54" s="125">
        <f t="shared" si="17"/>
        <v>0</v>
      </c>
      <c r="M54" s="25">
        <v>44781.531944444447</v>
      </c>
      <c r="N54" s="26">
        <v>3.7018170829171801E-3</v>
      </c>
      <c r="O54" s="27">
        <v>1.3324552590000001</v>
      </c>
      <c r="P54" s="28">
        <v>828</v>
      </c>
      <c r="Q54" s="29">
        <f t="shared" si="18"/>
        <v>13.8</v>
      </c>
      <c r="R54" s="26">
        <f t="shared" si="53"/>
        <v>5.1085075744257087E-2</v>
      </c>
      <c r="S54" s="29">
        <f t="shared" si="19"/>
        <v>8.6557595760042485</v>
      </c>
      <c r="T54" s="29">
        <f t="shared" si="20"/>
        <v>1.295608558632922E-3</v>
      </c>
      <c r="U54" s="126">
        <f t="shared" si="21"/>
        <v>1.1214476188139977E-2</v>
      </c>
      <c r="V54" s="128">
        <f>IF((R54-$W$102)/($U$101-$W$102)&lt;0, 0, IF((R54-$W$102)/($U$101-$W$102)&gt;1, 1, (R54-$W$102)/($U$101-$W$102)))</f>
        <v>2.6591334752912566E-3</v>
      </c>
      <c r="W54" s="126">
        <f t="shared" si="22"/>
        <v>2.301682004262575E-2</v>
      </c>
      <c r="Y54" s="35">
        <v>45136.53125</v>
      </c>
      <c r="Z54" s="71">
        <v>6.9240636557042099E-3</v>
      </c>
      <c r="AA54" s="70">
        <v>0.89783227600000004</v>
      </c>
      <c r="AB54" s="36">
        <v>4737</v>
      </c>
      <c r="AC54" s="37">
        <f t="shared" si="23"/>
        <v>78.95</v>
      </c>
      <c r="AD54" s="37">
        <f t="shared" si="54"/>
        <v>0.5466548256178474</v>
      </c>
      <c r="AE54" s="38">
        <f t="shared" si="24"/>
        <v>27.631963081806077</v>
      </c>
      <c r="AF54" s="38">
        <f t="shared" si="25"/>
        <v>0</v>
      </c>
      <c r="AG54" s="38">
        <f t="shared" si="26"/>
        <v>0</v>
      </c>
      <c r="AH54" s="38">
        <f t="shared" si="2"/>
        <v>1.7243850625762953E-2</v>
      </c>
      <c r="AI54" s="38">
        <f t="shared" si="27"/>
        <v>0.47648144387926056</v>
      </c>
      <c r="AK54" s="45">
        <v>45151.53125</v>
      </c>
      <c r="AL54" s="4">
        <v>6.2279021899720299E-3</v>
      </c>
      <c r="AM54" s="3">
        <v>0.59425534599999996</v>
      </c>
      <c r="AN54" s="4">
        <v>1323</v>
      </c>
      <c r="AO54" s="46">
        <f t="shared" si="28"/>
        <v>22.05</v>
      </c>
      <c r="AP54" s="47">
        <f t="shared" si="55"/>
        <v>0.13732524328888326</v>
      </c>
      <c r="AQ54" s="50">
        <f t="shared" si="29"/>
        <v>14.047852945938359</v>
      </c>
      <c r="AR54" s="50">
        <f t="shared" si="30"/>
        <v>0</v>
      </c>
      <c r="AS54" s="50">
        <f t="shared" si="31"/>
        <v>0</v>
      </c>
      <c r="AT54" s="50">
        <f t="shared" si="4"/>
        <v>1.3115449054066867E-2</v>
      </c>
      <c r="AU54" s="50">
        <f t="shared" si="32"/>
        <v>0.18424389963147769</v>
      </c>
      <c r="AW54" s="51">
        <v>45166.53125</v>
      </c>
      <c r="AX54" s="72">
        <v>3.3881498761867697E-2</v>
      </c>
      <c r="AY54" s="73">
        <v>1.8086265969999999</v>
      </c>
      <c r="AZ54" s="52">
        <v>10156</v>
      </c>
      <c r="BA54" s="53">
        <f t="shared" si="33"/>
        <v>169.26666666666668</v>
      </c>
      <c r="BB54" s="72">
        <f t="shared" si="56"/>
        <v>5.7350083570921395</v>
      </c>
      <c r="BC54" s="54">
        <f t="shared" si="34"/>
        <v>87.359013166733888</v>
      </c>
      <c r="BD54" s="54">
        <f t="shared" si="35"/>
        <v>0.76528281236061324</v>
      </c>
      <c r="BE54" s="54">
        <f t="shared" si="36"/>
        <v>66.854351281285957</v>
      </c>
      <c r="BF54" s="54">
        <f t="shared" si="6"/>
        <v>0.81298469951922481</v>
      </c>
      <c r="BG54" s="54">
        <f t="shared" si="37"/>
        <v>71.021541069653153</v>
      </c>
      <c r="BI54" s="66">
        <v>45183.53125</v>
      </c>
      <c r="BJ54" s="67">
        <v>5.26403645332144E-3</v>
      </c>
      <c r="BK54" s="68">
        <v>0.44894941300000002</v>
      </c>
      <c r="BL54" s="68">
        <v>1230</v>
      </c>
      <c r="BM54" s="68">
        <f t="shared" si="38"/>
        <v>20.5</v>
      </c>
      <c r="BN54" s="68">
        <f t="shared" si="57"/>
        <v>0.10791274729308951</v>
      </c>
      <c r="BO54" s="69">
        <f t="shared" si="39"/>
        <v>12.483872311980331</v>
      </c>
      <c r="BP54" s="69">
        <f t="shared" si="40"/>
        <v>0</v>
      </c>
      <c r="BQ54" s="69">
        <f t="shared" si="41"/>
        <v>0</v>
      </c>
      <c r="BR54" s="69">
        <f t="shared" si="8"/>
        <v>0</v>
      </c>
      <c r="BS54" s="69">
        <f t="shared" si="42"/>
        <v>0</v>
      </c>
      <c r="BU54" s="82">
        <v>45046.864583333336</v>
      </c>
      <c r="BV54" s="112">
        <v>4.0686440999999997E-2</v>
      </c>
      <c r="BW54" s="83">
        <v>84.891986889999998</v>
      </c>
      <c r="BX54" s="112">
        <v>7365</v>
      </c>
      <c r="BY54" s="83">
        <f t="shared" si="58"/>
        <v>122.75</v>
      </c>
      <c r="BZ54" s="84">
        <f t="shared" si="59"/>
        <v>4.9942606327499997</v>
      </c>
      <c r="CA54" s="83">
        <f t="shared" si="60"/>
        <v>81.638485754857172</v>
      </c>
      <c r="CC54" s="87">
        <v>45047.78125</v>
      </c>
      <c r="CD54" s="109">
        <v>4.1297194147822402E-2</v>
      </c>
      <c r="CE54" s="88">
        <v>87.058386479999996</v>
      </c>
      <c r="CF54" s="89">
        <v>7093</v>
      </c>
      <c r="CG54" s="90">
        <f t="shared" si="43"/>
        <v>118.21666666666667</v>
      </c>
      <c r="CH54" s="91">
        <f t="shared" si="44"/>
        <v>4.8820166348417384</v>
      </c>
      <c r="CI54" s="91">
        <f t="shared" si="45"/>
        <v>80.734776585821564</v>
      </c>
      <c r="CK54" s="93">
        <v>45049.78125</v>
      </c>
      <c r="CL54">
        <v>9.4440414737682707E-2</v>
      </c>
      <c r="CM54" s="95">
        <v>130.92322350000001</v>
      </c>
      <c r="CN54" s="4">
        <v>3620</v>
      </c>
      <c r="CO54" s="95">
        <f t="shared" si="46"/>
        <v>60.333333333333336</v>
      </c>
      <c r="CP54" s="94">
        <f t="shared" si="47"/>
        <v>5.6979050225068573</v>
      </c>
      <c r="CQ54" s="96">
        <f t="shared" si="48"/>
        <v>87.081786271634414</v>
      </c>
      <c r="CS54" s="10">
        <v>45051.041666666664</v>
      </c>
      <c r="CT54" s="110">
        <v>8.4832978381257196E-2</v>
      </c>
      <c r="CU54" s="21">
        <v>109.0251016</v>
      </c>
      <c r="CV54" s="111">
        <v>4477</v>
      </c>
      <c r="CW54" s="21">
        <f t="shared" si="49"/>
        <v>74.61666666666666</v>
      </c>
      <c r="CX54" s="21">
        <f t="shared" si="50"/>
        <v>6.3299540702148072</v>
      </c>
      <c r="CY54" s="21">
        <f t="shared" si="51"/>
        <v>91.685244261298976</v>
      </c>
    </row>
    <row r="55" spans="1:103" x14ac:dyDescent="0.25">
      <c r="A55" s="10">
        <v>44776.542361111111</v>
      </c>
      <c r="B55" s="11">
        <v>1.7477777618441E-3</v>
      </c>
      <c r="C55" s="12">
        <v>0.72944691949999996</v>
      </c>
      <c r="D55" s="9">
        <v>127</v>
      </c>
      <c r="E55" s="13">
        <f t="shared" si="12"/>
        <v>2.1166666666666667</v>
      </c>
      <c r="F55" s="12">
        <f t="shared" si="52"/>
        <v>3.6994629292366782E-3</v>
      </c>
      <c r="G55" s="13">
        <f t="shared" si="14"/>
        <v>2.3931565222710121</v>
      </c>
      <c r="H55" s="11">
        <f t="shared" si="15"/>
        <v>4.2680848248956662E-4</v>
      </c>
      <c r="I55" s="125">
        <f t="shared" si="16"/>
        <v>1.0214195036304995E-3</v>
      </c>
      <c r="J55" s="21">
        <f>IF((F55-$K$96)/($I$96-$K$96)&lt;0, 0, IF((F55-$K$96)/($I$96-$K$96)&gt;1, 1, (F55-$K$96)/($I$96-$K$96)))</f>
        <v>4.1550580532611729E-5</v>
      </c>
      <c r="K55" s="125">
        <f t="shared" si="17"/>
        <v>9.9437042805766707E-5</v>
      </c>
      <c r="M55" s="25">
        <v>44781.542361111111</v>
      </c>
      <c r="N55" s="26">
        <v>4.65691285625332E-3</v>
      </c>
      <c r="O55" s="27">
        <v>1.5909838079999901</v>
      </c>
      <c r="P55" s="28">
        <v>1445</v>
      </c>
      <c r="Q55" s="29">
        <f t="shared" si="18"/>
        <v>24.083333333333332</v>
      </c>
      <c r="R55" s="26">
        <f t="shared" si="53"/>
        <v>0.11215398462143412</v>
      </c>
      <c r="S55" s="29">
        <f t="shared" si="19"/>
        <v>12.721779242976282</v>
      </c>
      <c r="T55" s="29">
        <f t="shared" si="20"/>
        <v>9.7126653774840185E-3</v>
      </c>
      <c r="U55" s="126">
        <f t="shared" si="21"/>
        <v>0.12356238479325059</v>
      </c>
      <c r="V55" s="128">
        <f>IF((R55-$W$102)/($U$101-$W$102)&lt;0, 0, IF((R55-$W$102)/($U$101-$W$102)&gt;1, 1, (R55-$W$102)/($U$101-$W$102)))</f>
        <v>3.3615161783528247E-2</v>
      </c>
      <c r="W55" s="126">
        <f t="shared" si="22"/>
        <v>0.42764466742697926</v>
      </c>
      <c r="Y55" s="35">
        <v>45136.541666666664</v>
      </c>
      <c r="Z55" s="71">
        <v>5.39412258391347E-3</v>
      </c>
      <c r="AA55" s="70">
        <v>0.56216848100000005</v>
      </c>
      <c r="AB55" s="36">
        <v>1520</v>
      </c>
      <c r="AC55" s="37">
        <f t="shared" si="23"/>
        <v>25.333333333333332</v>
      </c>
      <c r="AD55" s="37">
        <f t="shared" si="54"/>
        <v>0.13665110545914122</v>
      </c>
      <c r="AE55" s="38">
        <f t="shared" si="24"/>
        <v>14.01403997288701</v>
      </c>
      <c r="AF55" s="38">
        <f t="shared" si="25"/>
        <v>0</v>
      </c>
      <c r="AG55" s="38">
        <f t="shared" si="26"/>
        <v>0</v>
      </c>
      <c r="AH55" s="38">
        <f t="shared" si="2"/>
        <v>0</v>
      </c>
      <c r="AI55" s="38">
        <f t="shared" si="27"/>
        <v>0</v>
      </c>
      <c r="AK55" s="45">
        <v>45151.541666666664</v>
      </c>
      <c r="AL55" s="4">
        <v>6.2470266960211601E-3</v>
      </c>
      <c r="AM55" s="3">
        <v>0.66168135500000003</v>
      </c>
      <c r="AN55" s="4">
        <v>1368</v>
      </c>
      <c r="AO55" s="46">
        <f t="shared" si="28"/>
        <v>22.8</v>
      </c>
      <c r="AP55" s="47">
        <f t="shared" si="55"/>
        <v>0.14243220866928247</v>
      </c>
      <c r="AQ55" s="50">
        <f t="shared" si="29"/>
        <v>14.301300513135727</v>
      </c>
      <c r="AR55" s="50">
        <f t="shared" si="30"/>
        <v>3.0740633965156895E-2</v>
      </c>
      <c r="AS55" s="50">
        <f t="shared" si="31"/>
        <v>0.43963104430001587</v>
      </c>
      <c r="AT55" s="50">
        <f t="shared" si="4"/>
        <v>1.7159963740629291E-2</v>
      </c>
      <c r="AU55" s="50">
        <f t="shared" si="32"/>
        <v>0.24540979824925216</v>
      </c>
      <c r="AW55" s="51">
        <v>45166.541666666664</v>
      </c>
      <c r="AX55" s="72">
        <v>2.8678916831400399E-2</v>
      </c>
      <c r="AY55" s="73">
        <v>1.8086265969999999</v>
      </c>
      <c r="AZ55" s="52">
        <v>10077</v>
      </c>
      <c r="BA55" s="53">
        <f t="shared" si="33"/>
        <v>167.95</v>
      </c>
      <c r="BB55" s="72">
        <f t="shared" si="56"/>
        <v>4.8166240818336963</v>
      </c>
      <c r="BC55" s="54">
        <f t="shared" si="34"/>
        <v>80.203388791059325</v>
      </c>
      <c r="BD55" s="54">
        <f t="shared" si="35"/>
        <v>0.76528281236061324</v>
      </c>
      <c r="BE55" s="54">
        <f t="shared" si="36"/>
        <v>61.378274934873566</v>
      </c>
      <c r="BF55" s="54">
        <f t="shared" si="6"/>
        <v>0.66623829654995115</v>
      </c>
      <c r="BG55" s="54">
        <f t="shared" si="37"/>
        <v>53.43456912568881</v>
      </c>
      <c r="BI55" s="66">
        <v>45183.541666666664</v>
      </c>
      <c r="BJ55" s="67">
        <v>5.3015390052096904E-3</v>
      </c>
      <c r="BK55" s="68">
        <v>0.47522856800000002</v>
      </c>
      <c r="BL55" s="68">
        <v>1553</v>
      </c>
      <c r="BM55" s="68">
        <f t="shared" si="38"/>
        <v>25.883333333333333</v>
      </c>
      <c r="BN55" s="68">
        <f t="shared" si="57"/>
        <v>0.13722150125151081</v>
      </c>
      <c r="BO55" s="69">
        <f t="shared" si="39"/>
        <v>14.042655042741387</v>
      </c>
      <c r="BP55" s="69">
        <f t="shared" si="40"/>
        <v>5.0310938597030548E-3</v>
      </c>
      <c r="BQ55" s="69">
        <f t="shared" si="41"/>
        <v>7.064991555946433E-2</v>
      </c>
      <c r="BR55" s="69">
        <f t="shared" si="8"/>
        <v>0</v>
      </c>
      <c r="BS55" s="69">
        <f t="shared" si="42"/>
        <v>0</v>
      </c>
      <c r="BU55" s="82">
        <v>45046.875</v>
      </c>
      <c r="BV55" s="112">
        <v>4.1675717000000001E-2</v>
      </c>
      <c r="BW55" s="83">
        <v>87.058386479999996</v>
      </c>
      <c r="BX55" s="112">
        <v>7319</v>
      </c>
      <c r="BY55" s="83">
        <f t="shared" si="58"/>
        <v>121.98333333333333</v>
      </c>
      <c r="BZ55" s="84">
        <f t="shared" si="59"/>
        <v>5.0837428787166665</v>
      </c>
      <c r="CA55" s="83">
        <f t="shared" si="60"/>
        <v>82.351533429029573</v>
      </c>
      <c r="CC55" s="87">
        <v>45047.791666666664</v>
      </c>
      <c r="CD55" s="109">
        <v>4.2977337790364098E-2</v>
      </c>
      <c r="CE55" s="88">
        <v>86.192545629999998</v>
      </c>
      <c r="CF55" s="89">
        <v>6738</v>
      </c>
      <c r="CG55" s="90">
        <f t="shared" si="43"/>
        <v>112.3</v>
      </c>
      <c r="CH55" s="91">
        <f t="shared" si="44"/>
        <v>4.8263550338578884</v>
      </c>
      <c r="CI55" s="91">
        <f t="shared" si="45"/>
        <v>80.282695824136809</v>
      </c>
      <c r="CK55" s="93">
        <v>45049.791666666664</v>
      </c>
      <c r="CL55">
        <v>9.9291992445538199E-2</v>
      </c>
      <c r="CM55" s="95">
        <v>129.12778700000001</v>
      </c>
      <c r="CN55" s="4">
        <v>3533</v>
      </c>
      <c r="CO55" s="95">
        <f t="shared" si="46"/>
        <v>58.883333333333333</v>
      </c>
      <c r="CP55" s="94">
        <f t="shared" si="47"/>
        <v>5.8466434885014413</v>
      </c>
      <c r="CQ55" s="96">
        <f t="shared" si="48"/>
        <v>88.187648190619555</v>
      </c>
      <c r="CS55" s="10">
        <v>45051.052083333336</v>
      </c>
      <c r="CT55" s="110">
        <v>8.0148569824657803E-2</v>
      </c>
      <c r="CU55" s="21">
        <v>109.8129265</v>
      </c>
      <c r="CV55" s="111">
        <v>4556</v>
      </c>
      <c r="CW55" s="21">
        <f t="shared" si="49"/>
        <v>75.933333333333337</v>
      </c>
      <c r="CX55" s="21">
        <f t="shared" si="50"/>
        <v>6.0859480686856831</v>
      </c>
      <c r="CY55" s="21">
        <f t="shared" si="51"/>
        <v>89.937152426769686</v>
      </c>
    </row>
    <row r="56" spans="1:103" x14ac:dyDescent="0.25">
      <c r="A56" s="10">
        <v>44776.552777777775</v>
      </c>
      <c r="B56" s="11">
        <v>1.4017038497322401E-3</v>
      </c>
      <c r="C56" s="12">
        <v>0.68032893350000001</v>
      </c>
      <c r="D56" s="9">
        <v>102</v>
      </c>
      <c r="E56" s="13">
        <f t="shared" si="12"/>
        <v>1.7</v>
      </c>
      <c r="F56" s="12">
        <f t="shared" si="52"/>
        <v>2.3828965445448079E-3</v>
      </c>
      <c r="G56" s="13">
        <f t="shared" si="14"/>
        <v>1.929398795245691</v>
      </c>
      <c r="H56" s="11">
        <f t="shared" si="15"/>
        <v>0</v>
      </c>
      <c r="I56" s="125">
        <f t="shared" si="16"/>
        <v>0</v>
      </c>
      <c r="J56" s="21">
        <f>IF((F56-$K$96)/($I$96-$K$96)&lt;0, 0, IF((F56-$K$96)/($I$96-$K$96)&gt;1, 1, (F56-$K$96)/($I$96-$K$96)))</f>
        <v>0</v>
      </c>
      <c r="K56" s="125">
        <f t="shared" si="17"/>
        <v>0</v>
      </c>
      <c r="M56" s="25">
        <v>44781.552777777775</v>
      </c>
      <c r="N56" s="26">
        <v>5.2679225855420701E-3</v>
      </c>
      <c r="O56" s="27">
        <v>2.1687506614999998</v>
      </c>
      <c r="P56" s="28">
        <v>1853</v>
      </c>
      <c r="Q56" s="29">
        <f t="shared" si="18"/>
        <v>30.883333333333333</v>
      </c>
      <c r="R56" s="26">
        <f t="shared" si="53"/>
        <v>0.16269100918349094</v>
      </c>
      <c r="S56" s="29">
        <f t="shared" si="19"/>
        <v>15.263647387955624</v>
      </c>
      <c r="T56" s="29">
        <f t="shared" si="20"/>
        <v>2.8523340069966773E-2</v>
      </c>
      <c r="U56" s="126">
        <f t="shared" si="21"/>
        <v>0.4353702051547183</v>
      </c>
      <c r="V56" s="128">
        <f>IF((R56-$W$102)/($U$101-$W$102)&lt;0, 0, IF((R56-$W$102)/($U$101-$W$102)&gt;1, 1, (R56-$W$102)/($U$101-$W$102)))</f>
        <v>5.9232543716837407E-2</v>
      </c>
      <c r="W56" s="126">
        <f t="shared" si="22"/>
        <v>0.90410466118547261</v>
      </c>
      <c r="Y56" s="35">
        <v>45136.552083333336</v>
      </c>
      <c r="Z56" s="71">
        <v>7.4800171752494897E-3</v>
      </c>
      <c r="AA56" s="70">
        <v>0.77321039300000005</v>
      </c>
      <c r="AB56" s="36">
        <v>3102</v>
      </c>
      <c r="AC56" s="37">
        <f t="shared" si="23"/>
        <v>51.7</v>
      </c>
      <c r="AD56" s="37">
        <f t="shared" si="54"/>
        <v>0.38671688796039866</v>
      </c>
      <c r="AE56" s="38">
        <f t="shared" si="24"/>
        <v>23.323837793864588</v>
      </c>
      <c r="AF56" s="38">
        <f t="shared" si="25"/>
        <v>0</v>
      </c>
      <c r="AG56" s="38">
        <f t="shared" si="26"/>
        <v>0</v>
      </c>
      <c r="AH56" s="38">
        <f t="shared" si="2"/>
        <v>0</v>
      </c>
      <c r="AI56" s="38">
        <f t="shared" si="27"/>
        <v>0</v>
      </c>
      <c r="AK56" s="45">
        <v>45151.552083333336</v>
      </c>
      <c r="AL56" s="4">
        <v>5.5351229738632704E-3</v>
      </c>
      <c r="AM56" s="3">
        <v>0.59425534599999996</v>
      </c>
      <c r="AN56" s="4">
        <v>1279</v>
      </c>
      <c r="AO56" s="46">
        <f t="shared" si="28"/>
        <v>21.316666666666666</v>
      </c>
      <c r="AP56" s="47">
        <f t="shared" si="55"/>
        <v>0.11799037139285204</v>
      </c>
      <c r="AQ56" s="50">
        <f t="shared" si="29"/>
        <v>13.041779616482009</v>
      </c>
      <c r="AR56" s="50">
        <f t="shared" si="30"/>
        <v>0</v>
      </c>
      <c r="AS56" s="50">
        <f t="shared" si="31"/>
        <v>0</v>
      </c>
      <c r="AT56" s="50">
        <f t="shared" si="4"/>
        <v>0</v>
      </c>
      <c r="AU56" s="50">
        <f t="shared" si="32"/>
        <v>0</v>
      </c>
      <c r="AW56" s="51">
        <v>45166.552083333336</v>
      </c>
      <c r="AX56" s="72">
        <v>2.3825918833108702E-2</v>
      </c>
      <c r="AY56" s="73">
        <v>1.5821856839999999</v>
      </c>
      <c r="AZ56" s="52">
        <v>10151</v>
      </c>
      <c r="BA56" s="53">
        <f t="shared" si="33"/>
        <v>169.18333333333334</v>
      </c>
      <c r="BB56" s="72">
        <f t="shared" si="56"/>
        <v>4.0309483679147737</v>
      </c>
      <c r="BC56" s="54">
        <f t="shared" si="34"/>
        <v>73.505784301683235</v>
      </c>
      <c r="BD56" s="54">
        <f t="shared" si="35"/>
        <v>0.64405789676865843</v>
      </c>
      <c r="BE56" s="54">
        <f t="shared" si="36"/>
        <v>47.341980837672772</v>
      </c>
      <c r="BF56" s="54">
        <f t="shared" si="6"/>
        <v>0.54069707374812037</v>
      </c>
      <c r="BG56" s="54">
        <f t="shared" si="37"/>
        <v>39.744362475480649</v>
      </c>
      <c r="BI56" s="66">
        <v>45183.552083333336</v>
      </c>
      <c r="BJ56" s="67">
        <v>5.8778806381355004E-3</v>
      </c>
      <c r="BK56" s="68">
        <v>0.47522856800000002</v>
      </c>
      <c r="BL56" s="68">
        <v>1282</v>
      </c>
      <c r="BM56" s="68">
        <f t="shared" si="38"/>
        <v>21.366666666666667</v>
      </c>
      <c r="BN56" s="68">
        <f t="shared" si="57"/>
        <v>0.12559071630149521</v>
      </c>
      <c r="BO56" s="69">
        <f t="shared" si="39"/>
        <v>13.446618973055477</v>
      </c>
      <c r="BP56" s="69">
        <f t="shared" si="40"/>
        <v>5.0310938597030548E-3</v>
      </c>
      <c r="BQ56" s="69">
        <f t="shared" si="41"/>
        <v>6.7651202149106013E-2</v>
      </c>
      <c r="BR56" s="69">
        <f t="shared" si="8"/>
        <v>0</v>
      </c>
      <c r="BS56" s="69">
        <f t="shared" si="42"/>
        <v>0</v>
      </c>
      <c r="BU56" s="82">
        <v>45046.885416666664</v>
      </c>
      <c r="BV56" s="112">
        <v>4.1552093999999998E-2</v>
      </c>
      <c r="BW56" s="83">
        <v>82.276892649999994</v>
      </c>
      <c r="BX56" s="112">
        <v>7415</v>
      </c>
      <c r="BY56" s="83">
        <f t="shared" si="58"/>
        <v>123.58333333333333</v>
      </c>
      <c r="BZ56" s="84">
        <f t="shared" si="59"/>
        <v>5.1351462834999992</v>
      </c>
      <c r="CA56" s="83">
        <f t="shared" si="60"/>
        <v>82.75825190250282</v>
      </c>
      <c r="CC56" s="87">
        <v>45047.802083333336</v>
      </c>
      <c r="CD56" s="109">
        <v>4.2030558323456001E-2</v>
      </c>
      <c r="CE56" s="88">
        <v>87.487093729999998</v>
      </c>
      <c r="CF56" s="89">
        <v>7177</v>
      </c>
      <c r="CG56" s="90">
        <f t="shared" si="43"/>
        <v>119.61666666666666</v>
      </c>
      <c r="CH56" s="91">
        <f t="shared" si="44"/>
        <v>5.0275552847907283</v>
      </c>
      <c r="CI56" s="91">
        <f t="shared" si="45"/>
        <v>81.90455301712359</v>
      </c>
      <c r="CK56" s="93">
        <v>45049.802083333336</v>
      </c>
      <c r="CL56">
        <v>0.109468007984158</v>
      </c>
      <c r="CM56" s="95">
        <v>133.7707528</v>
      </c>
      <c r="CN56" s="4">
        <v>3395</v>
      </c>
      <c r="CO56" s="95">
        <f t="shared" si="46"/>
        <v>56.583333333333336</v>
      </c>
      <c r="CP56" s="94">
        <f t="shared" si="47"/>
        <v>6.194064785103607</v>
      </c>
      <c r="CQ56" s="96">
        <f t="shared" si="48"/>
        <v>90.716046352012157</v>
      </c>
      <c r="CS56" s="10">
        <v>45051.0625</v>
      </c>
      <c r="CT56" s="110">
        <v>8.2132847963435507E-2</v>
      </c>
      <c r="CU56" s="21">
        <v>111.0042136</v>
      </c>
      <c r="CV56" s="111">
        <v>4655</v>
      </c>
      <c r="CW56" s="21">
        <f t="shared" si="49"/>
        <v>77.583333333333329</v>
      </c>
      <c r="CX56" s="21">
        <f t="shared" si="50"/>
        <v>6.3721401211632047</v>
      </c>
      <c r="CY56" s="21">
        <f t="shared" si="51"/>
        <v>91.983962136406006</v>
      </c>
    </row>
    <row r="57" spans="1:103" x14ac:dyDescent="0.25">
      <c r="A57" s="10">
        <v>44776.563194444447</v>
      </c>
      <c r="B57" s="11">
        <v>1.3574561634927399E-3</v>
      </c>
      <c r="C57" s="12">
        <v>0.62184915699999999</v>
      </c>
      <c r="D57" s="9">
        <v>89</v>
      </c>
      <c r="E57" s="13">
        <f t="shared" si="12"/>
        <v>1.4833333333333334</v>
      </c>
      <c r="F57" s="12">
        <f t="shared" si="52"/>
        <v>2.0135599758475645E-3</v>
      </c>
      <c r="G57" s="13">
        <f t="shared" si="14"/>
        <v>1.7766629370625679</v>
      </c>
      <c r="H57" s="11">
        <f t="shared" si="15"/>
        <v>0</v>
      </c>
      <c r="I57" s="125">
        <f t="shared" si="16"/>
        <v>0</v>
      </c>
      <c r="J57" s="21">
        <f>IF((F57-$K$96)/($I$96-$K$96)&lt;0, 0, IF((F57-$K$96)/($I$96-$K$96)&gt;1, 1, (F57-$K$96)/($I$96-$K$96)))</f>
        <v>0</v>
      </c>
      <c r="K57" s="125">
        <f t="shared" si="17"/>
        <v>0</v>
      </c>
      <c r="M57" s="25">
        <v>44781.563194444447</v>
      </c>
      <c r="N57" s="26">
        <v>4.70751967541648E-3</v>
      </c>
      <c r="O57" s="27">
        <v>2.3007473825</v>
      </c>
      <c r="P57" s="28">
        <v>1713</v>
      </c>
      <c r="Q57" s="29">
        <f t="shared" si="18"/>
        <v>28.55</v>
      </c>
      <c r="R57" s="26">
        <f t="shared" si="53"/>
        <v>0.13439968673314051</v>
      </c>
      <c r="S57" s="29">
        <f t="shared" si="19"/>
        <v>13.900493495878012</v>
      </c>
      <c r="T57" s="29">
        <f t="shared" si="20"/>
        <v>3.2820830249896883E-2</v>
      </c>
      <c r="U57" s="126">
        <f t="shared" si="21"/>
        <v>0.45622573741800793</v>
      </c>
      <c r="V57" s="128">
        <f>IF((R57-$W$102)/($U$101-$W$102)&lt;0, 0, IF((R57-$W$102)/($U$101-$W$102)&gt;1, 1, (R57-$W$102)/($U$101-$W$102)))</f>
        <v>4.4891580454960438E-2</v>
      </c>
      <c r="W57" s="126">
        <f t="shared" si="22"/>
        <v>0.62401512213386201</v>
      </c>
      <c r="Y57" s="35">
        <v>45136.5625</v>
      </c>
      <c r="Z57" s="71">
        <v>8.05563591415266E-3</v>
      </c>
      <c r="AA57" s="70">
        <v>0.89859415399999998</v>
      </c>
      <c r="AB57" s="36">
        <v>4973</v>
      </c>
      <c r="AC57" s="37">
        <f t="shared" si="23"/>
        <v>82.88333333333334</v>
      </c>
      <c r="AD57" s="37">
        <f t="shared" si="54"/>
        <v>0.66767795668468632</v>
      </c>
      <c r="AE57" s="38">
        <f t="shared" si="24"/>
        <v>30.475025054476774</v>
      </c>
      <c r="AF57" s="38">
        <f t="shared" si="25"/>
        <v>0</v>
      </c>
      <c r="AG57" s="38">
        <f t="shared" si="26"/>
        <v>0</v>
      </c>
      <c r="AH57" s="38">
        <f t="shared" si="2"/>
        <v>4.9331905855208205E-2</v>
      </c>
      <c r="AI57" s="38">
        <f t="shared" si="27"/>
        <v>1.5033910669225594</v>
      </c>
      <c r="AK57" s="45">
        <v>45151.5625</v>
      </c>
      <c r="AL57" s="4">
        <v>3.5668797659729099E-3</v>
      </c>
      <c r="AM57" s="3">
        <v>0.42386643899999998</v>
      </c>
      <c r="AN57" s="4">
        <v>644</v>
      </c>
      <c r="AO57" s="46">
        <f t="shared" si="28"/>
        <v>10.733333333333333</v>
      </c>
      <c r="AP57" s="47">
        <f t="shared" si="55"/>
        <v>3.8284509488109228E-2</v>
      </c>
      <c r="AQ57" s="50">
        <f t="shared" si="29"/>
        <v>7.5155366753704058</v>
      </c>
      <c r="AR57" s="50">
        <f t="shared" si="30"/>
        <v>0</v>
      </c>
      <c r="AS57" s="50">
        <f t="shared" si="31"/>
        <v>0</v>
      </c>
      <c r="AT57" s="50">
        <f t="shared" si="4"/>
        <v>0</v>
      </c>
      <c r="AU57" s="50">
        <f t="shared" si="32"/>
        <v>0</v>
      </c>
      <c r="AW57" s="51">
        <v>45166.5625</v>
      </c>
      <c r="AX57" s="72">
        <v>2.76358389955462E-2</v>
      </c>
      <c r="AY57" s="73">
        <v>2.5487565000000001</v>
      </c>
      <c r="AZ57" s="52">
        <v>9877</v>
      </c>
      <c r="BA57" s="53">
        <f t="shared" si="33"/>
        <v>164.61666666666667</v>
      </c>
      <c r="BB57" s="72">
        <f t="shared" si="56"/>
        <v>4.5493196959834972</v>
      </c>
      <c r="BC57" s="54">
        <f t="shared" si="34"/>
        <v>77.991984810012738</v>
      </c>
      <c r="BD57" s="54">
        <f t="shared" si="35"/>
        <v>1</v>
      </c>
      <c r="BE57" s="54">
        <f t="shared" si="36"/>
        <v>77.991984810012738</v>
      </c>
      <c r="BF57" s="54">
        <f t="shared" si="6"/>
        <v>0.6235263749957749</v>
      </c>
      <c r="BG57" s="54">
        <f t="shared" si="37"/>
        <v>48.630059567312784</v>
      </c>
      <c r="BI57" s="66">
        <v>45183.5625</v>
      </c>
      <c r="BJ57" s="67">
        <v>6.1503624604552004E-3</v>
      </c>
      <c r="BK57" s="68">
        <v>0.47522856800000002</v>
      </c>
      <c r="BL57" s="68">
        <v>1568</v>
      </c>
      <c r="BM57" s="68">
        <f t="shared" si="38"/>
        <v>26.133333333333333</v>
      </c>
      <c r="BN57" s="68">
        <f t="shared" si="57"/>
        <v>0.1607294722998959</v>
      </c>
      <c r="BO57" s="69">
        <f t="shared" si="39"/>
        <v>15.173248420660251</v>
      </c>
      <c r="BP57" s="69">
        <f t="shared" si="40"/>
        <v>5.0310938597030548E-3</v>
      </c>
      <c r="BQ57" s="69">
        <f t="shared" si="41"/>
        <v>7.6338036960932859E-2</v>
      </c>
      <c r="BR57" s="69">
        <f t="shared" si="8"/>
        <v>1.3463711742159464E-4</v>
      </c>
      <c r="BS57" s="69">
        <f t="shared" si="42"/>
        <v>2.0428824292794598E-3</v>
      </c>
      <c r="BU57" s="82">
        <v>45046.895833333336</v>
      </c>
      <c r="BV57" s="112">
        <v>4.5688235000000001E-2</v>
      </c>
      <c r="BW57" s="83">
        <v>84.891986889999998</v>
      </c>
      <c r="BX57" s="112">
        <v>7191</v>
      </c>
      <c r="BY57" s="83">
        <f t="shared" si="58"/>
        <v>119.85</v>
      </c>
      <c r="BZ57" s="84">
        <f t="shared" si="59"/>
        <v>5.47573496475</v>
      </c>
      <c r="CA57" s="83">
        <f t="shared" si="60"/>
        <v>85.402158111773815</v>
      </c>
      <c r="CC57" s="87">
        <v>45047.8125</v>
      </c>
      <c r="CD57" s="109">
        <v>3.9062694222419501E-2</v>
      </c>
      <c r="CE57" s="88">
        <v>89.635700749999998</v>
      </c>
      <c r="CF57" s="89">
        <v>7262</v>
      </c>
      <c r="CG57" s="90">
        <f t="shared" si="43"/>
        <v>121.03333333333333</v>
      </c>
      <c r="CH57" s="91">
        <f t="shared" si="44"/>
        <v>4.7278880907201737</v>
      </c>
      <c r="CI57" s="91">
        <f t="shared" si="45"/>
        <v>79.476386803231208</v>
      </c>
      <c r="CK57" s="93">
        <v>45049.8125</v>
      </c>
      <c r="CL57">
        <v>9.7935716007026594E-2</v>
      </c>
      <c r="CM57" s="95">
        <v>131.64072830000001</v>
      </c>
      <c r="CN57" s="4">
        <v>3488</v>
      </c>
      <c r="CO57" s="95">
        <f t="shared" si="46"/>
        <v>58.133333333333333</v>
      </c>
      <c r="CP57" s="94">
        <f t="shared" si="47"/>
        <v>5.6933296238751456</v>
      </c>
      <c r="CQ57" s="96">
        <f t="shared" si="48"/>
        <v>87.047536303459367</v>
      </c>
      <c r="CS57" s="10">
        <v>45051.072916666664</v>
      </c>
      <c r="CT57" s="110">
        <v>8.5258105110943602E-2</v>
      </c>
      <c r="CU57" s="21">
        <v>112.9598134</v>
      </c>
      <c r="CV57" s="111">
        <v>4623</v>
      </c>
      <c r="CW57" s="21">
        <f t="shared" si="49"/>
        <v>77.05</v>
      </c>
      <c r="CX57" s="21">
        <f t="shared" si="50"/>
        <v>6.5691369987982045</v>
      </c>
      <c r="CY57" s="21">
        <f t="shared" si="51"/>
        <v>93.365712669876572</v>
      </c>
    </row>
    <row r="58" spans="1:103" x14ac:dyDescent="0.25">
      <c r="A58" s="10">
        <v>44776.573611111111</v>
      </c>
      <c r="B58" s="11">
        <v>1.81593059069755E-3</v>
      </c>
      <c r="C58" s="12">
        <v>0.63156217000000003</v>
      </c>
      <c r="D58" s="9">
        <v>83</v>
      </c>
      <c r="E58" s="13">
        <f t="shared" si="12"/>
        <v>1.3833333333333333</v>
      </c>
      <c r="F58" s="12">
        <f t="shared" si="52"/>
        <v>2.5120373171316109E-3</v>
      </c>
      <c r="G58" s="13">
        <f t="shared" si="14"/>
        <v>1.9799141859576828</v>
      </c>
      <c r="H58" s="11">
        <f t="shared" si="15"/>
        <v>0</v>
      </c>
      <c r="I58" s="125">
        <f t="shared" si="16"/>
        <v>0</v>
      </c>
      <c r="J58" s="21">
        <f>IF((F58-$K$96)/($I$96-$K$96)&lt;0, 0, IF((F58-$K$96)/($I$96-$K$96)&gt;1, 1, (F58-$K$96)/($I$96-$K$96)))</f>
        <v>0</v>
      </c>
      <c r="K58" s="125">
        <f t="shared" si="17"/>
        <v>0</v>
      </c>
      <c r="M58" s="25">
        <v>44781.573611111111</v>
      </c>
      <c r="N58" s="26">
        <v>4.7535558655237703E-3</v>
      </c>
      <c r="O58" s="27">
        <v>3.2652481369999999</v>
      </c>
      <c r="P58" s="28">
        <v>1191</v>
      </c>
      <c r="Q58" s="29">
        <f t="shared" si="18"/>
        <v>19.850000000000001</v>
      </c>
      <c r="R58" s="26">
        <f t="shared" si="53"/>
        <v>9.4358083930646847E-2</v>
      </c>
      <c r="S58" s="29">
        <f t="shared" si="19"/>
        <v>11.689688123522197</v>
      </c>
      <c r="T58" s="29">
        <f t="shared" si="20"/>
        <v>6.4222614245719969E-2</v>
      </c>
      <c r="U58" s="126">
        <f t="shared" si="21"/>
        <v>0.75074233100974019</v>
      </c>
      <c r="V58" s="128">
        <f>IF((R58-$W$102)/($U$101-$W$102)&lt;0, 0, IF((R58-$W$102)/($U$101-$W$102)&gt;1, 1, (R58-$W$102)/($U$101-$W$102)))</f>
        <v>2.459436190870902E-2</v>
      </c>
      <c r="W58" s="126">
        <f t="shared" si="22"/>
        <v>0.28750042030984252</v>
      </c>
      <c r="Y58" s="35">
        <v>45136.572916666664</v>
      </c>
      <c r="Z58" s="71">
        <v>9.9370329282074607E-3</v>
      </c>
      <c r="AA58" s="70">
        <v>1.5125919880000001</v>
      </c>
      <c r="AB58" s="36">
        <v>7017</v>
      </c>
      <c r="AC58" s="37">
        <f t="shared" si="23"/>
        <v>116.95</v>
      </c>
      <c r="AD58" s="37">
        <f t="shared" si="54"/>
        <v>1.1621360009538626</v>
      </c>
      <c r="AE58" s="38">
        <f t="shared" si="24"/>
        <v>39.976974540218343</v>
      </c>
      <c r="AF58" s="38">
        <f t="shared" si="25"/>
        <v>2.8230804590522202E-2</v>
      </c>
      <c r="AG58" s="38">
        <f t="shared" si="26"/>
        <v>1.1285821563651852</v>
      </c>
      <c r="AH58" s="38">
        <f t="shared" si="2"/>
        <v>0.18043243922671873</v>
      </c>
      <c r="AI58" s="38">
        <f t="shared" si="27"/>
        <v>7.2131430291960283</v>
      </c>
      <c r="AK58" s="45">
        <v>45151.572916666664</v>
      </c>
      <c r="AL58" s="4">
        <v>4.2656587944937003E-3</v>
      </c>
      <c r="AM58" s="3">
        <v>0.42386643899999998</v>
      </c>
      <c r="AN58" s="4">
        <v>653</v>
      </c>
      <c r="AO58" s="46">
        <f t="shared" si="28"/>
        <v>10.883333333333333</v>
      </c>
      <c r="AP58" s="47">
        <f t="shared" si="55"/>
        <v>4.6424586546739768E-2</v>
      </c>
      <c r="AQ58" s="50">
        <f t="shared" si="29"/>
        <v>8.2596208166284804</v>
      </c>
      <c r="AR58" s="50">
        <f t="shared" si="30"/>
        <v>0</v>
      </c>
      <c r="AS58" s="50">
        <f t="shared" si="31"/>
        <v>0</v>
      </c>
      <c r="AT58" s="50">
        <f t="shared" si="4"/>
        <v>0</v>
      </c>
      <c r="AU58" s="50">
        <f t="shared" si="32"/>
        <v>0</v>
      </c>
      <c r="AW58" s="51">
        <v>45166.572916666664</v>
      </c>
      <c r="AX58" s="72">
        <v>2.4532591637448999E-2</v>
      </c>
      <c r="AY58" s="73">
        <v>1.729502407</v>
      </c>
      <c r="AZ58" s="52">
        <v>10114</v>
      </c>
      <c r="BA58" s="53">
        <f t="shared" si="33"/>
        <v>168.56666666666666</v>
      </c>
      <c r="BB58" s="72">
        <f t="shared" si="56"/>
        <v>4.1353771970193192</v>
      </c>
      <c r="BC58" s="54">
        <f t="shared" si="34"/>
        <v>74.43223351140314</v>
      </c>
      <c r="BD58" s="54">
        <f t="shared" si="35"/>
        <v>0.72292375662746577</v>
      </c>
      <c r="BE58" s="54">
        <f t="shared" si="36"/>
        <v>53.808829864236309</v>
      </c>
      <c r="BF58" s="54">
        <f t="shared" si="6"/>
        <v>0.55738350387354096</v>
      </c>
      <c r="BG58" s="54">
        <f t="shared" si="37"/>
        <v>41.48729911571948</v>
      </c>
      <c r="BI58" s="66">
        <v>45183.572916666664</v>
      </c>
      <c r="BJ58" s="67">
        <v>5.4259374162804203E-3</v>
      </c>
      <c r="BK58" s="68">
        <v>0.44894941300000002</v>
      </c>
      <c r="BL58" s="68">
        <v>1036</v>
      </c>
      <c r="BM58" s="68">
        <f t="shared" si="38"/>
        <v>17.266666666666666</v>
      </c>
      <c r="BN58" s="68">
        <f t="shared" si="57"/>
        <v>9.3687852721108592E-2</v>
      </c>
      <c r="BO58" s="69">
        <f t="shared" si="39"/>
        <v>11.648953119481169</v>
      </c>
      <c r="BP58" s="69">
        <f t="shared" si="40"/>
        <v>0</v>
      </c>
      <c r="BQ58" s="69">
        <f t="shared" si="41"/>
        <v>0</v>
      </c>
      <c r="BR58" s="69">
        <f t="shared" si="8"/>
        <v>0</v>
      </c>
      <c r="BS58" s="69">
        <f t="shared" si="42"/>
        <v>0</v>
      </c>
      <c r="BU58" s="82">
        <v>45046.90625</v>
      </c>
      <c r="BV58" s="112">
        <v>4.1664949E-2</v>
      </c>
      <c r="BW58" s="83">
        <v>82.276892649999994</v>
      </c>
      <c r="BX58" s="112">
        <v>6992</v>
      </c>
      <c r="BY58" s="83">
        <f t="shared" si="58"/>
        <v>116.53333333333333</v>
      </c>
      <c r="BZ58" s="84">
        <f t="shared" si="59"/>
        <v>4.8553553901333331</v>
      </c>
      <c r="CA58" s="83">
        <f t="shared" si="60"/>
        <v>80.518565324109005</v>
      </c>
      <c r="CC58" s="87">
        <v>45047.822916666664</v>
      </c>
      <c r="CD58" s="109">
        <v>3.8536164133510999E-2</v>
      </c>
      <c r="CE58" s="88">
        <v>84.891986889999998</v>
      </c>
      <c r="CF58" s="89">
        <v>7012</v>
      </c>
      <c r="CG58" s="90">
        <f t="shared" si="43"/>
        <v>116.86666666666666</v>
      </c>
      <c r="CH58" s="91">
        <f t="shared" si="44"/>
        <v>4.5035930484029851</v>
      </c>
      <c r="CI58" s="91">
        <f t="shared" si="45"/>
        <v>77.607108657677202</v>
      </c>
      <c r="CK58" s="93">
        <v>45049.822916666664</v>
      </c>
      <c r="CL58">
        <v>9.58163406468307E-2</v>
      </c>
      <c r="CM58" s="95">
        <v>126.9470365</v>
      </c>
      <c r="CN58" s="4">
        <v>3599</v>
      </c>
      <c r="CO58" s="95">
        <f t="shared" si="46"/>
        <v>59.983333333333334</v>
      </c>
      <c r="CP58" s="94">
        <f t="shared" si="47"/>
        <v>5.7473834997990618</v>
      </c>
      <c r="CQ58" s="96">
        <f t="shared" si="48"/>
        <v>87.451273510574211</v>
      </c>
      <c r="CS58" s="10">
        <v>45051.083333333336</v>
      </c>
      <c r="CT58" s="110">
        <v>8.1827298970184204E-2</v>
      </c>
      <c r="CU58" s="21">
        <v>109.0251016</v>
      </c>
      <c r="CV58" s="111">
        <v>4557</v>
      </c>
      <c r="CW58" s="21">
        <f t="shared" si="49"/>
        <v>75.95</v>
      </c>
      <c r="CX58" s="21">
        <f t="shared" si="50"/>
        <v>6.2147833567854907</v>
      </c>
      <c r="CY58" s="21">
        <f t="shared" si="51"/>
        <v>90.864512726148405</v>
      </c>
    </row>
    <row r="59" spans="1:103" x14ac:dyDescent="0.25">
      <c r="A59" s="10">
        <v>44776.584027777775</v>
      </c>
      <c r="B59" s="11">
        <v>1.4856138179010099E-3</v>
      </c>
      <c r="C59" s="12">
        <v>0.66496995749999999</v>
      </c>
      <c r="D59" s="9">
        <v>102</v>
      </c>
      <c r="E59" s="13">
        <f t="shared" si="12"/>
        <v>1.7</v>
      </c>
      <c r="F59" s="12">
        <f t="shared" si="52"/>
        <v>2.5255434904317168E-3</v>
      </c>
      <c r="G59" s="13">
        <f t="shared" si="14"/>
        <v>1.9851199936728641</v>
      </c>
      <c r="H59" s="11">
        <f t="shared" si="15"/>
        <v>0</v>
      </c>
      <c r="I59" s="125">
        <f t="shared" si="16"/>
        <v>0</v>
      </c>
      <c r="J59" s="21">
        <f>IF((F59-$K$96)/($I$96-$K$96)&lt;0, 0, IF((F59-$K$96)/($I$96-$K$96)&gt;1, 1, (F59-$K$96)/($I$96-$K$96)))</f>
        <v>0</v>
      </c>
      <c r="K59" s="125">
        <f t="shared" si="17"/>
        <v>0</v>
      </c>
      <c r="M59" s="25">
        <v>44781.584027777775</v>
      </c>
      <c r="N59" s="26">
        <v>4.8194943991620798E-3</v>
      </c>
      <c r="O59" s="27">
        <v>7.0573823745000004</v>
      </c>
      <c r="P59" s="28">
        <v>2122</v>
      </c>
      <c r="Q59" s="29">
        <f t="shared" si="18"/>
        <v>35.366666666666667</v>
      </c>
      <c r="R59" s="26">
        <f t="shared" si="53"/>
        <v>0.17044945191703223</v>
      </c>
      <c r="S59" s="29">
        <f t="shared" si="19"/>
        <v>15.615862001903615</v>
      </c>
      <c r="T59" s="29">
        <f t="shared" si="20"/>
        <v>0.18768522394670628</v>
      </c>
      <c r="U59" s="126">
        <f t="shared" si="21"/>
        <v>2.9308665569481409</v>
      </c>
      <c r="V59" s="128">
        <f>IF((R59-$W$102)/($U$101-$W$102)&lt;0, 0, IF((R59-$W$102)/($U$101-$W$102)&gt;1, 1, (R59-$W$102)/($U$101-$W$102)))</f>
        <v>6.3165323543809188E-2</v>
      </c>
      <c r="W59" s="126">
        <f t="shared" si="22"/>
        <v>0.9863809757657177</v>
      </c>
      <c r="Y59" s="35">
        <v>45136.583333333336</v>
      </c>
      <c r="Z59" s="71">
        <v>1.15829784004414E-2</v>
      </c>
      <c r="AA59" s="70">
        <v>1.654461261</v>
      </c>
      <c r="AB59" s="36">
        <v>7444</v>
      </c>
      <c r="AC59" s="37">
        <f t="shared" si="23"/>
        <v>124.06666666666666</v>
      </c>
      <c r="AD59" s="37">
        <f t="shared" si="54"/>
        <v>1.437061520214763</v>
      </c>
      <c r="AE59" s="38">
        <f t="shared" si="24"/>
        <v>44.357726288728202</v>
      </c>
      <c r="AF59" s="38">
        <f t="shared" si="25"/>
        <v>3.5635315223632176E-2</v>
      </c>
      <c r="AG59" s="38">
        <f t="shared" si="26"/>
        <v>1.5807015589024254</v>
      </c>
      <c r="AH59" s="38">
        <f t="shared" si="2"/>
        <v>0.25332615110032369</v>
      </c>
      <c r="AI59" s="38">
        <f t="shared" si="27"/>
        <v>11.236972072285161</v>
      </c>
      <c r="AK59" s="45">
        <v>45151.583333333336</v>
      </c>
      <c r="AL59" s="4">
        <v>4.9476959212309398E-3</v>
      </c>
      <c r="AM59" s="3">
        <v>0.50323377899999999</v>
      </c>
      <c r="AN59" s="4">
        <v>958</v>
      </c>
      <c r="AO59" s="46">
        <f t="shared" si="28"/>
        <v>15.966666666666667</v>
      </c>
      <c r="AP59" s="47">
        <f t="shared" si="55"/>
        <v>7.8998211542320673E-2</v>
      </c>
      <c r="AQ59" s="50">
        <f t="shared" si="29"/>
        <v>10.715606686769718</v>
      </c>
      <c r="AR59" s="50">
        <f t="shared" si="30"/>
        <v>0</v>
      </c>
      <c r="AS59" s="50">
        <f t="shared" si="31"/>
        <v>0</v>
      </c>
      <c r="AT59" s="50">
        <f t="shared" si="4"/>
        <v>0</v>
      </c>
      <c r="AU59" s="50">
        <f t="shared" si="32"/>
        <v>0</v>
      </c>
      <c r="AW59" s="51">
        <v>45166.583333333336</v>
      </c>
      <c r="AX59" s="72">
        <v>2.3355203318128601E-2</v>
      </c>
      <c r="AY59" s="73">
        <v>1.9734137430000001</v>
      </c>
      <c r="AZ59" s="52">
        <v>9975</v>
      </c>
      <c r="BA59" s="53">
        <f t="shared" si="33"/>
        <v>166.25</v>
      </c>
      <c r="BB59" s="72">
        <f t="shared" si="56"/>
        <v>3.8828025516388798</v>
      </c>
      <c r="BC59" s="54">
        <f t="shared" si="34"/>
        <v>72.170223328675746</v>
      </c>
      <c r="BD59" s="54">
        <f t="shared" si="35"/>
        <v>0.85350144564482522</v>
      </c>
      <c r="BE59" s="54">
        <f t="shared" si="36"/>
        <v>61.597389943534637</v>
      </c>
      <c r="BF59" s="54">
        <f t="shared" si="6"/>
        <v>0.51702521193698858</v>
      </c>
      <c r="BG59" s="54">
        <f t="shared" si="37"/>
        <v>37.313825012048376</v>
      </c>
      <c r="BI59" s="66">
        <v>45183.583333333336</v>
      </c>
      <c r="BJ59" s="67">
        <v>9.00687876097752E-3</v>
      </c>
      <c r="BK59" s="68">
        <v>0.44894941300000002</v>
      </c>
      <c r="BL59" s="68">
        <v>3109</v>
      </c>
      <c r="BM59" s="68">
        <f t="shared" si="38"/>
        <v>51.81666666666667</v>
      </c>
      <c r="BN59" s="68">
        <f t="shared" si="57"/>
        <v>0.46670643446465188</v>
      </c>
      <c r="BO59" s="69">
        <f t="shared" si="39"/>
        <v>25.573156472879504</v>
      </c>
      <c r="BP59" s="69">
        <f t="shared" si="40"/>
        <v>0</v>
      </c>
      <c r="BQ59" s="69">
        <f t="shared" si="41"/>
        <v>0</v>
      </c>
      <c r="BR59" s="69">
        <f t="shared" si="8"/>
        <v>2.6324766166675818E-2</v>
      </c>
      <c r="BS59" s="69">
        <f t="shared" si="42"/>
        <v>0.67320736429236505</v>
      </c>
      <c r="BU59" s="82">
        <v>45046.916666666664</v>
      </c>
      <c r="BV59" s="112">
        <v>4.1718362000000002E-2</v>
      </c>
      <c r="BW59" s="83">
        <v>82.711152870000006</v>
      </c>
      <c r="BX59" s="112">
        <v>6831</v>
      </c>
      <c r="BY59" s="83">
        <f t="shared" si="58"/>
        <v>113.85</v>
      </c>
      <c r="BZ59" s="84">
        <f t="shared" si="59"/>
        <v>4.7496355137000004</v>
      </c>
      <c r="CA59" s="83">
        <f t="shared" si="60"/>
        <v>79.655200179778632</v>
      </c>
      <c r="CC59" s="87">
        <v>45047.833333333336</v>
      </c>
      <c r="CD59" s="109">
        <v>4.0978694463015601E-2</v>
      </c>
      <c r="CE59" s="88">
        <v>87.494480339999996</v>
      </c>
      <c r="CF59" s="89">
        <v>7191</v>
      </c>
      <c r="CG59" s="90">
        <f t="shared" si="43"/>
        <v>119.85</v>
      </c>
      <c r="CH59" s="91">
        <f t="shared" si="44"/>
        <v>4.91129653139242</v>
      </c>
      <c r="CI59" s="91">
        <f t="shared" si="45"/>
        <v>80.971530922935756</v>
      </c>
      <c r="CK59" s="93">
        <v>45049.833333333336</v>
      </c>
      <c r="CL59">
        <v>9.8648435043626803E-2</v>
      </c>
      <c r="CM59" s="95">
        <v>126.9470365</v>
      </c>
      <c r="CN59" s="4">
        <v>3632</v>
      </c>
      <c r="CO59" s="95">
        <f t="shared" si="46"/>
        <v>60.533333333333331</v>
      </c>
      <c r="CP59" s="94">
        <f t="shared" si="47"/>
        <v>5.9715186013075421</v>
      </c>
      <c r="CQ59" s="96">
        <f t="shared" si="48"/>
        <v>89.105049150463373</v>
      </c>
      <c r="CS59" s="10">
        <v>45051.09375</v>
      </c>
      <c r="CT59" s="110">
        <v>8.2153614031987302E-2</v>
      </c>
      <c r="CU59" s="21">
        <v>107.8305381</v>
      </c>
      <c r="CV59" s="111">
        <v>4645</v>
      </c>
      <c r="CW59" s="21">
        <f t="shared" si="49"/>
        <v>77.416666666666671</v>
      </c>
      <c r="CX59" s="21">
        <f t="shared" si="50"/>
        <v>6.3600589529763507</v>
      </c>
      <c r="CY59" s="21">
        <f t="shared" si="51"/>
        <v>91.898519219011916</v>
      </c>
    </row>
    <row r="60" spans="1:103" x14ac:dyDescent="0.25">
      <c r="A60" s="10">
        <v>44776.594444444447</v>
      </c>
      <c r="B60" s="11">
        <v>1.5163016537163899E-3</v>
      </c>
      <c r="C60" s="12">
        <v>0.67182250649999997</v>
      </c>
      <c r="D60" s="9">
        <v>183</v>
      </c>
      <c r="E60" s="13">
        <f t="shared" si="12"/>
        <v>3.05</v>
      </c>
      <c r="F60" s="12">
        <f t="shared" si="52"/>
        <v>4.6247200438349892E-3</v>
      </c>
      <c r="G60" s="13">
        <f t="shared" si="14"/>
        <v>2.6695984197047946</v>
      </c>
      <c r="H60" s="11">
        <f t="shared" si="15"/>
        <v>0</v>
      </c>
      <c r="I60" s="125">
        <f t="shared" si="16"/>
        <v>0</v>
      </c>
      <c r="J60" s="21">
        <f>IF((F60-$K$96)/($I$96-$K$96)&lt;0, 0, IF((F60-$K$96)/($I$96-$K$96)&gt;1, 1, (F60-$K$96)/($I$96-$K$96)))</f>
        <v>2.3344203705784913E-4</v>
      </c>
      <c r="K60" s="125">
        <f t="shared" si="17"/>
        <v>6.231964932223021E-4</v>
      </c>
      <c r="M60" s="25">
        <v>44781.594444444447</v>
      </c>
      <c r="N60" s="26">
        <v>6.5819226188078197E-3</v>
      </c>
      <c r="O60" s="27">
        <v>13.5126390895</v>
      </c>
      <c r="P60" s="28">
        <v>6566</v>
      </c>
      <c r="Q60" s="29">
        <f t="shared" si="18"/>
        <v>109.43333333333334</v>
      </c>
      <c r="R60" s="26">
        <f t="shared" si="53"/>
        <v>0.72028173191820244</v>
      </c>
      <c r="S60" s="29">
        <f t="shared" si="19"/>
        <v>31.628057381454148</v>
      </c>
      <c r="T60" s="29">
        <f t="shared" si="20"/>
        <v>0.39785258364680337</v>
      </c>
      <c r="U60" s="126">
        <f t="shared" si="21"/>
        <v>12.583304344940883</v>
      </c>
      <c r="V60" s="128">
        <f>IF((R60-$W$102)/($U$101-$W$102)&lt;0, 0, IF((R60-$W$102)/($U$101-$W$102)&gt;1, 1, (R60-$W$102)/($U$101-$W$102)))</f>
        <v>0.34187709255102883</v>
      </c>
      <c r="W60" s="126">
        <f t="shared" si="22"/>
        <v>10.812908300608651</v>
      </c>
      <c r="Y60" s="35">
        <v>45136.59375</v>
      </c>
      <c r="Z60" s="71">
        <v>8.2986986919222194E-3</v>
      </c>
      <c r="AA60" s="70">
        <v>1.5125919880000001</v>
      </c>
      <c r="AB60" s="36">
        <v>6600</v>
      </c>
      <c r="AC60" s="37">
        <f t="shared" si="23"/>
        <v>110</v>
      </c>
      <c r="AD60" s="37">
        <f t="shared" si="54"/>
        <v>0.91285685611144418</v>
      </c>
      <c r="AE60" s="38">
        <f t="shared" si="24"/>
        <v>35.519168131343648</v>
      </c>
      <c r="AF60" s="38">
        <f t="shared" si="25"/>
        <v>2.8230804590522202E-2</v>
      </c>
      <c r="AG60" s="38">
        <f t="shared" si="26"/>
        <v>1.0027346947338662</v>
      </c>
      <c r="AH60" s="38">
        <f t="shared" si="2"/>
        <v>0.114338603306751</v>
      </c>
      <c r="AI60" s="38">
        <f t="shared" si="27"/>
        <v>4.0612120747554936</v>
      </c>
      <c r="AK60" s="45">
        <v>45151.59375</v>
      </c>
      <c r="AL60" s="4">
        <v>4.5164095459671602E-3</v>
      </c>
      <c r="AM60" s="3">
        <v>0.42386643899999998</v>
      </c>
      <c r="AN60" s="4">
        <v>703</v>
      </c>
      <c r="AO60" s="46">
        <f t="shared" si="28"/>
        <v>11.716666666666667</v>
      </c>
      <c r="AP60" s="47">
        <f t="shared" si="55"/>
        <v>5.2917265180248564E-2</v>
      </c>
      <c r="AQ60" s="50">
        <f t="shared" si="29"/>
        <v>8.806416776115098</v>
      </c>
      <c r="AR60" s="50">
        <f t="shared" si="30"/>
        <v>0</v>
      </c>
      <c r="AS60" s="50">
        <f t="shared" si="31"/>
        <v>0</v>
      </c>
      <c r="AT60" s="50">
        <f t="shared" si="4"/>
        <v>0</v>
      </c>
      <c r="AU60" s="50">
        <f t="shared" si="32"/>
        <v>0</v>
      </c>
      <c r="AW60" s="51">
        <v>45166.59375</v>
      </c>
      <c r="AX60" s="72">
        <v>2.39173471155559E-2</v>
      </c>
      <c r="AY60" s="73">
        <v>1.9734137430000001</v>
      </c>
      <c r="AZ60" s="52">
        <v>10302</v>
      </c>
      <c r="BA60" s="53">
        <f t="shared" si="33"/>
        <v>171.7</v>
      </c>
      <c r="BB60" s="72">
        <f t="shared" si="56"/>
        <v>4.1066084997409478</v>
      </c>
      <c r="BC60" s="54">
        <f t="shared" si="34"/>
        <v>74.178212802820894</v>
      </c>
      <c r="BD60" s="54">
        <f t="shared" si="35"/>
        <v>0.85350144564482522</v>
      </c>
      <c r="BE60" s="54">
        <f t="shared" si="36"/>
        <v>63.311211862557116</v>
      </c>
      <c r="BF60" s="54">
        <f t="shared" si="6"/>
        <v>0.55278662328940331</v>
      </c>
      <c r="BG60" s="54">
        <f t="shared" si="37"/>
        <v>41.004723776914147</v>
      </c>
      <c r="BI60" s="66">
        <v>45183.59375</v>
      </c>
      <c r="BJ60" s="67">
        <v>2.4100971767564601E-2</v>
      </c>
      <c r="BK60" s="68">
        <v>0.53201108200000002</v>
      </c>
      <c r="BL60" s="68">
        <v>8466</v>
      </c>
      <c r="BM60" s="68">
        <f t="shared" si="38"/>
        <v>141.1</v>
      </c>
      <c r="BN60" s="68">
        <f t="shared" si="57"/>
        <v>3.4006471164033649</v>
      </c>
      <c r="BO60" s="69">
        <f t="shared" si="39"/>
        <v>67.633099751080081</v>
      </c>
      <c r="BP60" s="69">
        <f t="shared" si="40"/>
        <v>6.3321113804638007E-2</v>
      </c>
      <c r="BQ60" s="69">
        <f t="shared" si="41"/>
        <v>4.2826032062985764</v>
      </c>
      <c r="BR60" s="69">
        <f t="shared" si="8"/>
        <v>0.27745571582770462</v>
      </c>
      <c r="BS60" s="69">
        <f t="shared" si="42"/>
        <v>18.765190105082475</v>
      </c>
      <c r="BU60" s="82">
        <v>45046.927083333336</v>
      </c>
      <c r="BV60" s="112">
        <v>4.0310358999999997E-2</v>
      </c>
      <c r="BW60" s="83">
        <v>81.397704649999994</v>
      </c>
      <c r="BX60" s="112">
        <v>7179</v>
      </c>
      <c r="BY60" s="83">
        <f t="shared" si="58"/>
        <v>119.65</v>
      </c>
      <c r="BZ60" s="84">
        <f t="shared" si="59"/>
        <v>4.8231344543499999</v>
      </c>
      <c r="CA60" s="83">
        <f t="shared" si="60"/>
        <v>80.256457217326698</v>
      </c>
      <c r="CC60" s="87">
        <v>45047.84375</v>
      </c>
      <c r="CD60" s="109">
        <v>4.0495214245331798E-2</v>
      </c>
      <c r="CE60" s="88">
        <v>84.891986889999998</v>
      </c>
      <c r="CF60" s="89">
        <v>7442</v>
      </c>
      <c r="CG60" s="90">
        <f t="shared" si="43"/>
        <v>124.03333333333333</v>
      </c>
      <c r="CH60" s="91">
        <f t="shared" si="44"/>
        <v>5.0227564068959873</v>
      </c>
      <c r="CI60" s="91">
        <f t="shared" si="45"/>
        <v>81.866259363796459</v>
      </c>
      <c r="CK60" s="93">
        <v>45049.84375</v>
      </c>
      <c r="CL60">
        <v>9.6052802079416702E-2</v>
      </c>
      <c r="CM60" s="95">
        <v>119.87671349999999</v>
      </c>
      <c r="CN60" s="4">
        <v>3741</v>
      </c>
      <c r="CO60" s="95">
        <f t="shared" si="46"/>
        <v>62.35</v>
      </c>
      <c r="CP60" s="94">
        <f t="shared" si="47"/>
        <v>5.9888922096516319</v>
      </c>
      <c r="CQ60" s="96">
        <f t="shared" si="48"/>
        <v>89.231906494615046</v>
      </c>
      <c r="CS60" s="10">
        <v>45051.104166666664</v>
      </c>
      <c r="CT60" s="110">
        <v>8.9957711384563294E-2</v>
      </c>
      <c r="CU60" s="21">
        <v>122.1341827</v>
      </c>
      <c r="CV60" s="111">
        <v>4512</v>
      </c>
      <c r="CW60" s="21">
        <f t="shared" si="49"/>
        <v>75.2</v>
      </c>
      <c r="CX60" s="21">
        <f t="shared" si="50"/>
        <v>6.7648198961191603</v>
      </c>
      <c r="CY60" s="21">
        <f t="shared" si="51"/>
        <v>94.717466433600109</v>
      </c>
    </row>
    <row r="61" spans="1:103" x14ac:dyDescent="0.25">
      <c r="A61" s="10">
        <v>44776.604861111111</v>
      </c>
      <c r="B61" s="11">
        <v>2.1448380105844999E-3</v>
      </c>
      <c r="C61" s="12">
        <v>0.69815132099999999</v>
      </c>
      <c r="D61" s="9">
        <v>217</v>
      </c>
      <c r="E61" s="13">
        <f t="shared" si="12"/>
        <v>3.6166666666666667</v>
      </c>
      <c r="F61" s="12">
        <f t="shared" si="52"/>
        <v>7.7571641382806079E-3</v>
      </c>
      <c r="G61" s="13">
        <f t="shared" si="14"/>
        <v>3.4390710041697061</v>
      </c>
      <c r="H61" s="11">
        <f t="shared" si="15"/>
        <v>0</v>
      </c>
      <c r="I61" s="125">
        <f t="shared" si="16"/>
        <v>0</v>
      </c>
      <c r="J61" s="21">
        <f>IF((F61-$K$96)/($I$96-$K$96)&lt;0, 0, IF((F61-$K$96)/($I$96-$K$96)&gt;1, 1, (F61-$K$96)/($I$96-$K$96)))</f>
        <v>8.830876872055961E-4</v>
      </c>
      <c r="K61" s="125">
        <f t="shared" si="17"/>
        <v>3.0370012592080527E-3</v>
      </c>
      <c r="M61" s="25">
        <v>44781.604861111111</v>
      </c>
      <c r="N61" s="26">
        <v>7.6504738912046904E-3</v>
      </c>
      <c r="O61" s="27">
        <v>21.08342828</v>
      </c>
      <c r="P61" s="28">
        <v>8903</v>
      </c>
      <c r="Q61" s="29">
        <f t="shared" si="18"/>
        <v>148.38333333333333</v>
      </c>
      <c r="R61" s="26">
        <f t="shared" si="53"/>
        <v>1.1352028175565894</v>
      </c>
      <c r="S61" s="29">
        <f t="shared" si="19"/>
        <v>39.520557851236589</v>
      </c>
      <c r="T61" s="29">
        <f t="shared" si="20"/>
        <v>0.64433895053537726</v>
      </c>
      <c r="U61" s="126">
        <f t="shared" si="21"/>
        <v>25.464634770438447</v>
      </c>
      <c r="V61" s="128">
        <f>IF((R61-$W$102)/($U$101-$W$102)&lt;0, 0, IF((R61-$W$102)/($U$101-$W$102)&gt;1, 1, (R61-$W$102)/($U$101-$W$102)))</f>
        <v>0.55220193884129165</v>
      </c>
      <c r="W61" s="126">
        <f t="shared" si="22"/>
        <v>21.823328669542274</v>
      </c>
      <c r="Y61" s="35">
        <v>45136.604166666664</v>
      </c>
      <c r="Z61" s="71">
        <v>1.14772214194534E-2</v>
      </c>
      <c r="AA61" s="70">
        <v>1.88950475</v>
      </c>
      <c r="AB61" s="36">
        <v>7854</v>
      </c>
      <c r="AC61" s="37">
        <f t="shared" si="23"/>
        <v>130.9</v>
      </c>
      <c r="AD61" s="37">
        <f t="shared" si="54"/>
        <v>1.50236828380645</v>
      </c>
      <c r="AE61" s="38">
        <f t="shared" si="24"/>
        <v>45.33368254123814</v>
      </c>
      <c r="AF61" s="38">
        <f t="shared" si="25"/>
        <v>4.7902820207207909E-2</v>
      </c>
      <c r="AG61" s="38">
        <f t="shared" si="26"/>
        <v>2.1716112441035706</v>
      </c>
      <c r="AH61" s="38">
        <f t="shared" si="2"/>
        <v>0.27064157682525419</v>
      </c>
      <c r="AI61" s="38">
        <f t="shared" si="27"/>
        <v>12.269179326256188</v>
      </c>
      <c r="AK61" s="45">
        <v>45151.604166666664</v>
      </c>
      <c r="AL61" s="4">
        <v>6.4941977104702496E-3</v>
      </c>
      <c r="AM61" s="3">
        <v>0.59425534599999996</v>
      </c>
      <c r="AN61" s="4">
        <v>1297</v>
      </c>
      <c r="AO61" s="46">
        <f t="shared" si="28"/>
        <v>21.616666666666667</v>
      </c>
      <c r="AP61" s="47">
        <f t="shared" si="55"/>
        <v>0.14038290717466523</v>
      </c>
      <c r="AQ61" s="50">
        <f t="shared" si="29"/>
        <v>14.200164389583941</v>
      </c>
      <c r="AR61" s="50">
        <f t="shared" si="30"/>
        <v>0</v>
      </c>
      <c r="AS61" s="50">
        <f t="shared" si="31"/>
        <v>0</v>
      </c>
      <c r="AT61" s="50">
        <f t="shared" si="4"/>
        <v>1.5536997972350312E-2</v>
      </c>
      <c r="AU61" s="50">
        <f t="shared" si="32"/>
        <v>0.22062792532800679</v>
      </c>
      <c r="AW61" s="51">
        <v>45166.604166666664</v>
      </c>
      <c r="AX61" s="72">
        <v>2.6806143579513199E-2</v>
      </c>
      <c r="AY61" s="73">
        <v>2.1522282119999998</v>
      </c>
      <c r="AZ61" s="52">
        <v>9901</v>
      </c>
      <c r="BA61" s="53">
        <f t="shared" si="33"/>
        <v>165.01666666666668</v>
      </c>
      <c r="BB61" s="72">
        <f t="shared" si="56"/>
        <v>4.4234604596793368</v>
      </c>
      <c r="BC61" s="54">
        <f t="shared" si="34"/>
        <v>76.927800845856368</v>
      </c>
      <c r="BD61" s="54">
        <f t="shared" si="35"/>
        <v>0.94922959222381909</v>
      </c>
      <c r="BE61" s="54">
        <f t="shared" si="36"/>
        <v>73.022145027587399</v>
      </c>
      <c r="BF61" s="54">
        <f t="shared" si="6"/>
        <v>0.60341563191614422</v>
      </c>
      <c r="BG61" s="54">
        <f t="shared" si="37"/>
        <v>46.419437559321715</v>
      </c>
      <c r="BI61" s="66">
        <v>45183.604166666664</v>
      </c>
      <c r="BJ61" s="67">
        <v>1.7258350457656599E-2</v>
      </c>
      <c r="BK61" s="68">
        <v>0.81307424100000003</v>
      </c>
      <c r="BL61" s="68">
        <v>7471</v>
      </c>
      <c r="BM61" s="68">
        <f t="shared" si="38"/>
        <v>124.51666666666667</v>
      </c>
      <c r="BN61" s="68">
        <f t="shared" si="57"/>
        <v>2.1489522711525408</v>
      </c>
      <c r="BO61" s="69">
        <f t="shared" si="39"/>
        <v>54.018813623467587</v>
      </c>
      <c r="BP61" s="69">
        <f t="shared" si="40"/>
        <v>0.35184615416999454</v>
      </c>
      <c r="BQ61" s="69">
        <f t="shared" si="41"/>
        <v>19.006311826242779</v>
      </c>
      <c r="BR61" s="69">
        <f t="shared" si="8"/>
        <v>0.17031676884465166</v>
      </c>
      <c r="BS61" s="69">
        <f t="shared" si="42"/>
        <v>9.2003097931704492</v>
      </c>
      <c r="BU61" s="82">
        <v>45046.9375</v>
      </c>
      <c r="BV61" s="112">
        <v>4.9174943999999998E-2</v>
      </c>
      <c r="BW61" s="83">
        <v>85.762083380000007</v>
      </c>
      <c r="BX61" s="112">
        <v>7179</v>
      </c>
      <c r="BY61" s="83">
        <f t="shared" si="58"/>
        <v>119.65</v>
      </c>
      <c r="BZ61" s="84">
        <f t="shared" si="59"/>
        <v>5.8837820495999997</v>
      </c>
      <c r="CA61" s="83">
        <f t="shared" si="60"/>
        <v>88.461524281679715</v>
      </c>
      <c r="CC61" s="87">
        <v>45047.854166666664</v>
      </c>
      <c r="CD61" s="109">
        <v>3.96494890590572E-2</v>
      </c>
      <c r="CE61" s="88">
        <v>84.027783200000002</v>
      </c>
      <c r="CF61" s="89">
        <v>7441</v>
      </c>
      <c r="CG61" s="90">
        <f t="shared" si="43"/>
        <v>124.01666666666667</v>
      </c>
      <c r="CH61" s="91">
        <f t="shared" si="44"/>
        <v>4.9171974681407438</v>
      </c>
      <c r="CI61" s="91">
        <f t="shared" si="45"/>
        <v>81.019158027383341</v>
      </c>
      <c r="CK61" s="93">
        <v>45049.854166666664</v>
      </c>
      <c r="CL61">
        <v>9.3097577309588106E-2</v>
      </c>
      <c r="CM61" s="95">
        <v>132.70838019999999</v>
      </c>
      <c r="CN61" s="4">
        <v>3627</v>
      </c>
      <c r="CO61" s="95">
        <f t="shared" si="46"/>
        <v>60.45</v>
      </c>
      <c r="CP61" s="94">
        <f t="shared" si="47"/>
        <v>5.6277485483646013</v>
      </c>
      <c r="CQ61" s="96">
        <f t="shared" si="48"/>
        <v>86.555065178774925</v>
      </c>
      <c r="CS61" s="10">
        <v>45051.114583333336</v>
      </c>
      <c r="CT61" s="110">
        <v>8.4573478519595804E-2</v>
      </c>
      <c r="CU61" s="21">
        <v>105.42475589999999</v>
      </c>
      <c r="CV61" s="111">
        <v>4531</v>
      </c>
      <c r="CW61" s="21">
        <f t="shared" si="49"/>
        <v>75.516666666666666</v>
      </c>
      <c r="CX61" s="21">
        <f t="shared" si="50"/>
        <v>6.3867071862048101</v>
      </c>
      <c r="CY61" s="21">
        <f t="shared" si="51"/>
        <v>92.086876467994969</v>
      </c>
    </row>
    <row r="62" spans="1:103" x14ac:dyDescent="0.25">
      <c r="A62" s="10">
        <v>44776.615277777775</v>
      </c>
      <c r="B62" s="11">
        <v>6.3360207758395102E-3</v>
      </c>
      <c r="C62" s="12">
        <v>1.3141996124999999</v>
      </c>
      <c r="D62" s="9">
        <v>1822</v>
      </c>
      <c r="E62" s="13">
        <f t="shared" si="12"/>
        <v>30.366666666666667</v>
      </c>
      <c r="F62" s="12">
        <f t="shared" si="52"/>
        <v>0.19240383089299312</v>
      </c>
      <c r="G62" s="13">
        <f t="shared" si="14"/>
        <v>16.570402163552938</v>
      </c>
      <c r="H62" s="11">
        <f t="shared" si="15"/>
        <v>4.9341335671810996E-2</v>
      </c>
      <c r="I62" s="125">
        <f t="shared" si="16"/>
        <v>0.81760577536876866</v>
      </c>
      <c r="J62" s="21">
        <f>IF((F62-$K$96)/($I$96-$K$96)&lt;0, 0, IF((F62-$K$96)/($I$96-$K$96)&gt;1, 1, (F62-$K$96)/($I$96-$K$96)))</f>
        <v>3.9177435568523253E-2</v>
      </c>
      <c r="K62" s="125">
        <f t="shared" si="17"/>
        <v>0.64918586310711357</v>
      </c>
      <c r="M62" s="25">
        <v>44781.615277777775</v>
      </c>
      <c r="N62" s="26">
        <v>9.6643334557268094E-3</v>
      </c>
      <c r="O62" s="27">
        <v>28.119352749999901</v>
      </c>
      <c r="P62" s="28">
        <v>10574</v>
      </c>
      <c r="Q62" s="29">
        <f t="shared" si="18"/>
        <v>176.23333333333332</v>
      </c>
      <c r="R62" s="26">
        <f t="shared" si="53"/>
        <v>1.703177699347588</v>
      </c>
      <c r="S62" s="29">
        <f t="shared" si="19"/>
        <v>48.206055461172006</v>
      </c>
      <c r="T62" s="29">
        <f t="shared" si="20"/>
        <v>0.8734114311809722</v>
      </c>
      <c r="U62" s="126">
        <f t="shared" si="21"/>
        <v>42.103719891931561</v>
      </c>
      <c r="V62" s="128">
        <f>IF((R62-$W$102)/($U$101-$W$102)&lt;0, 0, IF((R62-$W$102)/($U$101-$W$102)&gt;1, 1, (R62-$W$102)/($U$101-$W$102)))</f>
        <v>0.8401102516367841</v>
      </c>
      <c r="W62" s="126">
        <f t="shared" si="22"/>
        <v>40.498401383901985</v>
      </c>
      <c r="Y62" s="35">
        <v>45136.614583333336</v>
      </c>
      <c r="Z62" s="71">
        <v>1.30097885776974E-2</v>
      </c>
      <c r="AA62" s="70">
        <v>4.4021109559999996</v>
      </c>
      <c r="AB62" s="36">
        <v>10081</v>
      </c>
      <c r="AC62" s="37">
        <f t="shared" si="23"/>
        <v>168.01666666666668</v>
      </c>
      <c r="AD62" s="37">
        <f t="shared" si="54"/>
        <v>2.1858613108627916</v>
      </c>
      <c r="AE62" s="38">
        <f t="shared" si="24"/>
        <v>54.471179758949042</v>
      </c>
      <c r="AF62" s="38">
        <f t="shared" si="25"/>
        <v>0.17904199485530178</v>
      </c>
      <c r="AG62" s="38">
        <f t="shared" si="26"/>
        <v>9.7526286861639733</v>
      </c>
      <c r="AH62" s="38">
        <f t="shared" si="2"/>
        <v>0.45186281782101034</v>
      </c>
      <c r="AI62" s="38">
        <f t="shared" si="27"/>
        <v>24.613500775913497</v>
      </c>
      <c r="AK62" s="45">
        <v>45151.614583333336</v>
      </c>
      <c r="AL62" s="4">
        <v>5.0241242592723896E-3</v>
      </c>
      <c r="AM62" s="3">
        <v>0.50323377899999999</v>
      </c>
      <c r="AN62" s="4">
        <v>905</v>
      </c>
      <c r="AO62" s="46">
        <f t="shared" si="28"/>
        <v>15.083333333333334</v>
      </c>
      <c r="AP62" s="47">
        <f t="shared" si="55"/>
        <v>7.5780540910691876E-2</v>
      </c>
      <c r="AQ62" s="50">
        <f t="shared" si="29"/>
        <v>10.499605913709754</v>
      </c>
      <c r="AR62" s="50">
        <f t="shared" si="30"/>
        <v>0</v>
      </c>
      <c r="AS62" s="50">
        <f t="shared" si="31"/>
        <v>0</v>
      </c>
      <c r="AT62" s="50">
        <f t="shared" si="4"/>
        <v>0</v>
      </c>
      <c r="AU62" s="50">
        <f t="shared" si="32"/>
        <v>0</v>
      </c>
      <c r="AW62" s="51">
        <v>45166.614583333336</v>
      </c>
      <c r="AX62" s="72">
        <v>2.26472397089727E-2</v>
      </c>
      <c r="AY62" s="73">
        <v>1.729502407</v>
      </c>
      <c r="AZ62" s="52">
        <v>10038</v>
      </c>
      <c r="BA62" s="53">
        <f t="shared" si="33"/>
        <v>167.3</v>
      </c>
      <c r="BB62" s="72">
        <f t="shared" si="56"/>
        <v>3.788883203311133</v>
      </c>
      <c r="BC62" s="54">
        <f t="shared" si="34"/>
        <v>71.310016358111767</v>
      </c>
      <c r="BD62" s="54">
        <f t="shared" si="35"/>
        <v>0.72292375662746577</v>
      </c>
      <c r="BE62" s="54">
        <f t="shared" si="36"/>
        <v>51.551704910772195</v>
      </c>
      <c r="BF62" s="54">
        <f t="shared" si="6"/>
        <v>0.50201806633615975</v>
      </c>
      <c r="BG62" s="54">
        <f t="shared" si="37"/>
        <v>35.798916522499191</v>
      </c>
      <c r="BI62" s="66">
        <v>45183.614583333336</v>
      </c>
      <c r="BJ62" s="67">
        <v>5.6744170912803898E-2</v>
      </c>
      <c r="BK62" s="68">
        <v>1.200201638</v>
      </c>
      <c r="BL62" s="68">
        <v>9147</v>
      </c>
      <c r="BM62" s="68">
        <f t="shared" si="38"/>
        <v>152.44999999999999</v>
      </c>
      <c r="BN62" s="68">
        <f t="shared" si="57"/>
        <v>8.6506488556569536</v>
      </c>
      <c r="BO62" s="69">
        <f t="shared" si="39"/>
        <v>106.83814356839687</v>
      </c>
      <c r="BP62" s="69">
        <f t="shared" si="40"/>
        <v>0.74925130767131276</v>
      </c>
      <c r="BQ62" s="69">
        <f t="shared" si="41"/>
        <v>80.048618777796804</v>
      </c>
      <c r="BR62" s="69">
        <f t="shared" si="8"/>
        <v>0.72683014613472718</v>
      </c>
      <c r="BS62" s="69">
        <f t="shared" si="42"/>
        <v>77.653183502580859</v>
      </c>
      <c r="BU62" s="82">
        <v>45046.947916666664</v>
      </c>
      <c r="BV62" s="112">
        <v>4.2629045999999997E-2</v>
      </c>
      <c r="BW62" s="83">
        <v>82.276892649999994</v>
      </c>
      <c r="BX62" s="112">
        <v>6271</v>
      </c>
      <c r="BY62" s="83">
        <f t="shared" si="58"/>
        <v>104.51666666666667</v>
      </c>
      <c r="BZ62" s="84">
        <f t="shared" si="59"/>
        <v>4.4554457910999998</v>
      </c>
      <c r="CA62" s="83">
        <f t="shared" si="60"/>
        <v>77.199696987500261</v>
      </c>
      <c r="CC62" s="87">
        <v>45047.864583333336</v>
      </c>
      <c r="CD62" s="109">
        <v>4.2526514183503797E-2</v>
      </c>
      <c r="CE62" s="88">
        <v>84.027783200000002</v>
      </c>
      <c r="CF62" s="89">
        <v>7317</v>
      </c>
      <c r="CG62" s="90">
        <f t="shared" si="43"/>
        <v>121.95</v>
      </c>
      <c r="CH62" s="91">
        <f t="shared" si="44"/>
        <v>5.1861084046782882</v>
      </c>
      <c r="CI62" s="91">
        <f t="shared" si="45"/>
        <v>83.15943300506575</v>
      </c>
      <c r="CK62" s="93">
        <v>45049.864583333336</v>
      </c>
      <c r="CL62">
        <v>9.2480545026010996E-2</v>
      </c>
      <c r="CM62" s="95">
        <v>133.7707528</v>
      </c>
      <c r="CN62" s="4">
        <v>3560</v>
      </c>
      <c r="CO62" s="95">
        <f t="shared" si="46"/>
        <v>59.333333333333336</v>
      </c>
      <c r="CP62" s="94">
        <f t="shared" si="47"/>
        <v>5.4871790048766522</v>
      </c>
      <c r="CQ62" s="96">
        <f t="shared" si="48"/>
        <v>85.489516476400496</v>
      </c>
      <c r="CS62" s="10">
        <v>45051.125</v>
      </c>
      <c r="CT62" s="110">
        <v>8.9204004774220705E-2</v>
      </c>
      <c r="CU62" s="21">
        <v>109.8197124</v>
      </c>
      <c r="CV62" s="111">
        <v>4358</v>
      </c>
      <c r="CW62" s="21">
        <f t="shared" si="49"/>
        <v>72.63333333333334</v>
      </c>
      <c r="CX62" s="21">
        <f t="shared" si="50"/>
        <v>6.4791842134342312</v>
      </c>
      <c r="CY62" s="21">
        <f t="shared" si="51"/>
        <v>92.737438741561135</v>
      </c>
    </row>
    <row r="63" spans="1:103" x14ac:dyDescent="0.25">
      <c r="A63" s="10">
        <v>44776.625694444447</v>
      </c>
      <c r="B63" s="11">
        <v>2.7100659833378001E-2</v>
      </c>
      <c r="C63" s="12">
        <v>12.6789259225</v>
      </c>
      <c r="D63" s="9">
        <v>10683</v>
      </c>
      <c r="E63" s="13">
        <f t="shared" si="12"/>
        <v>178.05</v>
      </c>
      <c r="F63" s="12">
        <f t="shared" si="52"/>
        <v>4.8252724833329532</v>
      </c>
      <c r="G63" s="13">
        <f t="shared" si="14"/>
        <v>80.273877098790663</v>
      </c>
      <c r="H63" s="11">
        <f t="shared" si="15"/>
        <v>1</v>
      </c>
      <c r="I63" s="125">
        <f t="shared" si="16"/>
        <v>80.273877098790663</v>
      </c>
      <c r="J63" s="21">
        <f>IF((F63-$K$96)/($I$96-$K$96)&lt;0, 0, IF((F63-$K$96)/($I$96-$K$96)&gt;1, 1, (F63-$K$96)/($I$96-$K$96)))</f>
        <v>1</v>
      </c>
      <c r="K63" s="125">
        <f t="shared" si="17"/>
        <v>80.273877098790663</v>
      </c>
      <c r="M63" s="25">
        <v>44781.625694444447</v>
      </c>
      <c r="N63" s="26">
        <v>1.03130225848837E-2</v>
      </c>
      <c r="O63" s="27">
        <v>32.007500319999998</v>
      </c>
      <c r="P63" s="28">
        <v>11744</v>
      </c>
      <c r="Q63" s="29">
        <f t="shared" si="18"/>
        <v>195.73333333333332</v>
      </c>
      <c r="R63" s="26">
        <f t="shared" si="53"/>
        <v>2.0186022872812361</v>
      </c>
      <c r="S63" s="29">
        <f t="shared" si="19"/>
        <v>52.388619007464662</v>
      </c>
      <c r="T63" s="29">
        <f t="shared" si="20"/>
        <v>1</v>
      </c>
      <c r="U63" s="126">
        <f t="shared" si="21"/>
        <v>52.388619007464662</v>
      </c>
      <c r="V63" s="128">
        <f>IF((R63-$W$102)/($U$101-$W$102)&lt;0, 0, IF((R63-$W$102)/($U$101-$W$102)&gt;1, 1, (R63-$W$102)/($U$101-$W$102)))</f>
        <v>1</v>
      </c>
      <c r="W63" s="126">
        <f t="shared" si="22"/>
        <v>52.388619007464662</v>
      </c>
      <c r="Y63" s="35">
        <v>45136.625</v>
      </c>
      <c r="Z63" s="71">
        <v>1.91440093988796E-2</v>
      </c>
      <c r="AA63" s="70">
        <v>14.6021538</v>
      </c>
      <c r="AB63" s="36">
        <v>10289</v>
      </c>
      <c r="AC63" s="37">
        <f t="shared" si="23"/>
        <v>171.48333333333332</v>
      </c>
      <c r="AD63" s="37">
        <f t="shared" si="54"/>
        <v>3.2828785450845364</v>
      </c>
      <c r="AE63" s="38">
        <f t="shared" si="24"/>
        <v>66.475800518584137</v>
      </c>
      <c r="AF63" s="38">
        <f t="shared" si="25"/>
        <v>0.71140763048223077</v>
      </c>
      <c r="AG63" s="38">
        <f t="shared" si="26"/>
        <v>47.291391731335388</v>
      </c>
      <c r="AH63" s="38">
        <f t="shared" si="2"/>
        <v>0.74272580648323272</v>
      </c>
      <c r="AI63" s="38">
        <f t="shared" si="27"/>
        <v>49.373292551783905</v>
      </c>
      <c r="AK63" s="45">
        <v>45151.625</v>
      </c>
      <c r="AL63" s="4">
        <v>6.1805829942155003E-3</v>
      </c>
      <c r="AM63" s="3">
        <v>0.59425534599999996</v>
      </c>
      <c r="AN63" s="4">
        <v>1267</v>
      </c>
      <c r="AO63" s="46">
        <f t="shared" si="28"/>
        <v>21.116666666666667</v>
      </c>
      <c r="AP63" s="47">
        <f t="shared" si="55"/>
        <v>0.13051331089451731</v>
      </c>
      <c r="AQ63" s="50">
        <f t="shared" si="29"/>
        <v>13.702182629894377</v>
      </c>
      <c r="AR63" s="50">
        <f t="shared" si="30"/>
        <v>0</v>
      </c>
      <c r="AS63" s="50">
        <f t="shared" si="31"/>
        <v>0</v>
      </c>
      <c r="AT63" s="50">
        <f t="shared" si="4"/>
        <v>7.7206678952547415E-3</v>
      </c>
      <c r="AU63" s="50">
        <f t="shared" si="32"/>
        <v>0.1057900015255427</v>
      </c>
      <c r="AW63" s="51">
        <v>45166.625</v>
      </c>
      <c r="AX63" s="72">
        <v>2.02472921111106E-2</v>
      </c>
      <c r="AY63" s="73">
        <v>1.317101139</v>
      </c>
      <c r="AZ63" s="52">
        <v>9938</v>
      </c>
      <c r="BA63" s="53">
        <f t="shared" si="33"/>
        <v>165.63333333333333</v>
      </c>
      <c r="BB63" s="72">
        <f t="shared" si="56"/>
        <v>3.353626483336952</v>
      </c>
      <c r="BC63" s="54">
        <f t="shared" si="34"/>
        <v>67.173524646610915</v>
      </c>
      <c r="BD63" s="54">
        <f t="shared" si="35"/>
        <v>0.50214515155570849</v>
      </c>
      <c r="BE63" s="54">
        <f t="shared" si="36"/>
        <v>33.730859714203561</v>
      </c>
      <c r="BF63" s="54">
        <f t="shared" si="6"/>
        <v>0.43246944737005094</v>
      </c>
      <c r="BG63" s="54">
        <f t="shared" si="37"/>
        <v>29.050497081818317</v>
      </c>
      <c r="BI63" s="66">
        <v>45183.625</v>
      </c>
      <c r="BJ63" s="67">
        <v>5.1852698622373301E-2</v>
      </c>
      <c r="BK63" s="68">
        <v>1.9748874890000001</v>
      </c>
      <c r="BL63" s="68">
        <v>8687</v>
      </c>
      <c r="BM63" s="68">
        <f t="shared" si="38"/>
        <v>144.78333333333333</v>
      </c>
      <c r="BN63" s="68">
        <f t="shared" si="57"/>
        <v>7.5074065488759478</v>
      </c>
      <c r="BO63" s="69">
        <f t="shared" si="39"/>
        <v>99.673799545223744</v>
      </c>
      <c r="BP63" s="69">
        <f t="shared" si="40"/>
        <v>1</v>
      </c>
      <c r="BQ63" s="69">
        <f t="shared" si="41"/>
        <v>99.673799545223744</v>
      </c>
      <c r="BR63" s="69">
        <f t="shared" si="8"/>
        <v>0.62897420516019309</v>
      </c>
      <c r="BS63" s="69">
        <f t="shared" si="42"/>
        <v>62.69224884425352</v>
      </c>
      <c r="BU63" s="82">
        <v>45046.958333333336</v>
      </c>
      <c r="BV63" s="112">
        <v>4.4217264999999999E-2</v>
      </c>
      <c r="BW63" s="83">
        <v>81.405228940000001</v>
      </c>
      <c r="BX63" s="112">
        <v>6313</v>
      </c>
      <c r="BY63" s="83">
        <f t="shared" si="58"/>
        <v>105.21666666666667</v>
      </c>
      <c r="BZ63" s="84">
        <f t="shared" si="59"/>
        <v>4.6523932324166664</v>
      </c>
      <c r="CA63" s="83">
        <f t="shared" si="60"/>
        <v>78.852366764286216</v>
      </c>
      <c r="CC63" s="87">
        <v>45047.875</v>
      </c>
      <c r="CD63" s="109">
        <v>4.3113848719199301E-2</v>
      </c>
      <c r="CE63" s="88">
        <v>84.899432570000002</v>
      </c>
      <c r="CF63" s="89">
        <v>6957</v>
      </c>
      <c r="CG63" s="90">
        <f t="shared" si="43"/>
        <v>115.95</v>
      </c>
      <c r="CH63" s="91">
        <f t="shared" si="44"/>
        <v>4.9990507589911592</v>
      </c>
      <c r="CI63" s="91">
        <f t="shared" si="45"/>
        <v>81.6768206745962</v>
      </c>
      <c r="CK63" s="93">
        <v>45049.875</v>
      </c>
      <c r="CL63">
        <v>0.106073387474772</v>
      </c>
      <c r="CM63" s="95">
        <v>135.52973059999999</v>
      </c>
      <c r="CN63" s="4">
        <v>3917</v>
      </c>
      <c r="CO63" s="95">
        <f t="shared" si="46"/>
        <v>65.283333333333331</v>
      </c>
      <c r="CP63" s="94">
        <f t="shared" si="47"/>
        <v>6.9248243123113653</v>
      </c>
      <c r="CQ63" s="96">
        <f t="shared" si="48"/>
        <v>95.8079973303809</v>
      </c>
      <c r="CS63" s="10">
        <v>45051.135416666664</v>
      </c>
      <c r="CT63" s="110">
        <v>8.7461120174415097E-2</v>
      </c>
      <c r="CU63" s="21">
        <v>99.304680700000006</v>
      </c>
      <c r="CV63" s="111">
        <v>4576</v>
      </c>
      <c r="CW63" s="21">
        <f t="shared" si="49"/>
        <v>76.266666666666666</v>
      </c>
      <c r="CX63" s="21">
        <f t="shared" si="50"/>
        <v>6.6703680986353913</v>
      </c>
      <c r="CY63" s="21">
        <f t="shared" si="51"/>
        <v>94.067532064514893</v>
      </c>
    </row>
    <row r="64" spans="1:103" x14ac:dyDescent="0.25">
      <c r="A64" s="10">
        <v>44776.636111111111</v>
      </c>
      <c r="B64" s="11">
        <v>1.24645744986261E-2</v>
      </c>
      <c r="C64" s="12">
        <v>22.620213794999898</v>
      </c>
      <c r="D64" s="9">
        <v>11852</v>
      </c>
      <c r="E64" s="13">
        <f t="shared" si="12"/>
        <v>197.53333333333333</v>
      </c>
      <c r="F64" s="12">
        <f t="shared" si="52"/>
        <v>2.4621689492952754</v>
      </c>
      <c r="G64" s="13">
        <f t="shared" si="14"/>
        <v>57.74068660746331</v>
      </c>
      <c r="H64" s="11">
        <f t="shared" si="15"/>
        <v>1</v>
      </c>
      <c r="I64" s="125">
        <f t="shared" si="16"/>
        <v>57.74068660746331</v>
      </c>
      <c r="J64" s="21">
        <f>IF((F64-$K$96)/($I$96-$K$96)&lt;0, 0, IF((F64-$K$96)/($I$96-$K$96)&gt;1, 1, (F64-$K$96)/($I$96-$K$96)))</f>
        <v>0.50990987055172243</v>
      </c>
      <c r="K64" s="125">
        <f t="shared" si="17"/>
        <v>29.442546033579191</v>
      </c>
      <c r="M64" s="25">
        <v>44781.636111111111</v>
      </c>
      <c r="N64" s="26">
        <v>9.1361670131292396E-3</v>
      </c>
      <c r="O64" s="27">
        <v>31.620971515000001</v>
      </c>
      <c r="P64" s="28">
        <v>9639</v>
      </c>
      <c r="Q64" s="29">
        <f t="shared" si="18"/>
        <v>160.65</v>
      </c>
      <c r="R64" s="26">
        <f t="shared" si="53"/>
        <v>1.4677252306592123</v>
      </c>
      <c r="S64" s="29">
        <f t="shared" si="19"/>
        <v>44.818728513329802</v>
      </c>
      <c r="T64" s="29">
        <f t="shared" si="20"/>
        <v>0.9874155681204565</v>
      </c>
      <c r="U64" s="126">
        <f t="shared" si="21"/>
        <v>44.254710277426049</v>
      </c>
      <c r="V64" s="128">
        <f>IF((R64-$W$102)/($U$101-$W$102)&lt;0, 0, IF((R64-$W$102)/($U$101-$W$102)&gt;1, 1, (R64-$W$102)/($U$101-$W$102)))</f>
        <v>0.72075863032943832</v>
      </c>
      <c r="W64" s="126">
        <f t="shared" si="22"/>
        <v>32.303485376374532</v>
      </c>
      <c r="Y64" s="35">
        <v>45136.635416666664</v>
      </c>
      <c r="Z64" s="71">
        <v>2.2161578187086601E-2</v>
      </c>
      <c r="AA64" s="70">
        <v>13.238676509999999</v>
      </c>
      <c r="AB64" s="36">
        <v>9280</v>
      </c>
      <c r="AC64" s="37">
        <f t="shared" si="23"/>
        <v>154.66666666666666</v>
      </c>
      <c r="AD64" s="37">
        <f t="shared" si="54"/>
        <v>3.427657426269394</v>
      </c>
      <c r="AE64" s="38">
        <f t="shared" si="24"/>
        <v>67.895630319562855</v>
      </c>
      <c r="AF64" s="38">
        <f t="shared" si="25"/>
        <v>0.64024435545925251</v>
      </c>
      <c r="AG64" s="38">
        <f t="shared" si="26"/>
        <v>43.469794072448202</v>
      </c>
      <c r="AH64" s="38">
        <f t="shared" si="2"/>
        <v>0.78111245781645</v>
      </c>
      <c r="AI64" s="38">
        <f t="shared" si="27"/>
        <v>53.034122673910822</v>
      </c>
      <c r="AK64" s="45">
        <v>45151.635416666664</v>
      </c>
      <c r="AL64" s="4">
        <v>6.3237965110980602E-3</v>
      </c>
      <c r="AM64" s="3">
        <v>0.69769667099999999</v>
      </c>
      <c r="AN64" s="4">
        <v>1633</v>
      </c>
      <c r="AO64" s="46">
        <f t="shared" si="28"/>
        <v>27.216666666666665</v>
      </c>
      <c r="AP64" s="47">
        <f t="shared" si="55"/>
        <v>0.17211266171038553</v>
      </c>
      <c r="AQ64" s="50">
        <f t="shared" si="29"/>
        <v>15.690295798650439</v>
      </c>
      <c r="AR64" s="50">
        <f t="shared" si="30"/>
        <v>5.033140178475267E-2</v>
      </c>
      <c r="AS64" s="50">
        <f t="shared" si="31"/>
        <v>0.78971458196349198</v>
      </c>
      <c r="AT64" s="50">
        <f t="shared" si="4"/>
        <v>4.0665709185722584E-2</v>
      </c>
      <c r="AU64" s="50">
        <f t="shared" si="32"/>
        <v>0.63805700598588366</v>
      </c>
      <c r="AW64" s="51">
        <v>45166.635416666664</v>
      </c>
      <c r="AX64" s="72">
        <v>1.9758487775732199E-2</v>
      </c>
      <c r="AY64" s="73">
        <v>1.200201638</v>
      </c>
      <c r="AZ64" s="52">
        <v>9561</v>
      </c>
      <c r="BA64" s="53">
        <f t="shared" si="33"/>
        <v>159.35</v>
      </c>
      <c r="BB64" s="72">
        <f t="shared" si="56"/>
        <v>3.1485150270629259</v>
      </c>
      <c r="BC64" s="54">
        <f t="shared" si="34"/>
        <v>65.129236714115137</v>
      </c>
      <c r="BD64" s="54">
        <f t="shared" si="35"/>
        <v>0.43956312097775091</v>
      </c>
      <c r="BE64" s="54">
        <f t="shared" si="36"/>
        <v>28.628410556955167</v>
      </c>
      <c r="BF64" s="54">
        <f t="shared" si="6"/>
        <v>0.39969518366923518</v>
      </c>
      <c r="BG64" s="54">
        <f t="shared" si="37"/>
        <v>26.031842230685346</v>
      </c>
      <c r="BI64" s="66">
        <v>45183.635416666664</v>
      </c>
      <c r="BJ64" s="67">
        <v>5.3260935853835997E-2</v>
      </c>
      <c r="BK64" s="68">
        <v>1.5125919880000001</v>
      </c>
      <c r="BL64" s="68">
        <v>8011</v>
      </c>
      <c r="BM64" s="68">
        <f t="shared" si="38"/>
        <v>133.51666666666668</v>
      </c>
      <c r="BN64" s="68">
        <f t="shared" si="57"/>
        <v>7.111222618751337</v>
      </c>
      <c r="BO64" s="69">
        <f t="shared" si="39"/>
        <v>97.062328103421052</v>
      </c>
      <c r="BP64" s="69">
        <f t="shared" si="40"/>
        <v>1</v>
      </c>
      <c r="BQ64" s="69">
        <f t="shared" si="41"/>
        <v>97.062328103421052</v>
      </c>
      <c r="BR64" s="69">
        <f t="shared" si="8"/>
        <v>0.59506280155714275</v>
      </c>
      <c r="BS64" s="69">
        <f t="shared" si="42"/>
        <v>57.758180886880318</v>
      </c>
      <c r="BU64" s="82">
        <v>45046.96875</v>
      </c>
      <c r="BV64" s="112">
        <v>4.4653986999999999E-2</v>
      </c>
      <c r="BW64" s="83">
        <v>77.875916610000004</v>
      </c>
      <c r="BX64" s="112">
        <v>6250</v>
      </c>
      <c r="BY64" s="83">
        <f t="shared" si="58"/>
        <v>104.16666666666667</v>
      </c>
      <c r="BZ64" s="84">
        <f t="shared" si="59"/>
        <v>4.6514569791666664</v>
      </c>
      <c r="CA64" s="83">
        <f t="shared" si="60"/>
        <v>78.844595636301676</v>
      </c>
      <c r="CC64" s="87">
        <v>45047.885416666664</v>
      </c>
      <c r="CD64" s="109">
        <v>4.4601137040666199E-2</v>
      </c>
      <c r="CE64" s="88">
        <v>82.718647970000006</v>
      </c>
      <c r="CF64" s="89">
        <v>6997</v>
      </c>
      <c r="CG64" s="90">
        <f t="shared" si="43"/>
        <v>116.61666666666666</v>
      </c>
      <c r="CH64" s="91">
        <f t="shared" si="44"/>
        <v>5.2012359312256899</v>
      </c>
      <c r="CI64" s="91">
        <f t="shared" si="45"/>
        <v>83.278131465126677</v>
      </c>
      <c r="CK64" s="93">
        <v>45049.885416666664</v>
      </c>
      <c r="CL64">
        <v>9.5922141710424999E-2</v>
      </c>
      <c r="CM64" s="95">
        <v>129.12778700000001</v>
      </c>
      <c r="CN64" s="4">
        <v>3623</v>
      </c>
      <c r="CO64" s="95">
        <f t="shared" si="46"/>
        <v>60.383333333333333</v>
      </c>
      <c r="CP64" s="94">
        <f t="shared" si="47"/>
        <v>5.7920986569478297</v>
      </c>
      <c r="CQ64" s="96">
        <f t="shared" si="48"/>
        <v>87.783796153347112</v>
      </c>
      <c r="CS64" s="10">
        <v>45051.145833333336</v>
      </c>
      <c r="CT64" s="110">
        <v>7.9281719070325898E-2</v>
      </c>
      <c r="CU64" s="21">
        <v>98.474887140000007</v>
      </c>
      <c r="CV64" s="111">
        <v>4606</v>
      </c>
      <c r="CW64" s="21">
        <f t="shared" si="49"/>
        <v>76.766666666666666</v>
      </c>
      <c r="CX64" s="21">
        <f t="shared" si="50"/>
        <v>6.0861933006320177</v>
      </c>
      <c r="CY64" s="21">
        <f t="shared" si="51"/>
        <v>89.938927080289218</v>
      </c>
    </row>
    <row r="65" spans="1:103" x14ac:dyDescent="0.25">
      <c r="A65" s="10">
        <v>44776.646527777775</v>
      </c>
      <c r="B65" s="11">
        <v>1.0060327126060999E-2</v>
      </c>
      <c r="C65" s="12">
        <v>19.508647905</v>
      </c>
      <c r="D65" s="9">
        <v>9885</v>
      </c>
      <c r="E65" s="13">
        <f t="shared" si="12"/>
        <v>164.75</v>
      </c>
      <c r="F65" s="12">
        <f t="shared" si="52"/>
        <v>1.6574388940185496</v>
      </c>
      <c r="G65" s="13">
        <f t="shared" si="14"/>
        <v>47.567699592066525</v>
      </c>
      <c r="H65" s="11">
        <f t="shared" si="15"/>
        <v>1</v>
      </c>
      <c r="I65" s="125">
        <f t="shared" si="16"/>
        <v>47.567699592066525</v>
      </c>
      <c r="J65" s="21">
        <f>IF((F65-$K$96)/($I$96-$K$96)&lt;0, 0, IF((F65-$K$96)/($I$96-$K$96)&gt;1, 1, (F65-$K$96)/($I$96-$K$96)))</f>
        <v>0.34301483134553851</v>
      </c>
      <c r="K65" s="125">
        <f t="shared" si="17"/>
        <v>16.31642645306794</v>
      </c>
      <c r="M65" s="25">
        <v>44781.646527777775</v>
      </c>
      <c r="N65" s="26">
        <v>8.4765582589645706E-3</v>
      </c>
      <c r="O65" s="27">
        <v>30.826982135000002</v>
      </c>
      <c r="P65" s="28">
        <v>9640</v>
      </c>
      <c r="Q65" s="29">
        <f t="shared" si="18"/>
        <v>160.66666666666666</v>
      </c>
      <c r="R65" s="26">
        <f t="shared" si="53"/>
        <v>1.361900360273641</v>
      </c>
      <c r="S65" s="29">
        <f t="shared" si="19"/>
        <v>43.206049923903961</v>
      </c>
      <c r="T65" s="29">
        <f t="shared" si="20"/>
        <v>0.961565217159702</v>
      </c>
      <c r="U65" s="126">
        <f t="shared" si="21"/>
        <v>41.545434777691639</v>
      </c>
      <c r="V65" s="128">
        <f>IF((R65-$W$102)/($U$101-$W$102)&lt;0, 0, IF((R65-$W$102)/($U$101-$W$102)&gt;1, 1, (R65-$W$102)/($U$101-$W$102)))</f>
        <v>0.66711565973109599</v>
      </c>
      <c r="W65" s="126">
        <f t="shared" si="22"/>
        <v>28.823432499359861</v>
      </c>
      <c r="Y65" s="35">
        <v>45136.645833333336</v>
      </c>
      <c r="Z65" s="71">
        <v>2.74909315822277E-2</v>
      </c>
      <c r="AA65" s="70">
        <v>14.6021538</v>
      </c>
      <c r="AB65" s="36">
        <v>9010</v>
      </c>
      <c r="AC65" s="37">
        <f t="shared" si="23"/>
        <v>150.16666666666666</v>
      </c>
      <c r="AD65" s="37">
        <f t="shared" si="54"/>
        <v>4.1282215592645262</v>
      </c>
      <c r="AE65" s="38">
        <f t="shared" si="24"/>
        <v>74.369135417746435</v>
      </c>
      <c r="AF65" s="38">
        <f t="shared" si="25"/>
        <v>0.71140763048223077</v>
      </c>
      <c r="AG65" s="38">
        <f t="shared" si="26"/>
        <v>52.906770408551139</v>
      </c>
      <c r="AH65" s="38">
        <f t="shared" si="2"/>
        <v>0.96685992933824583</v>
      </c>
      <c r="AI65" s="38">
        <f t="shared" si="27"/>
        <v>71.904537014948758</v>
      </c>
      <c r="AK65" s="45">
        <v>45151.645833333336</v>
      </c>
      <c r="AL65" s="4">
        <v>4.28503411207875E-3</v>
      </c>
      <c r="AM65" s="3">
        <v>0.50323377899999999</v>
      </c>
      <c r="AN65" s="4">
        <v>999</v>
      </c>
      <c r="AO65" s="46">
        <f t="shared" si="28"/>
        <v>16.649999999999999</v>
      </c>
      <c r="AP65" s="47">
        <f t="shared" si="55"/>
        <v>7.1345817966111183E-2</v>
      </c>
      <c r="AQ65" s="50">
        <f t="shared" si="29"/>
        <v>10.194082820384464</v>
      </c>
      <c r="AR65" s="50">
        <f t="shared" si="30"/>
        <v>0</v>
      </c>
      <c r="AS65" s="50">
        <f t="shared" si="31"/>
        <v>0</v>
      </c>
      <c r="AT65" s="50">
        <f t="shared" si="4"/>
        <v>0</v>
      </c>
      <c r="AU65" s="50">
        <f t="shared" si="32"/>
        <v>0</v>
      </c>
      <c r="AW65" s="51">
        <v>45166.645833333336</v>
      </c>
      <c r="AX65" s="72">
        <v>2.1139988783839998E-2</v>
      </c>
      <c r="AY65" s="73">
        <v>1.511415151</v>
      </c>
      <c r="AZ65" s="52">
        <v>9841</v>
      </c>
      <c r="BA65" s="53">
        <f t="shared" si="33"/>
        <v>164.01666666666668</v>
      </c>
      <c r="BB65" s="72">
        <f t="shared" si="56"/>
        <v>3.4673104936961572</v>
      </c>
      <c r="BC65" s="54">
        <f t="shared" si="34"/>
        <v>68.27913876301389</v>
      </c>
      <c r="BD65" s="54">
        <f t="shared" si="35"/>
        <v>0.60617096292944239</v>
      </c>
      <c r="BE65" s="54">
        <f t="shared" si="36"/>
        <v>41.388831291969147</v>
      </c>
      <c r="BF65" s="54">
        <f t="shared" si="6"/>
        <v>0.45063474053193603</v>
      </c>
      <c r="BG65" s="54">
        <f t="shared" si="37"/>
        <v>30.768951980214819</v>
      </c>
      <c r="BI65" s="66">
        <v>45183.645833333336</v>
      </c>
      <c r="BJ65" s="67">
        <v>4.0899762043143599E-2</v>
      </c>
      <c r="BK65" s="68">
        <v>1.0404225359999999</v>
      </c>
      <c r="BL65" s="68">
        <v>8770</v>
      </c>
      <c r="BM65" s="68">
        <f t="shared" si="38"/>
        <v>146.16666666666666</v>
      </c>
      <c r="BN65" s="68">
        <f t="shared" si="57"/>
        <v>5.9781818853061557</v>
      </c>
      <c r="BO65" s="69">
        <f t="shared" si="39"/>
        <v>89.15372486745953</v>
      </c>
      <c r="BP65" s="69">
        <f t="shared" si="40"/>
        <v>0.58523026692690683</v>
      </c>
      <c r="BQ65" s="69">
        <f t="shared" si="41"/>
        <v>52.175458201711351</v>
      </c>
      <c r="BR65" s="69">
        <f t="shared" si="8"/>
        <v>0.49808006528495097</v>
      </c>
      <c r="BS65" s="69">
        <f t="shared" si="42"/>
        <v>44.405693102380802</v>
      </c>
      <c r="BU65" s="82">
        <v>45046.979166666664</v>
      </c>
      <c r="BV65" s="112">
        <v>4.6686294000000003E-2</v>
      </c>
      <c r="BW65" s="83">
        <v>77.875916610000004</v>
      </c>
      <c r="BX65" s="112">
        <v>6465</v>
      </c>
      <c r="BY65" s="83">
        <f t="shared" si="58"/>
        <v>107.75</v>
      </c>
      <c r="BZ65" s="84">
        <f t="shared" si="59"/>
        <v>5.0304481785000004</v>
      </c>
      <c r="CA65" s="83">
        <f t="shared" si="60"/>
        <v>81.927628458854997</v>
      </c>
      <c r="CC65" s="87">
        <v>45047.895833333336</v>
      </c>
      <c r="CD65" s="109">
        <v>4.4362627564106201E-2</v>
      </c>
      <c r="CE65" s="88">
        <v>86.199962600000006</v>
      </c>
      <c r="CF65" s="89">
        <v>7226</v>
      </c>
      <c r="CG65" s="90">
        <f t="shared" si="43"/>
        <v>120.43333333333334</v>
      </c>
      <c r="CH65" s="91">
        <f t="shared" si="44"/>
        <v>5.3427391129705235</v>
      </c>
      <c r="CI65" s="91">
        <f t="shared" si="45"/>
        <v>84.380016860651793</v>
      </c>
      <c r="CK65" s="93">
        <v>45049.895833333336</v>
      </c>
      <c r="CL65">
        <v>8.6829775335143702E-2</v>
      </c>
      <c r="CM65" s="95">
        <v>119.87671349999999</v>
      </c>
      <c r="CN65" s="4">
        <v>3767</v>
      </c>
      <c r="CO65" s="95">
        <f t="shared" si="46"/>
        <v>62.783333333333331</v>
      </c>
      <c r="CP65" s="94">
        <f t="shared" si="47"/>
        <v>5.4514627281247723</v>
      </c>
      <c r="CQ65" s="96">
        <f t="shared" si="48"/>
        <v>85.216566503490611</v>
      </c>
      <c r="CS65" s="10">
        <v>45051.15625</v>
      </c>
      <c r="CT65" s="110">
        <v>8.1649983623313396E-2</v>
      </c>
      <c r="CU65" s="21">
        <v>109.0251016</v>
      </c>
      <c r="CV65" s="111">
        <v>4530</v>
      </c>
      <c r="CW65" s="21">
        <f t="shared" si="49"/>
        <v>75.5</v>
      </c>
      <c r="CX65" s="21">
        <f t="shared" si="50"/>
        <v>6.1645737635601616</v>
      </c>
      <c r="CY65" s="21">
        <f t="shared" si="51"/>
        <v>90.504280063681136</v>
      </c>
    </row>
    <row r="66" spans="1:103" x14ac:dyDescent="0.25">
      <c r="A66" s="10">
        <v>44776.656944444447</v>
      </c>
      <c r="B66" s="11">
        <v>8.5108884807833796E-3</v>
      </c>
      <c r="C66" s="12">
        <v>15.20489341</v>
      </c>
      <c r="D66" s="9">
        <v>7309</v>
      </c>
      <c r="E66" s="13">
        <f t="shared" si="12"/>
        <v>121.81666666666666</v>
      </c>
      <c r="F66" s="12">
        <f t="shared" si="52"/>
        <v>1.036768065100762</v>
      </c>
      <c r="G66" s="13">
        <f t="shared" si="14"/>
        <v>37.803575502160662</v>
      </c>
      <c r="H66" s="11">
        <f t="shared" si="15"/>
        <v>1</v>
      </c>
      <c r="I66" s="125">
        <f t="shared" si="16"/>
        <v>37.803575502160662</v>
      </c>
      <c r="J66" s="21">
        <f>IF((F66-$K$96)/($I$96-$K$96)&lt;0, 0, IF((F66-$K$96)/($I$96-$K$96)&gt;1, 1, (F66-$K$96)/($I$96-$K$96)))</f>
        <v>0.21429230924370399</v>
      </c>
      <c r="K66" s="125">
        <f t="shared" si="17"/>
        <v>8.1010154920267254</v>
      </c>
      <c r="M66" s="25">
        <v>44781.656944444447</v>
      </c>
      <c r="N66" s="26">
        <v>9.0524697506822703E-3</v>
      </c>
      <c r="O66" s="27">
        <v>30.790400730000002</v>
      </c>
      <c r="P66" s="28">
        <v>9073</v>
      </c>
      <c r="Q66" s="29">
        <f t="shared" si="18"/>
        <v>151.21666666666667</v>
      </c>
      <c r="R66" s="26">
        <f t="shared" si="53"/>
        <v>1.3688843007990039</v>
      </c>
      <c r="S66" s="29">
        <f t="shared" si="19"/>
        <v>43.31440835604613</v>
      </c>
      <c r="T66" s="29">
        <f t="shared" si="20"/>
        <v>0.96037421614418783</v>
      </c>
      <c r="U66" s="126">
        <f t="shared" si="21"/>
        <v>41.598040972687059</v>
      </c>
      <c r="V66" s="128">
        <f>IF((R66-$W$102)/($U$101-$W$102)&lt;0, 0, IF((R66-$W$102)/($U$101-$W$102)&gt;1, 1, (R66-$W$102)/($U$101-$W$102)))</f>
        <v>0.67065584187256821</v>
      </c>
      <c r="W66" s="126">
        <f t="shared" si="22"/>
        <v>29.049061001236321</v>
      </c>
      <c r="Y66" s="35">
        <v>45136.65625</v>
      </c>
      <c r="Z66" s="71">
        <v>3.3894640450781402E-2</v>
      </c>
      <c r="AA66" s="70">
        <v>20.131538750000001</v>
      </c>
      <c r="AB66" s="36">
        <v>7529</v>
      </c>
      <c r="AC66" s="37">
        <f t="shared" si="23"/>
        <v>125.48333333333333</v>
      </c>
      <c r="AD66" s="37">
        <f t="shared" si="54"/>
        <v>4.2532124658988861</v>
      </c>
      <c r="AE66" s="38">
        <f t="shared" si="24"/>
        <v>75.463396074733694</v>
      </c>
      <c r="AF66" s="38">
        <f t="shared" si="25"/>
        <v>1</v>
      </c>
      <c r="AG66" s="38">
        <f t="shared" si="26"/>
        <v>75.463396074733694</v>
      </c>
      <c r="AH66" s="38">
        <f t="shared" si="2"/>
        <v>1</v>
      </c>
      <c r="AI66" s="38">
        <f t="shared" si="27"/>
        <v>75.463396074733694</v>
      </c>
      <c r="AK66" s="45">
        <v>45151.65625</v>
      </c>
      <c r="AL66" s="4">
        <v>5.3342621805738399E-3</v>
      </c>
      <c r="AM66" s="3">
        <v>0.59425534599999996</v>
      </c>
      <c r="AN66" s="4">
        <v>1215</v>
      </c>
      <c r="AO66" s="46">
        <f t="shared" si="28"/>
        <v>20.25</v>
      </c>
      <c r="AP66" s="47">
        <f t="shared" si="55"/>
        <v>0.10801880915662027</v>
      </c>
      <c r="AQ66" s="50">
        <f t="shared" si="29"/>
        <v>12.489879304026099</v>
      </c>
      <c r="AR66" s="50">
        <f t="shared" si="30"/>
        <v>0</v>
      </c>
      <c r="AS66" s="50">
        <f t="shared" si="31"/>
        <v>0</v>
      </c>
      <c r="AT66" s="50">
        <f t="shared" si="4"/>
        <v>0</v>
      </c>
      <c r="AU66" s="50">
        <f t="shared" si="32"/>
        <v>0</v>
      </c>
      <c r="AW66" s="51">
        <v>45166.65625</v>
      </c>
      <c r="AX66" s="72">
        <v>2.1083112129099899E-2</v>
      </c>
      <c r="AY66" s="73">
        <v>1.200201638</v>
      </c>
      <c r="AZ66" s="52">
        <v>9102</v>
      </c>
      <c r="BA66" s="53">
        <f t="shared" si="33"/>
        <v>151.69999999999999</v>
      </c>
      <c r="BB66" s="72">
        <f t="shared" si="56"/>
        <v>3.1983081099844544</v>
      </c>
      <c r="BC66" s="54">
        <f t="shared" si="34"/>
        <v>65.631610794766416</v>
      </c>
      <c r="BD66" s="54">
        <f t="shared" si="35"/>
        <v>0.43956312097775091</v>
      </c>
      <c r="BE66" s="54">
        <f t="shared" si="36"/>
        <v>28.849235675744573</v>
      </c>
      <c r="BF66" s="54">
        <f t="shared" si="6"/>
        <v>0.4076515000047134</v>
      </c>
      <c r="BG66" s="54">
        <f t="shared" si="37"/>
        <v>26.75482458821207</v>
      </c>
      <c r="BI66" s="66">
        <v>45183.65625</v>
      </c>
      <c r="BJ66" s="67">
        <v>6.2147021210142303E-2</v>
      </c>
      <c r="BK66" s="68">
        <v>1.8086265969999999</v>
      </c>
      <c r="BL66" s="68">
        <v>7627</v>
      </c>
      <c r="BM66" s="68">
        <f t="shared" si="38"/>
        <v>127.11666666666666</v>
      </c>
      <c r="BN66" s="68">
        <f t="shared" si="57"/>
        <v>7.8999221794959222</v>
      </c>
      <c r="BO66" s="69">
        <f t="shared" si="39"/>
        <v>102.1926083809247</v>
      </c>
      <c r="BP66" s="69">
        <f t="shared" si="40"/>
        <v>1</v>
      </c>
      <c r="BQ66" s="69">
        <f t="shared" si="41"/>
        <v>102.1926083809247</v>
      </c>
      <c r="BR66" s="69">
        <f t="shared" si="8"/>
        <v>0.6625716202958174</v>
      </c>
      <c r="BS66" s="69">
        <f t="shared" si="42"/>
        <v>67.70992211720521</v>
      </c>
      <c r="BU66" s="82">
        <v>45046.989583333336</v>
      </c>
      <c r="BV66" s="112">
        <v>4.7387278999999997E-2</v>
      </c>
      <c r="BW66" s="83">
        <v>80.961047410000006</v>
      </c>
      <c r="BX66" s="112">
        <v>6049</v>
      </c>
      <c r="BY66" s="83">
        <f t="shared" si="58"/>
        <v>100.81666666666666</v>
      </c>
      <c r="BZ66" s="84">
        <f t="shared" si="59"/>
        <v>4.7774275111833333</v>
      </c>
      <c r="CA66" s="83">
        <f t="shared" si="60"/>
        <v>79.883106696123889</v>
      </c>
      <c r="CC66" s="87">
        <v>45047.90625</v>
      </c>
      <c r="CD66" s="109">
        <v>4.1361693243066398E-2</v>
      </c>
      <c r="CE66" s="88">
        <v>86.199962600000006</v>
      </c>
      <c r="CF66" s="89">
        <v>7198</v>
      </c>
      <c r="CG66" s="90">
        <f t="shared" si="43"/>
        <v>119.96666666666667</v>
      </c>
      <c r="CH66" s="91">
        <f t="shared" si="44"/>
        <v>4.9620244660598658</v>
      </c>
      <c r="CI66" s="91">
        <f t="shared" si="45"/>
        <v>81.380013330349172</v>
      </c>
      <c r="CK66" s="93">
        <v>45049.90625</v>
      </c>
      <c r="CL66">
        <v>0.10483621117073399</v>
      </c>
      <c r="CM66" s="95">
        <v>130.567172</v>
      </c>
      <c r="CN66" s="4">
        <v>3699</v>
      </c>
      <c r="CO66" s="95">
        <f t="shared" si="46"/>
        <v>61.65</v>
      </c>
      <c r="CP66" s="94">
        <f t="shared" si="47"/>
        <v>6.463152418675751</v>
      </c>
      <c r="CQ66" s="96">
        <f t="shared" si="48"/>
        <v>92.624998581066876</v>
      </c>
      <c r="CS66" s="10">
        <v>45051.166666666664</v>
      </c>
      <c r="CT66" s="110">
        <v>9.0325333527084301E-2</v>
      </c>
      <c r="CU66" s="21">
        <v>107.0292163</v>
      </c>
      <c r="CV66" s="111">
        <v>4675</v>
      </c>
      <c r="CW66" s="21">
        <f t="shared" si="49"/>
        <v>77.916666666666671</v>
      </c>
      <c r="CX66" s="21">
        <f t="shared" si="50"/>
        <v>7.0378489039853189</v>
      </c>
      <c r="CY66" s="21">
        <f t="shared" si="51"/>
        <v>96.570600212764106</v>
      </c>
    </row>
    <row r="67" spans="1:103" x14ac:dyDescent="0.25">
      <c r="A67" s="10">
        <v>44776.667361111111</v>
      </c>
      <c r="B67" s="11">
        <v>8.7778912773804098E-3</v>
      </c>
      <c r="C67" s="12">
        <v>17.173613769999999</v>
      </c>
      <c r="D67" s="9">
        <v>8052</v>
      </c>
      <c r="E67" s="13">
        <f t="shared" si="12"/>
        <v>134.19999999999999</v>
      </c>
      <c r="F67" s="12">
        <f t="shared" ref="F67:F94" si="61">E67*B67</f>
        <v>1.1779930094244508</v>
      </c>
      <c r="G67" s="13">
        <f t="shared" si="14"/>
        <v>40.243169637786821</v>
      </c>
      <c r="H67" s="11">
        <f t="shared" si="15"/>
        <v>1</v>
      </c>
      <c r="I67" s="125">
        <f t="shared" si="16"/>
        <v>40.243169637786821</v>
      </c>
      <c r="J67" s="21">
        <f>IF((F67-$K$96)/($I$96-$K$96)&lt;0, 0, IF((F67-$K$96)/($I$96-$K$96)&gt;1, 1, (F67-$K$96)/($I$96-$K$96)))</f>
        <v>0.24358131425258012</v>
      </c>
      <c r="K67" s="125">
        <f t="shared" si="17"/>
        <v>9.8024841500616429</v>
      </c>
      <c r="M67" s="25">
        <v>44781.667361111111</v>
      </c>
      <c r="N67" s="26">
        <v>7.8646514729987498E-3</v>
      </c>
      <c r="O67" s="27">
        <v>28.530895780000002</v>
      </c>
      <c r="P67" s="28">
        <v>7779</v>
      </c>
      <c r="Q67" s="29">
        <f t="shared" si="18"/>
        <v>129.65</v>
      </c>
      <c r="R67" s="26">
        <f t="shared" ref="R67:R98" si="62">Q67*N67</f>
        <v>1.0196520634742881</v>
      </c>
      <c r="S67" s="29">
        <f t="shared" si="19"/>
        <v>37.496655980859039</v>
      </c>
      <c r="T67" s="29">
        <f t="shared" si="20"/>
        <v>0.88681026500536786</v>
      </c>
      <c r="U67" s="126">
        <f t="shared" si="21"/>
        <v>33.252419427200714</v>
      </c>
      <c r="V67" s="128">
        <f>IF((R67-$W$102)/($U$101-$W$102)&lt;0, 0, IF((R67-$W$102)/($U$101-$W$102)&gt;1, 1, (R67-$W$102)/($U$101-$W$102)))</f>
        <v>0.49362888619998829</v>
      </c>
      <c r="W67" s="126">
        <f t="shared" si="22"/>
        <v>18.509432528055576</v>
      </c>
      <c r="Y67" s="35">
        <v>45136.666666666664</v>
      </c>
      <c r="Z67" s="71">
        <v>2.8544689536798101E-2</v>
      </c>
      <c r="AA67" s="70">
        <v>10.529934320000001</v>
      </c>
      <c r="AB67" s="36">
        <v>8328</v>
      </c>
      <c r="AC67" s="37">
        <f t="shared" si="23"/>
        <v>138.80000000000001</v>
      </c>
      <c r="AD67" s="37">
        <f t="shared" ref="AD67:AD100" si="63">Z67*AC67</f>
        <v>3.9620029077075767</v>
      </c>
      <c r="AE67" s="38">
        <f t="shared" si="24"/>
        <v>72.887401129850275</v>
      </c>
      <c r="AF67" s="38">
        <f t="shared" si="25"/>
        <v>0.49886835539891111</v>
      </c>
      <c r="AG67" s="38">
        <f t="shared" si="26"/>
        <v>36.361217930949145</v>
      </c>
      <c r="AH67" s="38">
        <f t="shared" ref="AH67:AH82" si="64">IF((AD67-$AI$102)/($AG$102-$AI$102)&lt;0, 0, IF((AD67-$AI$102)/($AG$102-$AI$102)&gt;1, 1, (AD67-$AI$102)/($AG$102-$AI$102)))</f>
        <v>0.9227887404315761</v>
      </c>
      <c r="AI67" s="38">
        <f t="shared" si="27"/>
        <v>67.259673081945579</v>
      </c>
      <c r="AK67" s="45">
        <v>45151.666666666664</v>
      </c>
      <c r="AL67" s="4">
        <v>4.94110435991711E-3</v>
      </c>
      <c r="AM67" s="3">
        <v>0.59425534599999996</v>
      </c>
      <c r="AN67" s="4">
        <v>1160</v>
      </c>
      <c r="AO67" s="46">
        <f t="shared" si="28"/>
        <v>19.333333333333332</v>
      </c>
      <c r="AP67" s="47">
        <f t="shared" ref="AP67:AP98" si="65">AO67*AL67</f>
        <v>9.5528017625064118E-2</v>
      </c>
      <c r="AQ67" s="50">
        <f t="shared" si="29"/>
        <v>11.760441570256852</v>
      </c>
      <c r="AR67" s="50">
        <f t="shared" si="30"/>
        <v>0</v>
      </c>
      <c r="AS67" s="50">
        <f t="shared" si="31"/>
        <v>0</v>
      </c>
      <c r="AT67" s="50">
        <f t="shared" ref="AT67:AT98" si="66">IF((AP67-$AU$101)/($AS$101-$AU$101)&lt;0, 0, IF((AP67-$AU$101)/($AS$101-$AU$101)&gt;1, 1, (AP67-$AU$101)/($AS$101-$AU$101)))</f>
        <v>0</v>
      </c>
      <c r="AU67" s="50">
        <f t="shared" si="32"/>
        <v>0</v>
      </c>
      <c r="AW67" s="51">
        <v>45166.666666666664</v>
      </c>
      <c r="AX67" s="72">
        <v>1.64349425586818E-2</v>
      </c>
      <c r="AY67" s="73">
        <v>0.89859415399999998</v>
      </c>
      <c r="AZ67" s="52">
        <v>8363</v>
      </c>
      <c r="BA67" s="53">
        <f t="shared" si="33"/>
        <v>139.38333333333333</v>
      </c>
      <c r="BB67" s="72">
        <f t="shared" ref="BB67:BB98" si="67">BA67*AX67</f>
        <v>2.2907570769709316</v>
      </c>
      <c r="BC67" s="54">
        <f t="shared" si="34"/>
        <v>55.735939623692062</v>
      </c>
      <c r="BD67" s="54">
        <f t="shared" si="35"/>
        <v>0.27809785701371681</v>
      </c>
      <c r="BE67" s="54">
        <f t="shared" si="36"/>
        <v>15.500045367994668</v>
      </c>
      <c r="BF67" s="54">
        <f t="shared" ref="BF67:BF98" si="68">IF((BB67-$BG$101)/($BE$101-$BG$101)&lt;0, 0, IF((BB67-$BG$101)/($BE$101-$BG$101)&gt;1, 1, (BB67-$BG$101)/($BE$101-$BG$101)))</f>
        <v>0.26263611462226577</v>
      </c>
      <c r="BG67" s="54">
        <f t="shared" si="37"/>
        <v>14.638270627587673</v>
      </c>
      <c r="BI67" s="66">
        <v>45183.666666666664</v>
      </c>
      <c r="BJ67" s="67">
        <v>6.7195709589701405E-2</v>
      </c>
      <c r="BK67" s="68">
        <v>1.9734137430000001</v>
      </c>
      <c r="BL67" s="68">
        <v>6705</v>
      </c>
      <c r="BM67" s="68">
        <f t="shared" si="38"/>
        <v>111.75</v>
      </c>
      <c r="BN67" s="68">
        <f t="shared" ref="BN67:BN98" si="69">BM67*BJ67</f>
        <v>7.5091205466491324</v>
      </c>
      <c r="BO67" s="69">
        <f t="shared" si="39"/>
        <v>99.684942648089418</v>
      </c>
      <c r="BP67" s="69">
        <f t="shared" si="40"/>
        <v>1</v>
      </c>
      <c r="BQ67" s="69">
        <f t="shared" si="41"/>
        <v>99.684942648089418</v>
      </c>
      <c r="BR67" s="69">
        <f t="shared" ref="BR67:BR98" si="70">IF((BN67-$BS$101)/($BQ$101-$BS$101)&lt;0, 0, IF((BN67-$BS$101)/($BQ$101-$BS$101)&gt;1, 1, (BN67-$BS$101)/($BQ$101-$BS$101)))</f>
        <v>0.62912091497308953</v>
      </c>
      <c r="BS67" s="69">
        <f t="shared" si="42"/>
        <v>62.713882327805969</v>
      </c>
      <c r="BU67" s="82">
        <v>45047</v>
      </c>
      <c r="BV67" s="112">
        <v>4.7906320000000002E-2</v>
      </c>
      <c r="BW67" s="83">
        <v>82.276892649999994</v>
      </c>
      <c r="BX67" s="112">
        <v>6026</v>
      </c>
      <c r="BY67" s="83">
        <f t="shared" si="58"/>
        <v>100.43333333333334</v>
      </c>
      <c r="BZ67" s="84">
        <f t="shared" si="59"/>
        <v>4.8113914053333335</v>
      </c>
      <c r="CA67" s="83">
        <f t="shared" si="60"/>
        <v>80.160708793370546</v>
      </c>
      <c r="CC67" s="87">
        <v>45047.916666666664</v>
      </c>
      <c r="CD67" s="109">
        <v>5.7988092370202797E-2</v>
      </c>
      <c r="CE67" s="88">
        <v>87.494480339999996</v>
      </c>
      <c r="CF67" s="89">
        <v>4784</v>
      </c>
      <c r="CG67" s="90">
        <f t="shared" si="43"/>
        <v>79.733333333333334</v>
      </c>
      <c r="CH67" s="91">
        <f t="shared" si="44"/>
        <v>4.623583898317503</v>
      </c>
      <c r="CI67" s="91">
        <f t="shared" si="45"/>
        <v>78.612875640169861</v>
      </c>
      <c r="CK67" s="93">
        <v>45049.916666666664</v>
      </c>
      <c r="CL67">
        <v>9.3491647134785097E-2</v>
      </c>
      <c r="CM67" s="95">
        <v>122.1341827</v>
      </c>
      <c r="CN67" s="4">
        <v>3729</v>
      </c>
      <c r="CO67" s="95">
        <f t="shared" si="46"/>
        <v>62.15</v>
      </c>
      <c r="CP67" s="94">
        <f t="shared" si="47"/>
        <v>5.8105058694268941</v>
      </c>
      <c r="CQ67" s="96">
        <f t="shared" si="48"/>
        <v>87.920299972711945</v>
      </c>
      <c r="CS67" s="10">
        <v>45051.177083333336</v>
      </c>
      <c r="CT67" s="110">
        <v>7.9954241189571798E-2</v>
      </c>
      <c r="CU67" s="21">
        <v>101.7699069</v>
      </c>
      <c r="CV67" s="111">
        <v>4481</v>
      </c>
      <c r="CW67" s="21">
        <f t="shared" si="49"/>
        <v>74.683333333333337</v>
      </c>
      <c r="CX67" s="21">
        <f t="shared" si="50"/>
        <v>5.971249246174521</v>
      </c>
      <c r="CY67" s="21">
        <f t="shared" si="51"/>
        <v>89.103080911235722</v>
      </c>
    </row>
    <row r="68" spans="1:103" x14ac:dyDescent="0.25">
      <c r="A68" s="10">
        <v>44776.677777777775</v>
      </c>
      <c r="B68" s="11">
        <v>8.7982744717244495E-3</v>
      </c>
      <c r="C68" s="12">
        <v>19.879890565</v>
      </c>
      <c r="D68" s="9">
        <v>9082</v>
      </c>
      <c r="E68" s="13">
        <f t="shared" ref="E68:E94" si="71">D68/60</f>
        <v>151.36666666666667</v>
      </c>
      <c r="F68" s="12">
        <f t="shared" si="61"/>
        <v>1.3317654792033575</v>
      </c>
      <c r="G68" s="13">
        <f t="shared" ref="G68:G94" si="72">37.141*F68^0.4897</f>
        <v>42.735212073900847</v>
      </c>
      <c r="H68" s="11">
        <f t="shared" ref="H68:H94" si="73">IF((C68-$F$1)/($D$1-$F$1)&lt;0, 0, IF((C68-$F$1)/($D$1-$F$1)&gt;1, 1, (C68-$F$1)/($D$1-$F$1)))</f>
        <v>1</v>
      </c>
      <c r="I68" s="125">
        <f t="shared" ref="I68:I94" si="74">G68*H68</f>
        <v>42.735212073900847</v>
      </c>
      <c r="J68" s="21">
        <f>IF((F68-$K$96)/($I$96-$K$96)&lt;0, 0, IF((F68-$K$96)/($I$96-$K$96)&gt;1, 1, (F68-$K$96)/($I$96-$K$96)))</f>
        <v>0.27547258288893944</v>
      </c>
      <c r="K68" s="125">
        <f t="shared" ref="K68:K94" si="75">G68*J68</f>
        <v>11.772379250304057</v>
      </c>
      <c r="M68" s="25">
        <v>44781.677777777775</v>
      </c>
      <c r="N68" s="26">
        <v>7.7673222083756502E-3</v>
      </c>
      <c r="O68" s="27">
        <v>25.756546825000001</v>
      </c>
      <c r="P68" s="28">
        <v>6901</v>
      </c>
      <c r="Q68" s="29">
        <f t="shared" ref="Q68:Q99" si="76">P68/60</f>
        <v>115.01666666666667</v>
      </c>
      <c r="R68" s="26">
        <f t="shared" si="62"/>
        <v>0.89337150933333931</v>
      </c>
      <c r="S68" s="29">
        <f t="shared" ref="S68:S99" si="77">37.141*R68^0.4897</f>
        <v>35.145846764055413</v>
      </c>
      <c r="T68" s="29">
        <f t="shared" ref="T68:T99" si="78">IF((O68-$R$1)/($P$1-$R$1)&lt;0, 0, IF((O68-$R$1)/($P$1-$R$1)&gt;1, 1, (O68-$R$1)/($P$1-$R$1)))</f>
        <v>0.79648425312048288</v>
      </c>
      <c r="U68" s="126">
        <f t="shared" ref="U68:U99" si="79">S68*T68</f>
        <v>27.993113510155617</v>
      </c>
      <c r="V68" s="128">
        <f>IF((R68-$W$102)/($U$101-$W$102)&lt;0, 0, IF((R68-$W$102)/($U$101-$W$102)&gt;1, 1, (R68-$W$102)/($U$101-$W$102)))</f>
        <v>0.42961686305038183</v>
      </c>
      <c r="W68" s="126">
        <f t="shared" ref="W68:W99" si="80">S68*V68</f>
        <v>15.099248436022899</v>
      </c>
      <c r="Y68" s="35">
        <v>45136.677083333336</v>
      </c>
      <c r="Z68" s="71">
        <v>1.9428027849175401E-2</v>
      </c>
      <c r="AA68" s="70">
        <v>5.509495866</v>
      </c>
      <c r="AB68" s="36">
        <v>9064</v>
      </c>
      <c r="AC68" s="37">
        <f t="shared" ref="AC68:AC100" si="81">AB68/60</f>
        <v>151.06666666666666</v>
      </c>
      <c r="AD68" s="37">
        <f t="shared" si="63"/>
        <v>2.934927407082097</v>
      </c>
      <c r="AE68" s="38">
        <f t="shared" ref="AE68:AE100" si="82">37.141*AD68^0.4897</f>
        <v>62.926854263426122</v>
      </c>
      <c r="AF68" s="38">
        <f t="shared" ref="AF68:AF100" si="83">IF((AA68-$AD$1)/($AB$1-$AD$1)&lt;0, 0, IF((AA68-$AD$1)/($AB$1-$AD$1)&gt;1, 1, (AA68-$AD$1)/($AB$1-$AD$1)))</f>
        <v>0.23683917085859696</v>
      </c>
      <c r="AG68" s="38">
        <f t="shared" ref="AG68:AG100" si="84">AE68*AF68</f>
        <v>14.903543988489609</v>
      </c>
      <c r="AH68" s="38">
        <f t="shared" si="64"/>
        <v>0.65047009276182577</v>
      </c>
      <c r="AI68" s="38">
        <f t="shared" ref="AI68:AI100" si="85">AE68*AH68</f>
        <v>40.932036729940684</v>
      </c>
      <c r="AK68" s="45">
        <v>45151.677083333336</v>
      </c>
      <c r="AL68" s="4">
        <v>6.99976730464526E-3</v>
      </c>
      <c r="AM68" s="3">
        <v>0.89783227600000004</v>
      </c>
      <c r="AN68" s="4">
        <v>2164</v>
      </c>
      <c r="AO68" s="46">
        <f t="shared" ref="AO68:AO99" si="86">AN68/60</f>
        <v>36.06666666666667</v>
      </c>
      <c r="AP68" s="47">
        <f t="shared" si="65"/>
        <v>0.25245827412087241</v>
      </c>
      <c r="AQ68" s="50">
        <f t="shared" ref="AQ68:AQ99" si="87">37.141*AP68^0.4897</f>
        <v>18.928048678101096</v>
      </c>
      <c r="AR68" s="50">
        <f t="shared" ref="AR68:AR99" si="88">IF((AM68-$AP$1)/($AN$1-$AP$1)&lt;0, 0, IF((AM68-$AP$1)/($AN$1-$AP$1)&gt;1, 1, (AM68-$AP$1)/($AN$1-$AP$1)))</f>
        <v>0.15919647935312212</v>
      </c>
      <c r="AS68" s="50">
        <f t="shared" ref="AS68:AS99" si="89">AQ68*AR68</f>
        <v>3.0132787105782115</v>
      </c>
      <c r="AT68" s="50">
        <f t="shared" si="66"/>
        <v>0.10429625789519217</v>
      </c>
      <c r="AU68" s="50">
        <f t="shared" ref="AU68:AU99" si="90">AQ68*AT68</f>
        <v>1.9741246463839832</v>
      </c>
      <c r="AW68" s="51">
        <v>45166.677083333336</v>
      </c>
      <c r="AX68" s="72">
        <v>1.59233748664541E-2</v>
      </c>
      <c r="AY68" s="73">
        <v>0.77321039300000005</v>
      </c>
      <c r="AZ68" s="52">
        <v>7242</v>
      </c>
      <c r="BA68" s="53">
        <f t="shared" ref="BA68:BA99" si="91">AZ68/60</f>
        <v>120.7</v>
      </c>
      <c r="BB68" s="72">
        <f t="shared" si="67"/>
        <v>1.9219513463810098</v>
      </c>
      <c r="BC68" s="54">
        <f t="shared" ref="BC68:BC99" si="92">37.141*BB68^0.4897</f>
        <v>51.144889047467956</v>
      </c>
      <c r="BD68" s="54">
        <f t="shared" ref="BD68:BD99" si="93">IF((AY68-$BB$1)/($AZ$1-$BB$1)&lt;0, 0, IF((AY68-$BB$1)/($AZ$1-$BB$1)&gt;1, 1, (AY68-$BB$1)/($AZ$1-$BB$1)))</f>
        <v>0.2109737863568085</v>
      </c>
      <c r="BE68" s="54">
        <f t="shared" ref="BE68:BE99" si="94">BD68*BC68</f>
        <v>10.790230895143178</v>
      </c>
      <c r="BF68" s="54">
        <f t="shared" si="68"/>
        <v>0.20370553859155599</v>
      </c>
      <c r="BG68" s="54">
        <f t="shared" ref="BG68:BG99" si="95">BF68*BC68</f>
        <v>10.418497169619833</v>
      </c>
      <c r="BI68" s="66">
        <v>45183.677083333336</v>
      </c>
      <c r="BJ68" s="67">
        <v>6.8238673667422395E-2</v>
      </c>
      <c r="BK68" s="68">
        <v>2.8809824239999999</v>
      </c>
      <c r="BL68" s="68">
        <v>5452</v>
      </c>
      <c r="BM68" s="68">
        <f t="shared" ref="BM68:BM99" si="96">BL68/60</f>
        <v>90.86666666666666</v>
      </c>
      <c r="BN68" s="68">
        <f t="shared" si="69"/>
        <v>6.2006208139131145</v>
      </c>
      <c r="BO68" s="69">
        <f t="shared" ref="BO68:BO99" si="97">37.141*BN68^0.4897</f>
        <v>90.763053303722728</v>
      </c>
      <c r="BP68" s="69">
        <f t="shared" ref="BP68:BP99" si="98">IF((BK68-$BN$1)/($BL$1-$BN$1)&lt;0, 0, IF((BK68-$BN$1)/($BL$1-$BN$1)&gt;1, 1, (BK68-$BN$1)/($BL$1-$BN$1)))</f>
        <v>1</v>
      </c>
      <c r="BQ68" s="69">
        <f t="shared" ref="BQ68:BQ99" si="99">BO68*BP68</f>
        <v>90.763053303722728</v>
      </c>
      <c r="BR68" s="69">
        <f t="shared" si="70"/>
        <v>0.51711974789562143</v>
      </c>
      <c r="BS68" s="69">
        <f t="shared" ref="BS68:BS99" si="100">BO68*BR68</f>
        <v>46.935367242657946</v>
      </c>
      <c r="BU68" s="82">
        <v>45047.010416666664</v>
      </c>
      <c r="BV68" s="112">
        <v>4.7516329000000003E-2</v>
      </c>
      <c r="BW68" s="83">
        <v>82.276892649999994</v>
      </c>
      <c r="BX68" s="112">
        <v>5893</v>
      </c>
      <c r="BY68" s="83">
        <f t="shared" si="58"/>
        <v>98.216666666666669</v>
      </c>
      <c r="BZ68" s="84">
        <f t="shared" si="59"/>
        <v>4.6668954466166674</v>
      </c>
      <c r="CA68" s="83">
        <f t="shared" si="60"/>
        <v>78.972636880082561</v>
      </c>
      <c r="CC68" s="87">
        <v>45047.927083333336</v>
      </c>
      <c r="CD68" s="109">
        <v>5.9000303321023101E-2</v>
      </c>
      <c r="CE68" s="88">
        <v>86.199962600000006</v>
      </c>
      <c r="CF68" s="89">
        <v>4683</v>
      </c>
      <c r="CG68" s="90">
        <f t="shared" ref="CG68:CG131" si="101">CF68/60</f>
        <v>78.05</v>
      </c>
      <c r="CH68" s="91">
        <f t="shared" ref="CH68:CH131" si="102">CG68*CD68</f>
        <v>4.6049736742058531</v>
      </c>
      <c r="CI68" s="91">
        <f t="shared" ref="CI68:CI131" si="103">IF(37.141*CH68^0.4897&gt;22.6, 37.141*CH68^0.4897, 0)</f>
        <v>78.457764374320973</v>
      </c>
      <c r="CK68" s="93">
        <v>45049.927083333336</v>
      </c>
      <c r="CL68">
        <v>9.4867586968939696E-2</v>
      </c>
      <c r="CM68" s="95">
        <v>136.5531871</v>
      </c>
      <c r="CN68" s="4">
        <v>3692</v>
      </c>
      <c r="CO68" s="95">
        <f t="shared" ref="CO68:CO123" si="104">CN68/60</f>
        <v>61.533333333333331</v>
      </c>
      <c r="CP68" s="94">
        <f t="shared" ref="CP68:CP123" si="105">CO68*CL68</f>
        <v>5.8375188514887562</v>
      </c>
      <c r="CQ68" s="96">
        <f t="shared" ref="CQ68:CQ123" si="106">IF(37.141*CP68^0.4897&gt;22.6, 37.141*CP68^0.4897, 0)</f>
        <v>88.120223356293181</v>
      </c>
      <c r="CS68" s="10">
        <v>45051.1875</v>
      </c>
      <c r="CT68" s="110">
        <v>8.7608144413431094E-2</v>
      </c>
      <c r="CU68" s="21">
        <v>104.61473460000001</v>
      </c>
      <c r="CV68" s="111">
        <v>4628</v>
      </c>
      <c r="CW68" s="21">
        <f t="shared" ref="CW68:CW120" si="107">CV68/60</f>
        <v>77.13333333333334</v>
      </c>
      <c r="CX68" s="21">
        <f t="shared" ref="CX68:CX120" si="108">CW68*CT68</f>
        <v>6.7575082057559852</v>
      </c>
      <c r="CY68" s="21">
        <f t="shared" ref="CY68:CY120" si="109">IF(37.141*CX68^0.4897&gt;22.6, 37.141*CX68^0.4897, 0)</f>
        <v>94.667319827379231</v>
      </c>
    </row>
    <row r="69" spans="1:103" x14ac:dyDescent="0.25">
      <c r="A69" s="10">
        <v>44776.688194444447</v>
      </c>
      <c r="B69" s="11">
        <v>9.82229610596351E-3</v>
      </c>
      <c r="C69" s="12">
        <v>18.271869219999999</v>
      </c>
      <c r="D69" s="9">
        <v>8482</v>
      </c>
      <c r="E69" s="13">
        <f t="shared" si="71"/>
        <v>141.36666666666667</v>
      </c>
      <c r="F69" s="12">
        <f t="shared" si="61"/>
        <v>1.3885452595130416</v>
      </c>
      <c r="G69" s="13">
        <f t="shared" si="72"/>
        <v>43.617949398828969</v>
      </c>
      <c r="H69" s="11">
        <f t="shared" si="73"/>
        <v>1</v>
      </c>
      <c r="I69" s="125">
        <f t="shared" si="74"/>
        <v>43.617949398828969</v>
      </c>
      <c r="J69" s="21">
        <f>IF((F69-$K$96)/($I$96-$K$96)&lt;0, 0, IF((F69-$K$96)/($I$96-$K$96)&gt;1, 1, (F69-$K$96)/($I$96-$K$96)))</f>
        <v>0.28724828779615158</v>
      </c>
      <c r="K69" s="125">
        <f t="shared" si="75"/>
        <v>12.5291812819928</v>
      </c>
      <c r="M69" s="25">
        <v>44781.688194444447</v>
      </c>
      <c r="N69" s="26">
        <v>7.6001711982110198E-3</v>
      </c>
      <c r="O69" s="27">
        <v>23.474647859999902</v>
      </c>
      <c r="P69" s="28">
        <v>5815</v>
      </c>
      <c r="Q69" s="29">
        <f t="shared" si="76"/>
        <v>96.916666666666671</v>
      </c>
      <c r="R69" s="26">
        <f t="shared" si="62"/>
        <v>0.736583258626618</v>
      </c>
      <c r="S69" s="29">
        <f t="shared" si="77"/>
        <v>31.976588608982734</v>
      </c>
      <c r="T69" s="29">
        <f t="shared" si="78"/>
        <v>0.72219120766156875</v>
      </c>
      <c r="U69" s="126">
        <f t="shared" si="79"/>
        <v>23.093211144418405</v>
      </c>
      <c r="V69" s="128">
        <f>IF((R69-$W$102)/($U$101-$W$102)&lt;0, 0, IF((R69-$W$102)/($U$101-$W$102)&gt;1, 1, (R69-$W$102)/($U$101-$W$102)))</f>
        <v>0.3501403893993173</v>
      </c>
      <c r="W69" s="126">
        <f t="shared" si="80"/>
        <v>11.196295187210989</v>
      </c>
      <c r="Y69" s="35">
        <v>45136.6875</v>
      </c>
      <c r="Z69" s="71">
        <v>2.5673292453439599E-2</v>
      </c>
      <c r="AA69" s="70">
        <v>9.2095990650000008</v>
      </c>
      <c r="AB69" s="36">
        <v>8050</v>
      </c>
      <c r="AC69" s="37">
        <f t="shared" si="81"/>
        <v>134.16666666666666</v>
      </c>
      <c r="AD69" s="37">
        <f t="shared" si="63"/>
        <v>3.4445000708364795</v>
      </c>
      <c r="AE69" s="38">
        <f t="shared" si="82"/>
        <v>68.058800694432833</v>
      </c>
      <c r="AF69" s="38">
        <f t="shared" si="83"/>
        <v>0.42995677061256016</v>
      </c>
      <c r="AG69" s="38">
        <f t="shared" si="84"/>
        <v>29.262342158342207</v>
      </c>
      <c r="AH69" s="38">
        <f t="shared" si="64"/>
        <v>0.78557811412788747</v>
      </c>
      <c r="AI69" s="38">
        <f t="shared" si="85"/>
        <v>53.465504299338306</v>
      </c>
      <c r="AK69" s="45">
        <v>45151.6875</v>
      </c>
      <c r="AL69" s="4">
        <v>2.6837429858589299E-3</v>
      </c>
      <c r="AM69" s="3">
        <v>0.35506608000000001</v>
      </c>
      <c r="AN69" s="4">
        <v>372</v>
      </c>
      <c r="AO69" s="46">
        <f t="shared" si="86"/>
        <v>6.2</v>
      </c>
      <c r="AP69" s="47">
        <f t="shared" si="65"/>
        <v>1.6639206512325366E-2</v>
      </c>
      <c r="AQ69" s="50">
        <f t="shared" si="87"/>
        <v>4.9973783700160812</v>
      </c>
      <c r="AR69" s="50">
        <f t="shared" si="88"/>
        <v>0</v>
      </c>
      <c r="AS69" s="50">
        <f t="shared" si="89"/>
        <v>0</v>
      </c>
      <c r="AT69" s="50">
        <f t="shared" si="66"/>
        <v>0</v>
      </c>
      <c r="AU69" s="50">
        <f t="shared" si="90"/>
        <v>0</v>
      </c>
      <c r="AW69" s="51">
        <v>45166.6875</v>
      </c>
      <c r="AX69" s="72">
        <v>1.52310117770912E-2</v>
      </c>
      <c r="AY69" s="73">
        <v>1.0404225359999999</v>
      </c>
      <c r="AZ69" s="52">
        <v>8474</v>
      </c>
      <c r="BA69" s="53">
        <f t="shared" si="91"/>
        <v>141.23333333333332</v>
      </c>
      <c r="BB69" s="72">
        <f t="shared" si="67"/>
        <v>2.1511265633178467</v>
      </c>
      <c r="BC69" s="54">
        <f t="shared" si="92"/>
        <v>54.04557165756178</v>
      </c>
      <c r="BD69" s="54">
        <f t="shared" si="93"/>
        <v>0.35402553902449163</v>
      </c>
      <c r="BE69" s="54">
        <f t="shared" si="94"/>
        <v>19.133512637955096</v>
      </c>
      <c r="BF69" s="54">
        <f t="shared" si="68"/>
        <v>0.24032489242981692</v>
      </c>
      <c r="BG69" s="54">
        <f t="shared" si="95"/>
        <v>12.988496194911496</v>
      </c>
      <c r="BI69" s="66">
        <v>45183.6875</v>
      </c>
      <c r="BJ69" s="67">
        <v>7.4940646797744398E-2</v>
      </c>
      <c r="BK69" s="68">
        <v>2.8809824239999999</v>
      </c>
      <c r="BL69" s="68">
        <v>6099</v>
      </c>
      <c r="BM69" s="68">
        <f t="shared" si="96"/>
        <v>101.65</v>
      </c>
      <c r="BN69" s="68">
        <f t="shared" si="69"/>
        <v>7.6177167469907188</v>
      </c>
      <c r="BO69" s="69">
        <f t="shared" si="97"/>
        <v>100.38832478554443</v>
      </c>
      <c r="BP69" s="69">
        <f t="shared" si="98"/>
        <v>1</v>
      </c>
      <c r="BQ69" s="69">
        <f t="shared" si="99"/>
        <v>100.38832478554443</v>
      </c>
      <c r="BR69" s="69">
        <f t="shared" si="70"/>
        <v>0.63841621773406465</v>
      </c>
      <c r="BS69" s="69">
        <f t="shared" si="100"/>
        <v>64.089534614246134</v>
      </c>
      <c r="BU69" s="82">
        <v>45047.020833333336</v>
      </c>
      <c r="BV69" s="112">
        <v>4.5426559999999998E-2</v>
      </c>
      <c r="BW69" s="83">
        <v>81.405228940000001</v>
      </c>
      <c r="BX69" s="112">
        <v>6044</v>
      </c>
      <c r="BY69" s="83">
        <f t="shared" si="58"/>
        <v>100.73333333333333</v>
      </c>
      <c r="BZ69" s="84">
        <f t="shared" si="59"/>
        <v>4.5759688106666667</v>
      </c>
      <c r="CA69" s="83">
        <f t="shared" si="60"/>
        <v>78.215377379264879</v>
      </c>
      <c r="CC69" s="87">
        <v>45047.9375</v>
      </c>
      <c r="CD69" s="109">
        <v>6.3074269131577598E-2</v>
      </c>
      <c r="CE69" s="88">
        <v>82.718647970000006</v>
      </c>
      <c r="CF69" s="89">
        <v>4749</v>
      </c>
      <c r="CG69" s="90">
        <f t="shared" si="101"/>
        <v>79.150000000000006</v>
      </c>
      <c r="CH69" s="91">
        <f t="shared" si="102"/>
        <v>4.9923284017643672</v>
      </c>
      <c r="CI69" s="91">
        <f t="shared" si="103"/>
        <v>81.623016985582112</v>
      </c>
      <c r="CK69" s="93">
        <v>45049.9375</v>
      </c>
      <c r="CL69">
        <v>9.5391679299612106E-2</v>
      </c>
      <c r="CM69" s="95">
        <v>131.9954343</v>
      </c>
      <c r="CN69" s="4">
        <v>3884</v>
      </c>
      <c r="CO69" s="95">
        <f t="shared" si="104"/>
        <v>64.733333333333334</v>
      </c>
      <c r="CP69" s="94">
        <f t="shared" si="105"/>
        <v>6.1750213733282235</v>
      </c>
      <c r="CQ69" s="96">
        <f t="shared" si="106"/>
        <v>90.57936026552936</v>
      </c>
      <c r="CS69" s="10">
        <v>45051.197916666664</v>
      </c>
      <c r="CT69" s="110">
        <v>7.7786103869966705E-2</v>
      </c>
      <c r="CU69" s="21">
        <v>107.0292163</v>
      </c>
      <c r="CV69" s="111">
        <v>4589</v>
      </c>
      <c r="CW69" s="21">
        <f t="shared" si="107"/>
        <v>76.483333333333334</v>
      </c>
      <c r="CX69" s="21">
        <f t="shared" si="108"/>
        <v>5.9493405109879536</v>
      </c>
      <c r="CY69" s="21">
        <f t="shared" si="109"/>
        <v>88.94283680685696</v>
      </c>
    </row>
    <row r="70" spans="1:103" x14ac:dyDescent="0.25">
      <c r="A70" s="10">
        <v>44776.698611111111</v>
      </c>
      <c r="B70" s="11">
        <v>8.4297547627244195E-3</v>
      </c>
      <c r="C70" s="12">
        <v>17.106053899999999</v>
      </c>
      <c r="D70" s="9">
        <v>8252</v>
      </c>
      <c r="E70" s="13">
        <f t="shared" si="71"/>
        <v>137.53333333333333</v>
      </c>
      <c r="F70" s="12">
        <f t="shared" si="61"/>
        <v>1.1593722717000319</v>
      </c>
      <c r="G70" s="13">
        <f t="shared" si="72"/>
        <v>39.930389944927285</v>
      </c>
      <c r="H70" s="11">
        <f t="shared" si="73"/>
        <v>1</v>
      </c>
      <c r="I70" s="125">
        <f t="shared" si="74"/>
        <v>39.930389944927285</v>
      </c>
      <c r="J70" s="21">
        <f>IF((F70-$K$96)/($I$96-$K$96)&lt;0, 0, IF((F70-$K$96)/($I$96-$K$96)&gt;1, 1, (F70-$K$96)/($I$96-$K$96)))</f>
        <v>0.23971951148755688</v>
      </c>
      <c r="K70" s="125">
        <f t="shared" si="75"/>
        <v>9.5720935711056221</v>
      </c>
      <c r="M70" s="25">
        <v>44781.698611111111</v>
      </c>
      <c r="N70" s="26">
        <v>7.3233148896358902E-3</v>
      </c>
      <c r="O70" s="27">
        <v>20.642438585000001</v>
      </c>
      <c r="P70" s="28">
        <v>5349</v>
      </c>
      <c r="Q70" s="29">
        <f t="shared" si="76"/>
        <v>89.15</v>
      </c>
      <c r="R70" s="26">
        <f t="shared" si="62"/>
        <v>0.65287352241103969</v>
      </c>
      <c r="S70" s="29">
        <f t="shared" si="77"/>
        <v>30.14223013829745</v>
      </c>
      <c r="T70" s="29">
        <f t="shared" si="78"/>
        <v>0.62998140536792668</v>
      </c>
      <c r="U70" s="126">
        <f t="shared" si="79"/>
        <v>18.989044503448103</v>
      </c>
      <c r="V70" s="128">
        <f>IF((R70-$W$102)/($U$101-$W$102)&lt;0, 0, IF((R70-$W$102)/($U$101-$W$102)&gt;1, 1, (R70-$W$102)/($U$101-$W$102)))</f>
        <v>0.30770765215856838</v>
      </c>
      <c r="W70" s="126">
        <f t="shared" si="80"/>
        <v>9.2749948666787478</v>
      </c>
      <c r="Y70" s="35">
        <v>45136.688888888886</v>
      </c>
      <c r="Z70" s="71">
        <v>2.6726720837802701E-2</v>
      </c>
      <c r="AA70" s="70">
        <v>6.5397134279999998</v>
      </c>
      <c r="AB70" s="36">
        <v>8302</v>
      </c>
      <c r="AC70" s="37">
        <f t="shared" si="81"/>
        <v>138.36666666666667</v>
      </c>
      <c r="AD70" s="37">
        <f t="shared" si="63"/>
        <v>3.6980872732573005</v>
      </c>
      <c r="AE70" s="38">
        <f t="shared" si="82"/>
        <v>70.468009795221292</v>
      </c>
      <c r="AF70" s="38">
        <f t="shared" si="83"/>
        <v>0.29060879081178892</v>
      </c>
      <c r="AG70" s="38">
        <f t="shared" si="84"/>
        <v>20.478623117502558</v>
      </c>
      <c r="AH70" s="38">
        <f t="shared" si="64"/>
        <v>0.85281418780264495</v>
      </c>
      <c r="AI70" s="38">
        <f t="shared" si="85"/>
        <v>60.096118539580473</v>
      </c>
      <c r="AK70" s="45">
        <v>45151.697916666664</v>
      </c>
      <c r="AL70" s="4">
        <v>5.4941946201569301E-3</v>
      </c>
      <c r="AM70" s="3">
        <v>0.59425534599999996</v>
      </c>
      <c r="AN70" s="4">
        <v>1059</v>
      </c>
      <c r="AO70" s="46">
        <f t="shared" si="86"/>
        <v>17.649999999999999</v>
      </c>
      <c r="AP70" s="47">
        <f t="shared" si="65"/>
        <v>9.6972535045769803E-2</v>
      </c>
      <c r="AQ70" s="50">
        <f t="shared" si="87"/>
        <v>11.847193588816559</v>
      </c>
      <c r="AR70" s="50">
        <f t="shared" si="88"/>
        <v>0</v>
      </c>
      <c r="AS70" s="50">
        <f t="shared" si="89"/>
        <v>0</v>
      </c>
      <c r="AT70" s="50">
        <f t="shared" si="66"/>
        <v>0</v>
      </c>
      <c r="AU70" s="50">
        <f t="shared" si="90"/>
        <v>0</v>
      </c>
      <c r="AW70" s="51">
        <v>45166.697916666664</v>
      </c>
      <c r="AX70" s="72">
        <v>1.5422890021263101E-2</v>
      </c>
      <c r="AY70" s="73">
        <v>0.89859415399999998</v>
      </c>
      <c r="AZ70" s="52">
        <v>8087</v>
      </c>
      <c r="BA70" s="53">
        <f t="shared" si="91"/>
        <v>134.78333333333333</v>
      </c>
      <c r="BB70" s="72">
        <f t="shared" si="67"/>
        <v>2.0787485266992447</v>
      </c>
      <c r="BC70" s="54">
        <f t="shared" si="92"/>
        <v>53.147300424444779</v>
      </c>
      <c r="BD70" s="54">
        <f t="shared" si="93"/>
        <v>0.27809785701371681</v>
      </c>
      <c r="BE70" s="54">
        <f t="shared" si="94"/>
        <v>14.780150354102295</v>
      </c>
      <c r="BF70" s="54">
        <f t="shared" si="68"/>
        <v>0.22875978094664251</v>
      </c>
      <c r="BG70" s="54">
        <f t="shared" si="95"/>
        <v>12.157964803001388</v>
      </c>
      <c r="BI70" s="66">
        <v>45183.697916666664</v>
      </c>
      <c r="BJ70" s="67">
        <v>6.5013474225098206E-2</v>
      </c>
      <c r="BK70" s="68">
        <v>2.5469425430000001</v>
      </c>
      <c r="BL70" s="68">
        <v>6098</v>
      </c>
      <c r="BM70" s="68">
        <f t="shared" si="96"/>
        <v>101.63333333333334</v>
      </c>
      <c r="BN70" s="68">
        <f t="shared" si="69"/>
        <v>6.6075360970774817</v>
      </c>
      <c r="BO70" s="69">
        <f t="shared" si="97"/>
        <v>93.632572938006859</v>
      </c>
      <c r="BP70" s="69">
        <f t="shared" si="98"/>
        <v>1</v>
      </c>
      <c r="BQ70" s="69">
        <f t="shared" si="99"/>
        <v>93.632572938006859</v>
      </c>
      <c r="BR70" s="69">
        <f t="shared" si="70"/>
        <v>0.55194970274839938</v>
      </c>
      <c r="BS70" s="69">
        <f t="shared" si="100"/>
        <v>51.680470800700711</v>
      </c>
      <c r="BU70" s="82">
        <v>45047.03125</v>
      </c>
      <c r="BV70" s="112">
        <v>4.4465498999999999E-2</v>
      </c>
      <c r="BW70" s="83">
        <v>82.276892649999994</v>
      </c>
      <c r="BX70" s="112">
        <v>6084</v>
      </c>
      <c r="BY70" s="83">
        <f t="shared" si="58"/>
        <v>101.4</v>
      </c>
      <c r="BZ70" s="84">
        <f t="shared" si="59"/>
        <v>4.5088015985999998</v>
      </c>
      <c r="CA70" s="83">
        <f t="shared" si="60"/>
        <v>77.651048775951509</v>
      </c>
      <c r="CC70" s="87">
        <v>45047.947916666664</v>
      </c>
      <c r="CD70" s="109">
        <v>5.7631142210504499E-2</v>
      </c>
      <c r="CE70" s="88">
        <v>88.350109630000006</v>
      </c>
      <c r="CF70" s="89">
        <v>4719</v>
      </c>
      <c r="CG70" s="90">
        <f t="shared" si="101"/>
        <v>78.650000000000006</v>
      </c>
      <c r="CH70" s="91">
        <f t="shared" si="102"/>
        <v>4.5326893348561788</v>
      </c>
      <c r="CI70" s="91">
        <f t="shared" si="103"/>
        <v>77.852238312480338</v>
      </c>
      <c r="CK70" s="93">
        <v>45049.947916666664</v>
      </c>
      <c r="CL70">
        <v>9.1733990248411404E-2</v>
      </c>
      <c r="CM70" s="95">
        <v>124.3675379</v>
      </c>
      <c r="CN70" s="4">
        <v>3992</v>
      </c>
      <c r="CO70" s="95">
        <f t="shared" si="104"/>
        <v>66.533333333333331</v>
      </c>
      <c r="CP70" s="94">
        <f t="shared" si="105"/>
        <v>6.1033681511943056</v>
      </c>
      <c r="CQ70" s="96">
        <f t="shared" si="106"/>
        <v>90.063124525809016</v>
      </c>
      <c r="CS70" s="10">
        <v>45051.208333333336</v>
      </c>
      <c r="CT70" s="110">
        <v>8.0714823134137498E-2</v>
      </c>
      <c r="CU70" s="21">
        <v>98.055454810000001</v>
      </c>
      <c r="CV70" s="111">
        <v>4365</v>
      </c>
      <c r="CW70" s="21">
        <f t="shared" si="107"/>
        <v>72.75</v>
      </c>
      <c r="CX70" s="21">
        <f t="shared" si="108"/>
        <v>5.8720033830085026</v>
      </c>
      <c r="CY70" s="21">
        <f t="shared" si="109"/>
        <v>88.37475898204616</v>
      </c>
    </row>
    <row r="71" spans="1:103" x14ac:dyDescent="0.25">
      <c r="A71" s="10">
        <v>44776.709027777775</v>
      </c>
      <c r="B71" s="11">
        <v>9.8801195227675997E-3</v>
      </c>
      <c r="C71" s="12">
        <v>15.6821315249999</v>
      </c>
      <c r="D71" s="9">
        <v>7834</v>
      </c>
      <c r="E71" s="13">
        <f t="shared" si="71"/>
        <v>130.56666666666666</v>
      </c>
      <c r="F71" s="12">
        <f t="shared" si="61"/>
        <v>1.2900142723560228</v>
      </c>
      <c r="G71" s="13">
        <f t="shared" si="72"/>
        <v>42.07379889809004</v>
      </c>
      <c r="H71" s="11">
        <f t="shared" si="73"/>
        <v>1</v>
      </c>
      <c r="I71" s="125">
        <f t="shared" si="74"/>
        <v>42.07379889809004</v>
      </c>
      <c r="J71" s="21">
        <f>IF((F71-$K$96)/($I$96-$K$96)&lt;0, 0, IF((F71-$K$96)/($I$96-$K$96)&gt;1, 1, (F71-$K$96)/($I$96-$K$96)))</f>
        <v>0.26681369254676718</v>
      </c>
      <c r="K71" s="125">
        <f t="shared" si="75"/>
        <v>11.225865643469508</v>
      </c>
      <c r="M71" s="25">
        <v>44781.709027777775</v>
      </c>
      <c r="N71" s="26">
        <v>6.1617735079587798E-3</v>
      </c>
      <c r="O71" s="27">
        <v>18.24147606</v>
      </c>
      <c r="P71" s="28">
        <v>5553</v>
      </c>
      <c r="Q71" s="29">
        <f t="shared" si="76"/>
        <v>92.55</v>
      </c>
      <c r="R71" s="26">
        <f t="shared" si="62"/>
        <v>0.57027213816158506</v>
      </c>
      <c r="S71" s="29">
        <f t="shared" si="77"/>
        <v>28.210255746906032</v>
      </c>
      <c r="T71" s="29">
        <f t="shared" si="78"/>
        <v>0.55181194179793636</v>
      </c>
      <c r="U71" s="126">
        <f t="shared" si="79"/>
        <v>15.566756002316611</v>
      </c>
      <c r="V71" s="128">
        <f>IF((R71-$W$102)/($U$101-$W$102)&lt;0, 0, IF((R71-$W$102)/($U$101-$W$102)&gt;1, 1, (R71-$W$102)/($U$101-$W$102)))</f>
        <v>0.26583674213022013</v>
      </c>
      <c r="W71" s="126">
        <f t="shared" si="80"/>
        <v>7.4993224824178188</v>
      </c>
      <c r="Y71" s="35">
        <v>45136.697916666664</v>
      </c>
      <c r="Z71" s="71">
        <v>2.1513581248433E-2</v>
      </c>
      <c r="AA71" s="70">
        <v>3.8698277910000001</v>
      </c>
      <c r="AB71" s="36">
        <v>8644</v>
      </c>
      <c r="AC71" s="37">
        <f t="shared" si="81"/>
        <v>144.06666666666666</v>
      </c>
      <c r="AD71" s="37">
        <f t="shared" si="63"/>
        <v>3.0993899385242476</v>
      </c>
      <c r="AE71" s="38">
        <f t="shared" si="82"/>
        <v>64.629613249745333</v>
      </c>
      <c r="AF71" s="38">
        <f t="shared" si="83"/>
        <v>0.15126081101101771</v>
      </c>
      <c r="AG71" s="38">
        <f t="shared" si="84"/>
        <v>9.7759277154848956</v>
      </c>
      <c r="AH71" s="38">
        <f t="shared" si="64"/>
        <v>0.6940756642386996</v>
      </c>
      <c r="AI71" s="38">
        <f t="shared" si="85"/>
        <v>44.857841745807249</v>
      </c>
      <c r="AK71" s="45">
        <v>45151.708333333336</v>
      </c>
      <c r="AL71" s="4">
        <v>4.1557140244339302E-3</v>
      </c>
      <c r="AM71" s="3">
        <v>0.50323377899999999</v>
      </c>
      <c r="AN71" s="4">
        <v>885</v>
      </c>
      <c r="AO71" s="46">
        <f t="shared" si="86"/>
        <v>14.75</v>
      </c>
      <c r="AP71" s="47">
        <f t="shared" si="65"/>
        <v>6.1296781860400468E-2</v>
      </c>
      <c r="AQ71" s="50">
        <f t="shared" si="87"/>
        <v>9.4637186769615891</v>
      </c>
      <c r="AR71" s="50">
        <f t="shared" si="88"/>
        <v>0</v>
      </c>
      <c r="AS71" s="50">
        <f t="shared" si="89"/>
        <v>0</v>
      </c>
      <c r="AT71" s="50">
        <f t="shared" si="66"/>
        <v>0</v>
      </c>
      <c r="AU71" s="50">
        <f t="shared" si="90"/>
        <v>0</v>
      </c>
      <c r="AW71" s="51">
        <v>45166.708333333336</v>
      </c>
      <c r="AX71" s="72">
        <v>1.49611079546882E-2</v>
      </c>
      <c r="AY71" s="73">
        <v>0.89859415399999998</v>
      </c>
      <c r="AZ71" s="52">
        <v>7497</v>
      </c>
      <c r="BA71" s="53">
        <f t="shared" si="91"/>
        <v>124.95</v>
      </c>
      <c r="BB71" s="72">
        <f t="shared" si="67"/>
        <v>1.8693904389382905</v>
      </c>
      <c r="BC71" s="54">
        <f t="shared" si="92"/>
        <v>50.455102302710593</v>
      </c>
      <c r="BD71" s="54">
        <f t="shared" si="93"/>
        <v>0.27809785701371681</v>
      </c>
      <c r="BE71" s="54">
        <f t="shared" si="94"/>
        <v>14.031455825791664</v>
      </c>
      <c r="BF71" s="54">
        <f t="shared" si="68"/>
        <v>0.19530695826759581</v>
      </c>
      <c r="BG71" s="54">
        <f t="shared" si="95"/>
        <v>9.8542325598227745</v>
      </c>
      <c r="BI71" s="66">
        <v>45183.708333333336</v>
      </c>
      <c r="BJ71" s="67">
        <v>8.5050969626217596E-2</v>
      </c>
      <c r="BK71" s="68">
        <v>3.3680623299999999</v>
      </c>
      <c r="BL71" s="68">
        <v>5638</v>
      </c>
      <c r="BM71" s="68">
        <f t="shared" si="96"/>
        <v>93.966666666666669</v>
      </c>
      <c r="BN71" s="68">
        <f t="shared" si="69"/>
        <v>7.9919561125435798</v>
      </c>
      <c r="BO71" s="69">
        <f t="shared" si="97"/>
        <v>102.77389380944318</v>
      </c>
      <c r="BP71" s="69">
        <f t="shared" si="98"/>
        <v>1</v>
      </c>
      <c r="BQ71" s="69">
        <f t="shared" si="99"/>
        <v>102.77389380944318</v>
      </c>
      <c r="BR71" s="69">
        <f t="shared" si="70"/>
        <v>0.67044927411123989</v>
      </c>
      <c r="BS71" s="69">
        <f t="shared" si="100"/>
        <v>68.904682502126832</v>
      </c>
      <c r="BU71" s="82">
        <v>45047.041666666664</v>
      </c>
      <c r="BV71" s="112">
        <v>4.0392815999999998E-2</v>
      </c>
      <c r="BW71" s="83">
        <v>80.961047410000006</v>
      </c>
      <c r="BX71" s="112">
        <v>6372</v>
      </c>
      <c r="BY71" s="83">
        <f t="shared" si="58"/>
        <v>106.2</v>
      </c>
      <c r="BZ71" s="84">
        <f t="shared" si="59"/>
        <v>4.2897170592</v>
      </c>
      <c r="CA71" s="83">
        <f t="shared" si="60"/>
        <v>75.779877972610294</v>
      </c>
      <c r="CC71" s="87">
        <v>45047.958333333336</v>
      </c>
      <c r="CD71" s="109">
        <v>5.8435418165797302E-2</v>
      </c>
      <c r="CE71" s="88">
        <v>89.209976960000006</v>
      </c>
      <c r="CF71" s="89">
        <v>4621</v>
      </c>
      <c r="CG71" s="90">
        <f t="shared" si="101"/>
        <v>77.016666666666666</v>
      </c>
      <c r="CH71" s="91">
        <f t="shared" si="102"/>
        <v>4.5005011224024889</v>
      </c>
      <c r="CI71" s="91">
        <f t="shared" si="103"/>
        <v>77.581012434678129</v>
      </c>
      <c r="CK71" s="93">
        <v>45049.958333333336</v>
      </c>
      <c r="CL71">
        <v>9.5130304361791096E-2</v>
      </c>
      <c r="CM71" s="95">
        <v>124.3675379</v>
      </c>
      <c r="CN71" s="4">
        <v>4024</v>
      </c>
      <c r="CO71" s="95">
        <f t="shared" si="104"/>
        <v>67.066666666666663</v>
      </c>
      <c r="CP71" s="94">
        <f t="shared" si="105"/>
        <v>6.3800724125307893</v>
      </c>
      <c r="CQ71" s="96">
        <f t="shared" si="106"/>
        <v>92.040017565469995</v>
      </c>
      <c r="CS71" s="10">
        <v>45051.21875</v>
      </c>
      <c r="CT71" s="110">
        <v>8.2714370775555199E-2</v>
      </c>
      <c r="CU71" s="21">
        <v>100.5402337</v>
      </c>
      <c r="CV71" s="111">
        <v>4658</v>
      </c>
      <c r="CW71" s="21">
        <f t="shared" si="107"/>
        <v>77.63333333333334</v>
      </c>
      <c r="CX71" s="21">
        <f t="shared" si="108"/>
        <v>6.4213923178756023</v>
      </c>
      <c r="CY71" s="21">
        <f t="shared" si="109"/>
        <v>92.331441083147766</v>
      </c>
    </row>
    <row r="72" spans="1:103" x14ac:dyDescent="0.25">
      <c r="A72" s="10">
        <v>44776.719444444447</v>
      </c>
      <c r="B72" s="11">
        <v>8.1641440752267397E-3</v>
      </c>
      <c r="C72" s="12">
        <v>15.17592808</v>
      </c>
      <c r="D72" s="9">
        <v>7480</v>
      </c>
      <c r="E72" s="13">
        <f t="shared" si="71"/>
        <v>124.66666666666667</v>
      </c>
      <c r="F72" s="12">
        <f t="shared" si="61"/>
        <v>1.0177966280449335</v>
      </c>
      <c r="G72" s="13">
        <f t="shared" si="72"/>
        <v>37.463227375233117</v>
      </c>
      <c r="H72" s="11">
        <f t="shared" si="73"/>
        <v>1</v>
      </c>
      <c r="I72" s="125">
        <f t="shared" si="74"/>
        <v>37.463227375233117</v>
      </c>
      <c r="J72" s="21">
        <f>IF((F72-$K$96)/($I$96-$K$96)&lt;0, 0, IF((F72-$K$96)/($I$96-$K$96)&gt;1, 1, (F72-$K$96)/($I$96-$K$96)))</f>
        <v>0.21035777404091308</v>
      </c>
      <c r="K72" s="125">
        <f t="shared" si="75"/>
        <v>7.8806811190426371</v>
      </c>
      <c r="M72" s="25">
        <v>44781.719444444447</v>
      </c>
      <c r="N72" s="26">
        <v>7.2152247402473097E-3</v>
      </c>
      <c r="O72" s="27">
        <v>17.286459975</v>
      </c>
      <c r="P72" s="28">
        <v>4655</v>
      </c>
      <c r="Q72" s="29">
        <f t="shared" si="76"/>
        <v>77.583333333333329</v>
      </c>
      <c r="R72" s="26">
        <f t="shared" si="62"/>
        <v>0.55978118609752037</v>
      </c>
      <c r="S72" s="29">
        <f t="shared" si="77"/>
        <v>27.954913528904317</v>
      </c>
      <c r="T72" s="29">
        <f t="shared" si="78"/>
        <v>0.52071895542774616</v>
      </c>
      <c r="U72" s="126">
        <f t="shared" si="79"/>
        <v>14.556653371844025</v>
      </c>
      <c r="V72" s="128">
        <f>IF((R72-$W$102)/($U$101-$W$102)&lt;0, 0, IF((R72-$W$102)/($U$101-$W$102)&gt;1, 1, (R72-$W$102)/($U$101-$W$102)))</f>
        <v>0.2605188444463315</v>
      </c>
      <c r="W72" s="126">
        <f t="shared" si="80"/>
        <v>7.282781769147272</v>
      </c>
      <c r="Y72" s="35">
        <v>45136.708333333336</v>
      </c>
      <c r="Z72" s="71">
        <v>2.2984200564068399E-2</v>
      </c>
      <c r="AA72" s="70">
        <v>5.509495866</v>
      </c>
      <c r="AB72" s="36">
        <v>8677</v>
      </c>
      <c r="AC72" s="37">
        <f t="shared" si="81"/>
        <v>144.61666666666667</v>
      </c>
      <c r="AD72" s="37">
        <f t="shared" si="63"/>
        <v>3.3238984715736919</v>
      </c>
      <c r="AE72" s="38">
        <f t="shared" si="82"/>
        <v>66.88126761185822</v>
      </c>
      <c r="AF72" s="38">
        <f t="shared" si="83"/>
        <v>0.23683917085859696</v>
      </c>
      <c r="AG72" s="38">
        <f t="shared" si="84"/>
        <v>15.840103967164437</v>
      </c>
      <c r="AH72" s="38">
        <f t="shared" si="64"/>
        <v>0.75360182377917317</v>
      </c>
      <c r="AI72" s="38">
        <f t="shared" si="85"/>
        <v>50.401845248959297</v>
      </c>
      <c r="AK72" s="45">
        <v>45151.71875</v>
      </c>
      <c r="AL72" s="4">
        <v>5.4673449337777997E-3</v>
      </c>
      <c r="AM72" s="3">
        <v>0.475692385</v>
      </c>
      <c r="AN72" s="4">
        <v>770</v>
      </c>
      <c r="AO72" s="46">
        <f t="shared" si="86"/>
        <v>12.833333333333334</v>
      </c>
      <c r="AP72" s="47">
        <f t="shared" si="65"/>
        <v>7.0164259983481761E-2</v>
      </c>
      <c r="AQ72" s="50">
        <f t="shared" si="87"/>
        <v>10.111057332487507</v>
      </c>
      <c r="AR72" s="50">
        <f t="shared" si="88"/>
        <v>0</v>
      </c>
      <c r="AS72" s="50">
        <f t="shared" si="89"/>
        <v>0</v>
      </c>
      <c r="AT72" s="50">
        <f t="shared" si="66"/>
        <v>0</v>
      </c>
      <c r="AU72" s="50">
        <f t="shared" si="90"/>
        <v>0</v>
      </c>
      <c r="AW72" s="51">
        <v>45166.71875</v>
      </c>
      <c r="AX72" s="72">
        <v>1.70532985817674E-2</v>
      </c>
      <c r="AY72" s="73">
        <v>0.81307424100000003</v>
      </c>
      <c r="AZ72" s="52">
        <v>7312</v>
      </c>
      <c r="BA72" s="53">
        <f t="shared" si="91"/>
        <v>121.86666666666666</v>
      </c>
      <c r="BB72" s="72">
        <f t="shared" si="67"/>
        <v>2.078228653831387</v>
      </c>
      <c r="BC72" s="54">
        <f t="shared" si="92"/>
        <v>53.140791125360266</v>
      </c>
      <c r="BD72" s="54">
        <f t="shared" si="93"/>
        <v>0.23231485738919086</v>
      </c>
      <c r="BE72" s="54">
        <f t="shared" si="94"/>
        <v>12.34539531183685</v>
      </c>
      <c r="BF72" s="54">
        <f t="shared" si="68"/>
        <v>0.22867671171798223</v>
      </c>
      <c r="BG72" s="54">
        <f t="shared" si="95"/>
        <v>12.152061372639519</v>
      </c>
      <c r="BI72" s="66">
        <v>45183.71875</v>
      </c>
      <c r="BJ72" s="67">
        <v>6.3625838451932107E-2</v>
      </c>
      <c r="BK72" s="68">
        <v>2.8809824239999999</v>
      </c>
      <c r="BL72" s="68">
        <v>5747</v>
      </c>
      <c r="BM72" s="68">
        <f t="shared" si="96"/>
        <v>95.783333333333331</v>
      </c>
      <c r="BN72" s="68">
        <f t="shared" si="69"/>
        <v>6.0942948930542302</v>
      </c>
      <c r="BO72" s="69">
        <f t="shared" si="97"/>
        <v>89.997534827079306</v>
      </c>
      <c r="BP72" s="69">
        <f t="shared" si="98"/>
        <v>1</v>
      </c>
      <c r="BQ72" s="69">
        <f t="shared" si="99"/>
        <v>89.997534827079306</v>
      </c>
      <c r="BR72" s="69">
        <f t="shared" si="70"/>
        <v>0.50801876993677919</v>
      </c>
      <c r="BS72" s="69">
        <f t="shared" si="100"/>
        <v>45.720436940195277</v>
      </c>
      <c r="BU72" s="82">
        <v>45047.052083333336</v>
      </c>
      <c r="BV72" s="112">
        <v>4.1088680000000002E-2</v>
      </c>
      <c r="BW72" s="83">
        <v>83.586986100000004</v>
      </c>
      <c r="BX72" s="112">
        <v>6600</v>
      </c>
      <c r="BY72" s="83">
        <f t="shared" si="58"/>
        <v>110</v>
      </c>
      <c r="BZ72" s="84">
        <f t="shared" si="59"/>
        <v>4.5197548000000003</v>
      </c>
      <c r="CA72" s="83">
        <f t="shared" si="60"/>
        <v>77.743367210724045</v>
      </c>
      <c r="CC72" s="87">
        <v>45047.96875</v>
      </c>
      <c r="CD72" s="109">
        <v>5.78691875875227E-2</v>
      </c>
      <c r="CE72" s="88">
        <v>82.718647970000006</v>
      </c>
      <c r="CF72" s="89">
        <v>4952</v>
      </c>
      <c r="CG72" s="90">
        <f t="shared" si="101"/>
        <v>82.533333333333331</v>
      </c>
      <c r="CH72" s="91">
        <f t="shared" si="102"/>
        <v>4.7761369488902066</v>
      </c>
      <c r="CI72" s="91">
        <f t="shared" si="103"/>
        <v>79.872538524599534</v>
      </c>
      <c r="CK72" s="93">
        <v>45049.96875</v>
      </c>
      <c r="CL72">
        <v>9.6235331594255902E-2</v>
      </c>
      <c r="CM72" s="95">
        <v>129.12158679999999</v>
      </c>
      <c r="CN72" s="4">
        <v>3893</v>
      </c>
      <c r="CO72" s="95">
        <f t="shared" si="104"/>
        <v>64.88333333333334</v>
      </c>
      <c r="CP72" s="94">
        <f t="shared" si="105"/>
        <v>6.2440690982739708</v>
      </c>
      <c r="CQ72" s="96">
        <f t="shared" si="106"/>
        <v>91.073940073060001</v>
      </c>
      <c r="CS72" s="10">
        <v>45051.229166666664</v>
      </c>
      <c r="CT72" s="110">
        <v>8.8255091216449005E-2</v>
      </c>
      <c r="CU72" s="21">
        <v>101.7699069</v>
      </c>
      <c r="CV72" s="111">
        <v>4624</v>
      </c>
      <c r="CW72" s="21">
        <f t="shared" si="107"/>
        <v>77.066666666666663</v>
      </c>
      <c r="CX72" s="21">
        <f t="shared" si="108"/>
        <v>6.8015256964143367</v>
      </c>
      <c r="CY72" s="21">
        <f t="shared" si="109"/>
        <v>94.968793118970709</v>
      </c>
    </row>
    <row r="73" spans="1:103" x14ac:dyDescent="0.25">
      <c r="A73" s="10">
        <v>44776.729861111111</v>
      </c>
      <c r="B73" s="11">
        <v>7.1229805188118799E-3</v>
      </c>
      <c r="C73" s="12">
        <v>14.28611474</v>
      </c>
      <c r="D73" s="9">
        <v>6277</v>
      </c>
      <c r="E73" s="13">
        <f t="shared" si="71"/>
        <v>104.61666666666666</v>
      </c>
      <c r="F73" s="12">
        <f t="shared" si="61"/>
        <v>0.74518247860970277</v>
      </c>
      <c r="G73" s="13">
        <f t="shared" si="72"/>
        <v>32.15885703275017</v>
      </c>
      <c r="H73" s="11">
        <f t="shared" si="73"/>
        <v>1</v>
      </c>
      <c r="I73" s="125">
        <f t="shared" si="74"/>
        <v>32.15885703275017</v>
      </c>
      <c r="J73" s="21">
        <f>IF((F73-$K$96)/($I$96-$K$96)&lt;0, 0, IF((F73-$K$96)/($I$96-$K$96)&gt;1, 1, (F73-$K$96)/($I$96-$K$96)))</f>
        <v>0.15381962331593768</v>
      </c>
      <c r="K73" s="125">
        <f t="shared" si="75"/>
        <v>4.9466632750487243</v>
      </c>
      <c r="M73" s="25">
        <v>44781.729861111111</v>
      </c>
      <c r="N73" s="26">
        <v>6.8176205305925004E-3</v>
      </c>
      <c r="O73" s="27">
        <v>16.382398909999999</v>
      </c>
      <c r="P73" s="28">
        <v>4307</v>
      </c>
      <c r="Q73" s="29">
        <f t="shared" si="76"/>
        <v>71.783333333333331</v>
      </c>
      <c r="R73" s="26">
        <f t="shared" si="62"/>
        <v>0.48939152708769829</v>
      </c>
      <c r="S73" s="29">
        <f t="shared" si="77"/>
        <v>26.174497591542213</v>
      </c>
      <c r="T73" s="29">
        <f t="shared" si="78"/>
        <v>0.49128493979871657</v>
      </c>
      <c r="U73" s="126">
        <f t="shared" si="79"/>
        <v>12.859136473522469</v>
      </c>
      <c r="V73" s="128">
        <f>IF((R73-$W$102)/($U$101-$W$102)&lt;0, 0, IF((R73-$W$102)/($U$101-$W$102)&gt;1, 1, (R73-$W$102)/($U$101-$W$102)))</f>
        <v>0.22483809761495097</v>
      </c>
      <c r="W73" s="126">
        <f t="shared" si="80"/>
        <v>5.8850242445094674</v>
      </c>
      <c r="Y73" s="35">
        <v>45136.71875</v>
      </c>
      <c r="Z73" s="71">
        <v>1.6923136599373102E-2</v>
      </c>
      <c r="AA73" s="70">
        <v>2.6539428329999999</v>
      </c>
      <c r="AB73" s="36">
        <v>8014</v>
      </c>
      <c r="AC73" s="37">
        <f t="shared" si="81"/>
        <v>133.56666666666666</v>
      </c>
      <c r="AD73" s="37">
        <f t="shared" si="63"/>
        <v>2.260366945122934</v>
      </c>
      <c r="AE73" s="38">
        <f t="shared" si="82"/>
        <v>55.372613673813277</v>
      </c>
      <c r="AF73" s="38">
        <f t="shared" si="83"/>
        <v>8.7800747321613484E-2</v>
      </c>
      <c r="AG73" s="38">
        <f t="shared" si="84"/>
        <v>4.8617568617117994</v>
      </c>
      <c r="AH73" s="38">
        <f t="shared" si="64"/>
        <v>0.47161723076644918</v>
      </c>
      <c r="AI73" s="38">
        <f t="shared" si="85"/>
        <v>26.114678721144234</v>
      </c>
      <c r="AK73" s="45">
        <v>45151.729166666664</v>
      </c>
      <c r="AL73" s="4">
        <v>6.1306569138339104E-3</v>
      </c>
      <c r="AM73" s="3">
        <v>0.562700329</v>
      </c>
      <c r="AN73" s="4">
        <v>1029</v>
      </c>
      <c r="AO73" s="46">
        <f t="shared" si="86"/>
        <v>17.149999999999999</v>
      </c>
      <c r="AP73" s="47">
        <f t="shared" si="65"/>
        <v>0.10514076607225155</v>
      </c>
      <c r="AQ73" s="50">
        <f t="shared" si="87"/>
        <v>12.325794379387315</v>
      </c>
      <c r="AR73" s="50">
        <f t="shared" si="88"/>
        <v>0</v>
      </c>
      <c r="AS73" s="50">
        <f t="shared" si="89"/>
        <v>0</v>
      </c>
      <c r="AT73" s="50">
        <f t="shared" si="66"/>
        <v>0</v>
      </c>
      <c r="AU73" s="50">
        <f t="shared" si="90"/>
        <v>0</v>
      </c>
      <c r="AW73" s="51">
        <v>45166.729166666664</v>
      </c>
      <c r="AX73" s="72">
        <v>1.02034134920281E-2</v>
      </c>
      <c r="AY73" s="73">
        <v>0.66228851600000005</v>
      </c>
      <c r="AZ73" s="52">
        <v>4886</v>
      </c>
      <c r="BA73" s="53">
        <f t="shared" si="91"/>
        <v>81.433333333333337</v>
      </c>
      <c r="BB73" s="72">
        <f t="shared" si="67"/>
        <v>0.83089797203415505</v>
      </c>
      <c r="BC73" s="54">
        <f t="shared" si="92"/>
        <v>33.92002009615323</v>
      </c>
      <c r="BD73" s="54">
        <f t="shared" si="93"/>
        <v>0.15159187079004782</v>
      </c>
      <c r="BE73" s="54">
        <f t="shared" si="94"/>
        <v>5.1419993036118861</v>
      </c>
      <c r="BF73" s="54">
        <f t="shared" si="68"/>
        <v>2.9368757740388662E-2</v>
      </c>
      <c r="BG73" s="54">
        <f t="shared" si="95"/>
        <v>0.99618885275303914</v>
      </c>
      <c r="BI73" s="66">
        <v>45183.729166666664</v>
      </c>
      <c r="BJ73" s="67">
        <v>6.9442093168578994E-2</v>
      </c>
      <c r="BK73" s="68">
        <v>2.7664001109999998</v>
      </c>
      <c r="BL73" s="68">
        <v>5812</v>
      </c>
      <c r="BM73" s="68">
        <f t="shared" si="96"/>
        <v>96.86666666666666</v>
      </c>
      <c r="BN73" s="68">
        <f t="shared" si="69"/>
        <v>6.7266240915963511</v>
      </c>
      <c r="BO73" s="69">
        <f t="shared" si="97"/>
        <v>94.455197655142982</v>
      </c>
      <c r="BP73" s="69">
        <f t="shared" si="98"/>
        <v>1</v>
      </c>
      <c r="BQ73" s="69">
        <f t="shared" si="99"/>
        <v>94.455197655142982</v>
      </c>
      <c r="BR73" s="69">
        <f t="shared" si="70"/>
        <v>0.56214305169401924</v>
      </c>
      <c r="BS73" s="69">
        <f t="shared" si="100"/>
        <v>53.097333058223846</v>
      </c>
      <c r="BU73" s="82">
        <v>45047.0625</v>
      </c>
      <c r="BV73" s="112">
        <v>4.3757822000000002E-2</v>
      </c>
      <c r="BW73" s="83">
        <v>83.153095449999995</v>
      </c>
      <c r="BX73" s="112">
        <v>6680</v>
      </c>
      <c r="BY73" s="83">
        <f t="shared" si="58"/>
        <v>111.33333333333333</v>
      </c>
      <c r="BZ73" s="84">
        <f t="shared" si="59"/>
        <v>4.8717041826666669</v>
      </c>
      <c r="CA73" s="83">
        <f t="shared" si="60"/>
        <v>80.651218650780677</v>
      </c>
      <c r="CC73" s="87">
        <v>45047.979166666664</v>
      </c>
      <c r="CD73" s="109">
        <v>6.0350965260402199E-2</v>
      </c>
      <c r="CE73" s="88">
        <v>84.891986889999998</v>
      </c>
      <c r="CF73" s="89">
        <v>4721</v>
      </c>
      <c r="CG73" s="90">
        <f t="shared" si="101"/>
        <v>78.683333333333337</v>
      </c>
      <c r="CH73" s="91">
        <f t="shared" si="102"/>
        <v>4.7486151165726467</v>
      </c>
      <c r="CI73" s="91">
        <f t="shared" si="103"/>
        <v>79.646819543558891</v>
      </c>
      <c r="CK73" s="93">
        <v>45049.979166666664</v>
      </c>
      <c r="CL73">
        <v>0.10058732324901901</v>
      </c>
      <c r="CM73" s="95">
        <v>124.3675379</v>
      </c>
      <c r="CN73" s="4">
        <v>4007</v>
      </c>
      <c r="CO73" s="95">
        <f t="shared" si="104"/>
        <v>66.783333333333331</v>
      </c>
      <c r="CP73" s="94">
        <f t="shared" si="105"/>
        <v>6.7175567376469854</v>
      </c>
      <c r="CQ73" s="96">
        <f t="shared" si="106"/>
        <v>94.392825777035952</v>
      </c>
      <c r="CS73" s="10">
        <v>45051.239583333336</v>
      </c>
      <c r="CT73" s="110">
        <v>8.14497087725993E-2</v>
      </c>
      <c r="CU73" s="21">
        <v>96.808208239999999</v>
      </c>
      <c r="CV73" s="111">
        <v>4670</v>
      </c>
      <c r="CW73" s="21">
        <f t="shared" si="107"/>
        <v>77.833333333333329</v>
      </c>
      <c r="CX73" s="21">
        <f t="shared" si="108"/>
        <v>6.3395023328006452</v>
      </c>
      <c r="CY73" s="21">
        <f t="shared" si="109"/>
        <v>91.752943890695192</v>
      </c>
    </row>
    <row r="74" spans="1:103" x14ac:dyDescent="0.25">
      <c r="A74" s="10">
        <v>44776.740277777775</v>
      </c>
      <c r="B74" s="11">
        <v>7.6671431334010198E-3</v>
      </c>
      <c r="C74" s="12">
        <v>11.657254006500001</v>
      </c>
      <c r="D74" s="9">
        <v>5135</v>
      </c>
      <c r="E74" s="13">
        <f t="shared" si="71"/>
        <v>85.583333333333329</v>
      </c>
      <c r="F74" s="12">
        <f t="shared" si="61"/>
        <v>0.65617966650023729</v>
      </c>
      <c r="G74" s="13">
        <f t="shared" si="72"/>
        <v>30.216881568047896</v>
      </c>
      <c r="H74" s="11">
        <f t="shared" si="73"/>
        <v>0.91453720639171465</v>
      </c>
      <c r="I74" s="125">
        <f t="shared" si="74"/>
        <v>27.634462455111816</v>
      </c>
      <c r="J74" s="21">
        <f>IF((F74-$K$96)/($I$96-$K$96)&lt;0, 0, IF((F74-$K$96)/($I$96-$K$96)&gt;1, 1, (F74-$K$96)/($I$96-$K$96)))</f>
        <v>0.13536110083492769</v>
      </c>
      <c r="K74" s="125">
        <f t="shared" si="75"/>
        <v>4.0901903528495991</v>
      </c>
      <c r="M74" s="25">
        <v>44781.740277777775</v>
      </c>
      <c r="N74" s="26">
        <v>6.6452975888246502E-3</v>
      </c>
      <c r="O74" s="27">
        <v>14.39848273</v>
      </c>
      <c r="P74" s="28">
        <v>4747</v>
      </c>
      <c r="Q74" s="29">
        <f t="shared" si="76"/>
        <v>79.11666666666666</v>
      </c>
      <c r="R74" s="26">
        <f t="shared" si="62"/>
        <v>0.52575379423584356</v>
      </c>
      <c r="S74" s="29">
        <f t="shared" si="77"/>
        <v>27.109452181307351</v>
      </c>
      <c r="T74" s="29">
        <f t="shared" si="78"/>
        <v>0.42669348452041128</v>
      </c>
      <c r="U74" s="126">
        <f t="shared" si="79"/>
        <v>11.567426614681498</v>
      </c>
      <c r="V74" s="128">
        <f>IF((R74-$W$102)/($U$101-$W$102)&lt;0, 0, IF((R74-$W$102)/($U$101-$W$102)&gt;1, 1, (R74-$W$102)/($U$101-$W$102)))</f>
        <v>0.2432702489647246</v>
      </c>
      <c r="W74" s="126">
        <f t="shared" si="80"/>
        <v>6.594923181443936</v>
      </c>
      <c r="Y74" s="35">
        <v>45136.729166666664</v>
      </c>
      <c r="Z74" s="71">
        <v>1.6200247520624302E-2</v>
      </c>
      <c r="AA74" s="70">
        <v>2.8809824239999999</v>
      </c>
      <c r="AB74" s="36">
        <v>7982</v>
      </c>
      <c r="AC74" s="37">
        <f t="shared" si="81"/>
        <v>133.03333333333333</v>
      </c>
      <c r="AD74" s="37">
        <f t="shared" si="63"/>
        <v>2.1551729284937196</v>
      </c>
      <c r="AE74" s="38">
        <f t="shared" si="82"/>
        <v>54.095331733934266</v>
      </c>
      <c r="AF74" s="38">
        <f t="shared" si="83"/>
        <v>9.9650508937692533E-2</v>
      </c>
      <c r="AG74" s="38">
        <f t="shared" si="84"/>
        <v>5.3906273384398595</v>
      </c>
      <c r="AH74" s="38">
        <f t="shared" si="64"/>
        <v>0.44372610461849649</v>
      </c>
      <c r="AI74" s="38">
        <f t="shared" si="85"/>
        <v>24.003510828343988</v>
      </c>
      <c r="AK74" s="45">
        <v>45151.739583333336</v>
      </c>
      <c r="AL74" s="4">
        <v>4.85294001937341E-3</v>
      </c>
      <c r="AM74" s="3">
        <v>0.77321039300000005</v>
      </c>
      <c r="AN74" s="4">
        <v>1573</v>
      </c>
      <c r="AO74" s="46">
        <f t="shared" si="86"/>
        <v>26.216666666666665</v>
      </c>
      <c r="AP74" s="47">
        <f t="shared" si="65"/>
        <v>0.12722791084123955</v>
      </c>
      <c r="AQ74" s="50">
        <f t="shared" si="87"/>
        <v>13.532174577268366</v>
      </c>
      <c r="AR74" s="50">
        <f t="shared" si="88"/>
        <v>9.1407587119222727E-2</v>
      </c>
      <c r="AS74" s="50">
        <f t="shared" si="89"/>
        <v>1.2369434265841892</v>
      </c>
      <c r="AT74" s="50">
        <f t="shared" si="66"/>
        <v>5.1187609354554171E-3</v>
      </c>
      <c r="AU74" s="50">
        <f t="shared" si="90"/>
        <v>6.9267966597884228E-2</v>
      </c>
      <c r="AW74" s="51">
        <v>45166.739583333336</v>
      </c>
      <c r="AX74" s="72">
        <v>1.09171316657087E-2</v>
      </c>
      <c r="AY74" s="73">
        <v>0.69769667099999999</v>
      </c>
      <c r="AZ74" s="52">
        <v>5412</v>
      </c>
      <c r="BA74" s="53">
        <f t="shared" si="91"/>
        <v>90.2</v>
      </c>
      <c r="BB74" s="72">
        <f t="shared" si="67"/>
        <v>0.98472527624692474</v>
      </c>
      <c r="BC74" s="54">
        <f t="shared" si="92"/>
        <v>36.862092971941742</v>
      </c>
      <c r="BD74" s="54">
        <f t="shared" si="93"/>
        <v>0.17054759104516731</v>
      </c>
      <c r="BE74" s="54">
        <f t="shared" si="94"/>
        <v>6.2867411572476559</v>
      </c>
      <c r="BF74" s="54">
        <f t="shared" si="68"/>
        <v>5.3948450772841439E-2</v>
      </c>
      <c r="BG74" s="54">
        <f t="shared" si="95"/>
        <v>1.9886528080807033</v>
      </c>
      <c r="BI74" s="66">
        <v>45183.739583333336</v>
      </c>
      <c r="BJ74" s="67">
        <v>9.73095488612086E-2</v>
      </c>
      <c r="BK74" s="68">
        <v>3.8698277910000001</v>
      </c>
      <c r="BL74" s="68">
        <v>5203</v>
      </c>
      <c r="BM74" s="68">
        <f t="shared" si="96"/>
        <v>86.716666666666669</v>
      </c>
      <c r="BN74" s="68">
        <f t="shared" si="69"/>
        <v>8.4383597120811391</v>
      </c>
      <c r="BO74" s="69">
        <f t="shared" si="97"/>
        <v>105.54609071255388</v>
      </c>
      <c r="BP74" s="69">
        <f t="shared" si="98"/>
        <v>1</v>
      </c>
      <c r="BQ74" s="69">
        <f t="shared" si="99"/>
        <v>105.54609071255388</v>
      </c>
      <c r="BR74" s="69">
        <f t="shared" si="70"/>
        <v>0.70865923540121756</v>
      </c>
      <c r="BS74" s="69">
        <f t="shared" si="100"/>
        <v>74.796211943945977</v>
      </c>
      <c r="BU74" s="82">
        <v>45047.072916666664</v>
      </c>
      <c r="BV74" s="112">
        <v>4.0245388E-2</v>
      </c>
      <c r="BW74" s="83">
        <v>82.276892649999994</v>
      </c>
      <c r="BX74" s="112">
        <v>6569</v>
      </c>
      <c r="BY74" s="83">
        <f t="shared" si="58"/>
        <v>109.48333333333333</v>
      </c>
      <c r="BZ74" s="84">
        <f t="shared" si="59"/>
        <v>4.4061992295333337</v>
      </c>
      <c r="CA74" s="83">
        <f t="shared" si="60"/>
        <v>76.780652273051416</v>
      </c>
      <c r="CC74" s="87">
        <v>45047.989583333336</v>
      </c>
      <c r="CD74" s="109">
        <v>5.8723303822895298E-2</v>
      </c>
      <c r="CE74" s="88">
        <v>88.350109630000006</v>
      </c>
      <c r="CF74" s="89">
        <v>4790</v>
      </c>
      <c r="CG74" s="90">
        <f t="shared" si="101"/>
        <v>79.833333333333329</v>
      </c>
      <c r="CH74" s="91">
        <f t="shared" si="102"/>
        <v>4.688077088527808</v>
      </c>
      <c r="CI74" s="91">
        <f t="shared" si="103"/>
        <v>79.147958798796736</v>
      </c>
      <c r="CK74" s="93">
        <v>45049.989583333336</v>
      </c>
      <c r="CL74">
        <v>0.1016303890443</v>
      </c>
      <c r="CM74" s="95">
        <v>124.3675379</v>
      </c>
      <c r="CN74" s="4">
        <v>3894</v>
      </c>
      <c r="CO74" s="95">
        <f t="shared" si="104"/>
        <v>64.900000000000006</v>
      </c>
      <c r="CP74" s="94">
        <f t="shared" si="105"/>
        <v>6.5958122489750703</v>
      </c>
      <c r="CQ74" s="96">
        <f t="shared" si="106"/>
        <v>93.551180427614469</v>
      </c>
      <c r="CS74" s="10">
        <v>45051.25</v>
      </c>
      <c r="CT74" s="110">
        <v>8.7514147842443005E-2</v>
      </c>
      <c r="CU74" s="21">
        <v>103.3988808</v>
      </c>
      <c r="CV74" s="111">
        <v>4377</v>
      </c>
      <c r="CW74" s="21">
        <f t="shared" si="107"/>
        <v>72.95</v>
      </c>
      <c r="CX74" s="21">
        <f t="shared" si="108"/>
        <v>6.3841570851062173</v>
      </c>
      <c r="CY74" s="21">
        <f t="shared" si="109"/>
        <v>92.068869006679719</v>
      </c>
    </row>
    <row r="75" spans="1:103" x14ac:dyDescent="0.25">
      <c r="A75" s="10">
        <v>44776.750694444447</v>
      </c>
      <c r="B75" s="11">
        <v>6.5316394382562201E-3</v>
      </c>
      <c r="C75" s="12">
        <v>9.6026396404999996</v>
      </c>
      <c r="D75" s="9">
        <v>4187</v>
      </c>
      <c r="E75" s="13">
        <f t="shared" si="71"/>
        <v>69.783333333333331</v>
      </c>
      <c r="F75" s="12">
        <f t="shared" si="61"/>
        <v>0.45579957213297989</v>
      </c>
      <c r="G75" s="13">
        <f t="shared" si="72"/>
        <v>25.2787257337237</v>
      </c>
      <c r="H75" s="11">
        <f t="shared" si="73"/>
        <v>0.74266883969181563</v>
      </c>
      <c r="I75" s="125">
        <f t="shared" si="74"/>
        <v>18.773721909552222</v>
      </c>
      <c r="J75" s="21">
        <f>IF((F75-$K$96)/($I$96-$K$96)&lt;0, 0, IF((F75-$K$96)/($I$96-$K$96)&gt;1, 1, (F75-$K$96)/($I$96-$K$96)))</f>
        <v>9.3803756870606297E-2</v>
      </c>
      <c r="K75" s="125">
        <f t="shared" si="75"/>
        <v>2.3712394427249568</v>
      </c>
      <c r="M75" s="25">
        <v>44781.750694444447</v>
      </c>
      <c r="N75" s="26">
        <v>7.1871778166483196E-3</v>
      </c>
      <c r="O75" s="27">
        <v>15.218093735</v>
      </c>
      <c r="P75" s="28">
        <v>5298</v>
      </c>
      <c r="Q75" s="29">
        <f t="shared" si="76"/>
        <v>88.3</v>
      </c>
      <c r="R75" s="26">
        <f t="shared" si="62"/>
        <v>0.63462780121004658</v>
      </c>
      <c r="S75" s="29">
        <f t="shared" si="77"/>
        <v>29.726733706097683</v>
      </c>
      <c r="T75" s="29">
        <f t="shared" si="78"/>
        <v>0.45337801288343132</v>
      </c>
      <c r="U75" s="126">
        <f t="shared" si="79"/>
        <v>13.477447457185487</v>
      </c>
      <c r="V75" s="128">
        <f>IF((R75-$W$102)/($U$101-$W$102)&lt;0, 0, IF((R75-$W$102)/($U$101-$W$102)&gt;1, 1, (R75-$W$102)/($U$101-$W$102)))</f>
        <v>0.29845883680576568</v>
      </c>
      <c r="W75" s="126">
        <f t="shared" si="80"/>
        <v>8.8722063639566624</v>
      </c>
      <c r="Y75" s="35">
        <v>45136.739583333336</v>
      </c>
      <c r="Z75" s="71">
        <v>1.4098258677324799E-2</v>
      </c>
      <c r="AA75" s="70">
        <v>2.6558198119999998</v>
      </c>
      <c r="AB75" s="36">
        <v>8011</v>
      </c>
      <c r="AC75" s="37">
        <f t="shared" si="81"/>
        <v>133.51666666666668</v>
      </c>
      <c r="AD75" s="37">
        <f t="shared" si="63"/>
        <v>1.8823525044008163</v>
      </c>
      <c r="AE75" s="38">
        <f t="shared" si="82"/>
        <v>50.626120782656123</v>
      </c>
      <c r="AF75" s="38">
        <f t="shared" si="83"/>
        <v>8.7898711529575721E-2</v>
      </c>
      <c r="AG75" s="38">
        <f t="shared" si="84"/>
        <v>4.4499707865361486</v>
      </c>
      <c r="AH75" s="38">
        <f t="shared" si="64"/>
        <v>0.37139053736913386</v>
      </c>
      <c r="AI75" s="38">
        <f t="shared" si="85"/>
        <v>18.802062202385333</v>
      </c>
      <c r="AK75" s="45">
        <v>45151.75</v>
      </c>
      <c r="AL75" s="4">
        <v>4.9686764790561402E-3</v>
      </c>
      <c r="AM75" s="3">
        <v>0.59425534599999996</v>
      </c>
      <c r="AN75" s="4">
        <v>1135</v>
      </c>
      <c r="AO75" s="46">
        <f t="shared" si="86"/>
        <v>18.916666666666668</v>
      </c>
      <c r="AP75" s="47">
        <f t="shared" si="65"/>
        <v>9.3990796728811998E-2</v>
      </c>
      <c r="AQ75" s="50">
        <f t="shared" si="87"/>
        <v>11.667383665740866</v>
      </c>
      <c r="AR75" s="50">
        <f t="shared" si="88"/>
        <v>0</v>
      </c>
      <c r="AS75" s="50">
        <f t="shared" si="89"/>
        <v>0</v>
      </c>
      <c r="AT75" s="50">
        <f t="shared" si="66"/>
        <v>0</v>
      </c>
      <c r="AU75" s="50">
        <f t="shared" si="90"/>
        <v>0</v>
      </c>
      <c r="AW75" s="51">
        <v>45166.75</v>
      </c>
      <c r="AX75" s="72">
        <v>1.0954063122563499E-2</v>
      </c>
      <c r="AY75" s="73">
        <v>0.59425534599999996</v>
      </c>
      <c r="AZ75" s="52">
        <v>4707</v>
      </c>
      <c r="BA75" s="53">
        <f t="shared" si="91"/>
        <v>78.45</v>
      </c>
      <c r="BB75" s="72">
        <f t="shared" si="67"/>
        <v>0.8593462519651065</v>
      </c>
      <c r="BC75" s="54">
        <f t="shared" si="92"/>
        <v>34.483850526131711</v>
      </c>
      <c r="BD75" s="54">
        <f t="shared" si="93"/>
        <v>0.1151703814865529</v>
      </c>
      <c r="BE75" s="54">
        <f t="shared" si="94"/>
        <v>3.9715182202198571</v>
      </c>
      <c r="BF75" s="54">
        <f t="shared" si="68"/>
        <v>3.3914439611253996E-2</v>
      </c>
      <c r="BG75" s="54">
        <f t="shared" si="95"/>
        <v>1.1695004662320032</v>
      </c>
      <c r="BI75" s="66">
        <v>45183.75</v>
      </c>
      <c r="BJ75" s="67">
        <v>0.12148791730821901</v>
      </c>
      <c r="BK75" s="68">
        <v>6.6940258559999997</v>
      </c>
      <c r="BL75" s="68">
        <v>4652</v>
      </c>
      <c r="BM75" s="68">
        <f t="shared" si="96"/>
        <v>77.533333333333331</v>
      </c>
      <c r="BN75" s="68">
        <f t="shared" si="69"/>
        <v>9.4193631886305802</v>
      </c>
      <c r="BO75" s="69">
        <f t="shared" si="97"/>
        <v>111.38634211146521</v>
      </c>
      <c r="BP75" s="69">
        <f t="shared" si="98"/>
        <v>1</v>
      </c>
      <c r="BQ75" s="69">
        <f t="shared" si="99"/>
        <v>111.38634211146521</v>
      </c>
      <c r="BR75" s="69">
        <f t="shared" si="70"/>
        <v>0.79262832727932597</v>
      </c>
      <c r="BS75" s="69">
        <f t="shared" si="100"/>
        <v>88.287970029573415</v>
      </c>
      <c r="BU75" s="82">
        <v>45047.083333333336</v>
      </c>
      <c r="BV75" s="112">
        <v>4.1501177E-2</v>
      </c>
      <c r="BW75" s="83">
        <v>82.276892649999994</v>
      </c>
      <c r="BX75" s="112">
        <v>6555</v>
      </c>
      <c r="BY75" s="83">
        <f t="shared" si="58"/>
        <v>109.25</v>
      </c>
      <c r="BZ75" s="84">
        <f t="shared" si="59"/>
        <v>4.53400358725</v>
      </c>
      <c r="CA75" s="83">
        <f t="shared" si="60"/>
        <v>77.863291611124211</v>
      </c>
      <c r="CC75" s="87">
        <v>45048</v>
      </c>
      <c r="CD75" s="109">
        <v>6.4025860322733205E-2</v>
      </c>
      <c r="CE75" s="88">
        <v>89.635700749999998</v>
      </c>
      <c r="CF75" s="89">
        <v>4791</v>
      </c>
      <c r="CG75" s="90">
        <f t="shared" si="101"/>
        <v>79.849999999999994</v>
      </c>
      <c r="CH75" s="91">
        <f t="shared" si="102"/>
        <v>5.1124649467702463</v>
      </c>
      <c r="CI75" s="91">
        <f t="shared" si="103"/>
        <v>82.579047989145138</v>
      </c>
      <c r="CK75" s="93">
        <v>45050</v>
      </c>
      <c r="CL75">
        <v>9.03187633143962E-2</v>
      </c>
      <c r="CM75" s="95">
        <v>118.36070239999999</v>
      </c>
      <c r="CN75" s="4">
        <v>3860</v>
      </c>
      <c r="CO75" s="95">
        <f t="shared" si="104"/>
        <v>64.333333333333329</v>
      </c>
      <c r="CP75" s="94">
        <f t="shared" si="105"/>
        <v>5.8105071065594887</v>
      </c>
      <c r="CQ75" s="96">
        <f t="shared" si="106"/>
        <v>87.92030913959195</v>
      </c>
      <c r="CS75" s="10">
        <v>45051.260416666664</v>
      </c>
      <c r="CT75" s="110">
        <v>8.1501648260414297E-2</v>
      </c>
      <c r="CU75" s="21">
        <v>103.3988808</v>
      </c>
      <c r="CV75" s="111">
        <v>4553</v>
      </c>
      <c r="CW75" s="21">
        <f t="shared" si="107"/>
        <v>75.88333333333334</v>
      </c>
      <c r="CX75" s="21">
        <f t="shared" si="108"/>
        <v>6.1846167421611051</v>
      </c>
      <c r="CY75" s="21">
        <f t="shared" si="109"/>
        <v>90.648258877612705</v>
      </c>
    </row>
    <row r="76" spans="1:103" x14ac:dyDescent="0.25">
      <c r="A76" s="10">
        <v>44776.761111111111</v>
      </c>
      <c r="B76" s="11">
        <v>7.1146443776370196E-3</v>
      </c>
      <c r="C76" s="12">
        <v>9.2022879035000003</v>
      </c>
      <c r="D76" s="9">
        <v>3381</v>
      </c>
      <c r="E76" s="13">
        <f t="shared" si="71"/>
        <v>56.35</v>
      </c>
      <c r="F76" s="12">
        <f t="shared" si="61"/>
        <v>0.40091021067984606</v>
      </c>
      <c r="G76" s="13">
        <f t="shared" si="72"/>
        <v>23.739182874624156</v>
      </c>
      <c r="H76" s="11">
        <f t="shared" si="73"/>
        <v>0.7091794412517497</v>
      </c>
      <c r="I76" s="125">
        <f t="shared" si="74"/>
        <v>16.835340446799066</v>
      </c>
      <c r="J76" s="21">
        <f>IF((F76-$K$96)/($I$96-$K$96)&lt;0, 0, IF((F76-$K$96)/($I$96-$K$96)&gt;1, 1, (F76-$K$96)/($I$96-$K$96)))</f>
        <v>8.2420110799908686E-2</v>
      </c>
      <c r="K76" s="125">
        <f t="shared" si="75"/>
        <v>1.9565860828258177</v>
      </c>
      <c r="M76" s="25">
        <v>44781.761111111111</v>
      </c>
      <c r="N76" s="26">
        <v>6.6272216752253097E-3</v>
      </c>
      <c r="O76" s="27">
        <v>13.768905965</v>
      </c>
      <c r="P76" s="28">
        <v>5207</v>
      </c>
      <c r="Q76" s="29">
        <f t="shared" si="76"/>
        <v>86.783333333333331</v>
      </c>
      <c r="R76" s="26">
        <f t="shared" si="62"/>
        <v>0.57513238771496977</v>
      </c>
      <c r="S76" s="29">
        <f t="shared" si="77"/>
        <v>28.327737969171352</v>
      </c>
      <c r="T76" s="29">
        <f t="shared" si="78"/>
        <v>0.40619600591183541</v>
      </c>
      <c r="U76" s="126">
        <f t="shared" si="79"/>
        <v>11.506614019594451</v>
      </c>
      <c r="V76" s="128">
        <f>IF((R76-$W$102)/($U$101-$W$102)&lt;0, 0, IF((R76-$W$102)/($U$101-$W$102)&gt;1, 1, (R76-$W$102)/($U$101-$W$102)))</f>
        <v>0.26830041841862851</v>
      </c>
      <c r="W76" s="126">
        <f t="shared" si="80"/>
        <v>7.6003439499819434</v>
      </c>
      <c r="Y76" s="35">
        <v>45136.75</v>
      </c>
      <c r="Z76" s="71">
        <v>1.50958119915185E-2</v>
      </c>
      <c r="AA76" s="70">
        <v>2.6558198119999998</v>
      </c>
      <c r="AB76" s="36">
        <v>7465</v>
      </c>
      <c r="AC76" s="37">
        <f t="shared" si="81"/>
        <v>124.41666666666667</v>
      </c>
      <c r="AD76" s="37">
        <f t="shared" si="63"/>
        <v>1.8781706086114267</v>
      </c>
      <c r="AE76" s="38">
        <f t="shared" si="82"/>
        <v>50.571011673526229</v>
      </c>
      <c r="AF76" s="38">
        <f t="shared" si="83"/>
        <v>8.7898711529575721E-2</v>
      </c>
      <c r="AG76" s="38">
        <f t="shared" si="84"/>
        <v>4.4451267668500885</v>
      </c>
      <c r="AH76" s="38">
        <f t="shared" si="64"/>
        <v>0.37028175013258807</v>
      </c>
      <c r="AI76" s="38">
        <f t="shared" si="85"/>
        <v>18.725522708448835</v>
      </c>
      <c r="AK76" s="45">
        <v>45151.760416666664</v>
      </c>
      <c r="AL76" s="4">
        <v>5.2549597770071904E-3</v>
      </c>
      <c r="AM76" s="3">
        <v>0.69769667099999999</v>
      </c>
      <c r="AN76" s="4">
        <v>1257</v>
      </c>
      <c r="AO76" s="46">
        <f t="shared" si="86"/>
        <v>20.95</v>
      </c>
      <c r="AP76" s="47">
        <f t="shared" si="65"/>
        <v>0.11009140732830064</v>
      </c>
      <c r="AQ76" s="50">
        <f t="shared" si="87"/>
        <v>12.60666592268014</v>
      </c>
      <c r="AR76" s="50">
        <f t="shared" si="88"/>
        <v>5.033140178475267E-2</v>
      </c>
      <c r="AS76" s="50">
        <f t="shared" si="89"/>
        <v>0.63451116772056382</v>
      </c>
      <c r="AT76" s="50">
        <f t="shared" si="66"/>
        <v>0</v>
      </c>
      <c r="AU76" s="50">
        <f t="shared" si="90"/>
        <v>0</v>
      </c>
      <c r="AW76" s="51">
        <v>45166.760416666664</v>
      </c>
      <c r="AX76" s="72">
        <v>1.3575714997825099E-2</v>
      </c>
      <c r="AY76" s="73">
        <v>0.69769667099999999</v>
      </c>
      <c r="AZ76" s="52">
        <v>5617</v>
      </c>
      <c r="BA76" s="53">
        <f t="shared" si="91"/>
        <v>93.61666666666666</v>
      </c>
      <c r="BB76" s="72">
        <f t="shared" si="67"/>
        <v>1.2709131857130596</v>
      </c>
      <c r="BC76" s="54">
        <f t="shared" si="92"/>
        <v>41.767563527184244</v>
      </c>
      <c r="BD76" s="54">
        <f t="shared" si="93"/>
        <v>0.17054759104516731</v>
      </c>
      <c r="BE76" s="54">
        <f t="shared" si="94"/>
        <v>7.1233573433872648</v>
      </c>
      <c r="BF76" s="54">
        <f t="shared" si="68"/>
        <v>9.967772491098259E-2</v>
      </c>
      <c r="BG76" s="54">
        <f t="shared" si="95"/>
        <v>4.1632957074646608</v>
      </c>
      <c r="BI76" s="66">
        <v>45183.760416666664</v>
      </c>
      <c r="BJ76" s="67">
        <v>7.0039998255896102E-2</v>
      </c>
      <c r="BK76" s="68">
        <v>2.6558198119999998</v>
      </c>
      <c r="BL76" s="68">
        <v>5802</v>
      </c>
      <c r="BM76" s="68">
        <f t="shared" si="96"/>
        <v>96.7</v>
      </c>
      <c r="BN76" s="68">
        <f t="shared" si="69"/>
        <v>6.7728678313451534</v>
      </c>
      <c r="BO76" s="69">
        <f t="shared" si="97"/>
        <v>94.772630546827756</v>
      </c>
      <c r="BP76" s="69">
        <f t="shared" si="98"/>
        <v>1</v>
      </c>
      <c r="BQ76" s="69">
        <f t="shared" si="99"/>
        <v>94.772630546827756</v>
      </c>
      <c r="BR76" s="69">
        <f t="shared" si="70"/>
        <v>0.56610128927887737</v>
      </c>
      <c r="BS76" s="69">
        <f t="shared" si="100"/>
        <v>53.650908340909908</v>
      </c>
      <c r="BU76" s="82">
        <v>45047.09375</v>
      </c>
      <c r="BV76" s="112">
        <v>4.4439060000000002E-2</v>
      </c>
      <c r="BW76" s="83">
        <v>82.284398269999997</v>
      </c>
      <c r="BX76" s="112">
        <v>6706</v>
      </c>
      <c r="BY76" s="83">
        <f t="shared" si="58"/>
        <v>111.76666666666667</v>
      </c>
      <c r="BZ76" s="84">
        <f t="shared" si="59"/>
        <v>4.9668056060000003</v>
      </c>
      <c r="CA76" s="83">
        <f t="shared" si="60"/>
        <v>81.418402938795751</v>
      </c>
      <c r="CC76" s="87">
        <v>45048.010416666664</v>
      </c>
      <c r="CD76" s="109">
        <v>5.9518197352717503E-2</v>
      </c>
      <c r="CE76" s="88">
        <v>89.635700749999998</v>
      </c>
      <c r="CF76" s="89">
        <v>4853</v>
      </c>
      <c r="CG76" s="90">
        <f t="shared" si="101"/>
        <v>80.88333333333334</v>
      </c>
      <c r="CH76" s="91">
        <f t="shared" si="102"/>
        <v>4.814030195878968</v>
      </c>
      <c r="CI76" s="91">
        <f t="shared" si="103"/>
        <v>80.182234881948659</v>
      </c>
      <c r="CK76" s="93">
        <v>45050.010416666664</v>
      </c>
      <c r="CL76">
        <v>9.1867757594141397E-2</v>
      </c>
      <c r="CM76" s="95">
        <v>120.2525852</v>
      </c>
      <c r="CN76" s="4">
        <v>3789</v>
      </c>
      <c r="CO76" s="95">
        <f t="shared" si="104"/>
        <v>63.15</v>
      </c>
      <c r="CP76" s="94">
        <f t="shared" si="105"/>
        <v>5.8014488920700291</v>
      </c>
      <c r="CQ76" s="96">
        <f t="shared" si="106"/>
        <v>87.853163050649044</v>
      </c>
      <c r="CS76" s="10">
        <v>45051.270833333336</v>
      </c>
      <c r="CT76" s="110">
        <v>8.50265956258969E-2</v>
      </c>
      <c r="CU76" s="21">
        <v>105.0235411</v>
      </c>
      <c r="CV76" s="111">
        <v>4458</v>
      </c>
      <c r="CW76" s="21">
        <f t="shared" si="107"/>
        <v>74.3</v>
      </c>
      <c r="CX76" s="21">
        <f t="shared" si="108"/>
        <v>6.3174760550041391</v>
      </c>
      <c r="CY76" s="21">
        <f t="shared" si="109"/>
        <v>91.596693336624867</v>
      </c>
    </row>
    <row r="77" spans="1:103" x14ac:dyDescent="0.25">
      <c r="A77" s="10">
        <v>44776.771527777775</v>
      </c>
      <c r="B77" s="11">
        <v>6.7227076636487701E-3</v>
      </c>
      <c r="C77" s="12">
        <v>7.7941709709999998</v>
      </c>
      <c r="D77" s="9">
        <v>2729</v>
      </c>
      <c r="E77" s="13">
        <f t="shared" si="71"/>
        <v>45.483333333333334</v>
      </c>
      <c r="F77" s="12">
        <f t="shared" si="61"/>
        <v>0.30577115356829154</v>
      </c>
      <c r="G77" s="13">
        <f t="shared" si="72"/>
        <v>20.789893494319333</v>
      </c>
      <c r="H77" s="11">
        <f t="shared" si="73"/>
        <v>0.59139054552704873</v>
      </c>
      <c r="I77" s="125">
        <f t="shared" si="74"/>
        <v>12.294946455054752</v>
      </c>
      <c r="J77" s="21">
        <f>IF((F77-$K$96)/($I$96-$K$96)&lt;0, 0, IF((F77-$K$96)/($I$96-$K$96)&gt;1, 1, (F77-$K$96)/($I$96-$K$96)))</f>
        <v>6.2688976660508169E-2</v>
      </c>
      <c r="K77" s="125">
        <f t="shared" si="75"/>
        <v>1.3032971480398352</v>
      </c>
      <c r="M77" s="25">
        <v>44781.771527777775</v>
      </c>
      <c r="N77" s="26">
        <v>7.1315589399115996E-3</v>
      </c>
      <c r="O77" s="27">
        <v>10.713533245000001</v>
      </c>
      <c r="P77" s="28">
        <v>3390</v>
      </c>
      <c r="Q77" s="29">
        <f t="shared" si="76"/>
        <v>56.5</v>
      </c>
      <c r="R77" s="26">
        <f t="shared" si="62"/>
        <v>0.40293308010500539</v>
      </c>
      <c r="S77" s="29">
        <f t="shared" si="77"/>
        <v>23.797764112710826</v>
      </c>
      <c r="T77" s="29">
        <f t="shared" si="78"/>
        <v>0.30672054803113297</v>
      </c>
      <c r="U77" s="126">
        <f t="shared" si="79"/>
        <v>7.2992632505662938</v>
      </c>
      <c r="V77" s="128">
        <f>IF((R77-$W$102)/($U$101-$W$102)&lt;0, 0, IF((R77-$W$102)/($U$101-$W$102)&gt;1, 1, (R77-$W$102)/($U$101-$W$102)))</f>
        <v>0.18101202995644253</v>
      </c>
      <c r="W77" s="126">
        <f t="shared" si="80"/>
        <v>4.3076815904663652</v>
      </c>
      <c r="Y77" s="35">
        <v>45136.760416666664</v>
      </c>
      <c r="Z77" s="71">
        <v>1.29994040158092E-2</v>
      </c>
      <c r="AA77" s="70">
        <v>2.0619739560000001</v>
      </c>
      <c r="AB77" s="36">
        <v>6561</v>
      </c>
      <c r="AC77" s="37">
        <f t="shared" si="81"/>
        <v>109.35</v>
      </c>
      <c r="AD77" s="37">
        <f t="shared" si="63"/>
        <v>1.4214848291287361</v>
      </c>
      <c r="AE77" s="38">
        <f t="shared" si="82"/>
        <v>44.121621251906596</v>
      </c>
      <c r="AF77" s="38">
        <f t="shared" si="83"/>
        <v>5.6904417541896707E-2</v>
      </c>
      <c r="AG77" s="38">
        <f t="shared" si="84"/>
        <v>2.5107151583439165</v>
      </c>
      <c r="AH77" s="38">
        <f t="shared" si="64"/>
        <v>0.24919614950926922</v>
      </c>
      <c r="AI77" s="38">
        <f t="shared" si="85"/>
        <v>10.994938126081466</v>
      </c>
      <c r="AK77" s="45">
        <v>45151.770833333336</v>
      </c>
      <c r="AL77" s="4">
        <v>1.20267098061293E-2</v>
      </c>
      <c r="AM77" s="3">
        <v>0.59425534599999996</v>
      </c>
      <c r="AN77" s="4">
        <v>4902</v>
      </c>
      <c r="AO77" s="46">
        <f t="shared" si="86"/>
        <v>81.7</v>
      </c>
      <c r="AP77" s="47">
        <f t="shared" si="65"/>
        <v>0.98258219116076384</v>
      </c>
      <c r="AQ77" s="50">
        <f t="shared" si="87"/>
        <v>36.822785439690144</v>
      </c>
      <c r="AR77" s="50">
        <f t="shared" si="88"/>
        <v>0</v>
      </c>
      <c r="AS77" s="50">
        <f t="shared" si="89"/>
        <v>0</v>
      </c>
      <c r="AT77" s="50">
        <f t="shared" si="66"/>
        <v>0.68252553605166466</v>
      </c>
      <c r="AU77" s="50">
        <f t="shared" si="90"/>
        <v>25.132491371139949</v>
      </c>
      <c r="AW77" s="51">
        <v>45166.770833333336</v>
      </c>
      <c r="AX77" s="72">
        <v>1.55340760841929E-2</v>
      </c>
      <c r="AY77" s="73">
        <v>0.81307424100000003</v>
      </c>
      <c r="AZ77" s="52">
        <v>6158</v>
      </c>
      <c r="BA77" s="53">
        <f t="shared" si="91"/>
        <v>102.63333333333334</v>
      </c>
      <c r="BB77" s="72">
        <f t="shared" si="67"/>
        <v>1.5943140087743315</v>
      </c>
      <c r="BC77" s="54">
        <f t="shared" si="92"/>
        <v>46.671742210542483</v>
      </c>
      <c r="BD77" s="54">
        <f t="shared" si="93"/>
        <v>0.23231485738919086</v>
      </c>
      <c r="BE77" s="54">
        <f t="shared" si="94"/>
        <v>10.842539135747256</v>
      </c>
      <c r="BF77" s="54">
        <f t="shared" si="68"/>
        <v>0.15135316054296682</v>
      </c>
      <c r="BG77" s="54">
        <f t="shared" si="95"/>
        <v>7.0639156916121975</v>
      </c>
      <c r="BI77" s="66">
        <v>45183.770833333336</v>
      </c>
      <c r="BJ77" s="67">
        <v>6.18691893714143E-2</v>
      </c>
      <c r="BK77" s="68">
        <v>2.247064306</v>
      </c>
      <c r="BL77" s="68">
        <v>6293</v>
      </c>
      <c r="BM77" s="68">
        <f t="shared" si="96"/>
        <v>104.88333333333334</v>
      </c>
      <c r="BN77" s="68">
        <f t="shared" si="69"/>
        <v>6.4890468119051699</v>
      </c>
      <c r="BO77" s="69">
        <f t="shared" si="97"/>
        <v>92.806540268983241</v>
      </c>
      <c r="BP77" s="69">
        <f t="shared" si="98"/>
        <v>1</v>
      </c>
      <c r="BQ77" s="69">
        <f t="shared" si="99"/>
        <v>92.806540268983241</v>
      </c>
      <c r="BR77" s="69">
        <f t="shared" si="70"/>
        <v>0.54180760038990305</v>
      </c>
      <c r="BS77" s="69">
        <f t="shared" si="100"/>
        <v>50.283288883626717</v>
      </c>
      <c r="BU77" s="82">
        <v>45047.104166666664</v>
      </c>
      <c r="BV77" s="112">
        <v>3.9701674999999999E-2</v>
      </c>
      <c r="BW77" s="83">
        <v>82.284398269999997</v>
      </c>
      <c r="BX77" s="112">
        <v>7256</v>
      </c>
      <c r="BY77" s="83">
        <f t="shared" si="58"/>
        <v>120.93333333333334</v>
      </c>
      <c r="BZ77" s="84">
        <f t="shared" si="59"/>
        <v>4.8012558966666665</v>
      </c>
      <c r="CA77" s="83">
        <f t="shared" si="60"/>
        <v>80.077971725097882</v>
      </c>
      <c r="CC77" s="87">
        <v>45048.020833333336</v>
      </c>
      <c r="CD77" s="109">
        <v>6.2191643191794002E-2</v>
      </c>
      <c r="CE77" s="88">
        <v>88.350109630000006</v>
      </c>
      <c r="CF77" s="89">
        <v>4874</v>
      </c>
      <c r="CG77" s="90">
        <f t="shared" si="101"/>
        <v>81.233333333333334</v>
      </c>
      <c r="CH77" s="91">
        <f t="shared" si="102"/>
        <v>5.0520344819467331</v>
      </c>
      <c r="CI77" s="91">
        <f t="shared" si="103"/>
        <v>82.099600303622864</v>
      </c>
      <c r="CK77" s="93">
        <v>45050.020833333336</v>
      </c>
      <c r="CL77">
        <v>8.6747022862342094E-2</v>
      </c>
      <c r="CM77" s="95">
        <v>119.11711819999999</v>
      </c>
      <c r="CN77" s="4">
        <v>3913</v>
      </c>
      <c r="CO77" s="95">
        <f t="shared" si="104"/>
        <v>65.216666666666669</v>
      </c>
      <c r="CP77" s="94">
        <f t="shared" si="105"/>
        <v>5.6573516743390773</v>
      </c>
      <c r="CQ77" s="96">
        <f t="shared" si="106"/>
        <v>86.777725968269067</v>
      </c>
      <c r="CS77" s="10">
        <v>45051.28125</v>
      </c>
      <c r="CT77" s="110">
        <v>8.6122319619952897E-2</v>
      </c>
      <c r="CU77" s="21">
        <v>104.61473460000001</v>
      </c>
      <c r="CV77" s="111">
        <v>4454</v>
      </c>
      <c r="CW77" s="21">
        <f t="shared" si="107"/>
        <v>74.233333333333334</v>
      </c>
      <c r="CX77" s="21">
        <f t="shared" si="108"/>
        <v>6.3931468597878371</v>
      </c>
      <c r="CY77" s="21">
        <f t="shared" si="109"/>
        <v>92.132333702217664</v>
      </c>
    </row>
    <row r="78" spans="1:103" x14ac:dyDescent="0.25">
      <c r="A78" s="10">
        <v>44776.781944444447</v>
      </c>
      <c r="B78" s="11">
        <v>4.8378525919520604E-3</v>
      </c>
      <c r="C78" s="12">
        <v>5.7733400259999996</v>
      </c>
      <c r="D78" s="9">
        <v>2494</v>
      </c>
      <c r="E78" s="13">
        <f t="shared" si="71"/>
        <v>41.56666666666667</v>
      </c>
      <c r="F78" s="12">
        <f t="shared" si="61"/>
        <v>0.20109340607214066</v>
      </c>
      <c r="G78" s="13">
        <f t="shared" si="72"/>
        <v>16.932750535726619</v>
      </c>
      <c r="H78" s="11">
        <f t="shared" si="73"/>
        <v>0.42234815993819835</v>
      </c>
      <c r="I78" s="125">
        <f t="shared" si="74"/>
        <v>7.1515160314566799</v>
      </c>
      <c r="J78" s="21">
        <f>IF((F78-$K$96)/($I$96-$K$96)&lt;0, 0, IF((F78-$K$96)/($I$96-$K$96)&gt;1, 1, (F78-$K$96)/($I$96-$K$96)))</f>
        <v>4.0979588949895604E-2</v>
      </c>
      <c r="K78" s="125">
        <f t="shared" si="75"/>
        <v>0.69389715674520147</v>
      </c>
      <c r="M78" s="25">
        <v>44781.781944444447</v>
      </c>
      <c r="N78" s="26">
        <v>5.71562118563865E-3</v>
      </c>
      <c r="O78" s="27">
        <v>10.73823973</v>
      </c>
      <c r="P78" s="28">
        <v>3233</v>
      </c>
      <c r="Q78" s="29">
        <f t="shared" si="76"/>
        <v>53.883333333333333</v>
      </c>
      <c r="R78" s="26">
        <f t="shared" si="62"/>
        <v>0.30797672155282924</v>
      </c>
      <c r="S78" s="29">
        <f t="shared" si="77"/>
        <v>20.863194372065465</v>
      </c>
      <c r="T78" s="29">
        <f t="shared" si="78"/>
        <v>0.30752493071476106</v>
      </c>
      <c r="U78" s="126">
        <f t="shared" si="79"/>
        <v>6.4159524037580251</v>
      </c>
      <c r="V78" s="128">
        <f>IF((R78-$W$102)/($U$101-$W$102)&lt;0, 0, IF((R78-$W$102)/($U$101-$W$102)&gt;1, 1, (R78-$W$102)/($U$101-$W$102)))</f>
        <v>0.1328783433156645</v>
      </c>
      <c r="W78" s="126">
        <f t="shared" si="80"/>
        <v>2.7722667044327545</v>
      </c>
      <c r="Y78" s="35">
        <v>45136.770833333336</v>
      </c>
      <c r="Z78" s="71">
        <v>1.41961564302592E-2</v>
      </c>
      <c r="AA78" s="70">
        <v>2.3436582540000002</v>
      </c>
      <c r="AB78" s="36">
        <v>6999</v>
      </c>
      <c r="AC78" s="37">
        <f t="shared" si="81"/>
        <v>116.65</v>
      </c>
      <c r="AD78" s="37">
        <f t="shared" si="63"/>
        <v>1.6559816475897358</v>
      </c>
      <c r="AE78" s="38">
        <f t="shared" si="82"/>
        <v>47.547214629001694</v>
      </c>
      <c r="AF78" s="38">
        <f t="shared" si="83"/>
        <v>7.1606222489618676E-2</v>
      </c>
      <c r="AG78" s="38">
        <f t="shared" si="84"/>
        <v>3.4046764294859471</v>
      </c>
      <c r="AH78" s="38">
        <f t="shared" si="64"/>
        <v>0.31137060157951091</v>
      </c>
      <c r="AI78" s="38">
        <f t="shared" si="85"/>
        <v>14.804804822462378</v>
      </c>
      <c r="AK78" s="45">
        <v>45151.78125</v>
      </c>
      <c r="AL78" s="4">
        <v>1.1325554905865299E-2</v>
      </c>
      <c r="AM78" s="3">
        <v>2.7664001109999998</v>
      </c>
      <c r="AN78" s="4">
        <v>6670</v>
      </c>
      <c r="AO78" s="46">
        <f t="shared" si="86"/>
        <v>111.16666666666667</v>
      </c>
      <c r="AP78" s="47">
        <f t="shared" si="65"/>
        <v>1.2590241870353591</v>
      </c>
      <c r="AQ78" s="50">
        <f t="shared" si="87"/>
        <v>41.575767813015752</v>
      </c>
      <c r="AR78" s="50">
        <f t="shared" si="88"/>
        <v>1</v>
      </c>
      <c r="AS78" s="50">
        <f t="shared" si="89"/>
        <v>41.575767813015752</v>
      </c>
      <c r="AT78" s="50">
        <f t="shared" si="66"/>
        <v>0.90145666814601055</v>
      </c>
      <c r="AU78" s="50">
        <f t="shared" si="90"/>
        <v>37.478753128333324</v>
      </c>
      <c r="AW78" s="51">
        <v>45166.78125</v>
      </c>
      <c r="AX78" s="72">
        <v>1.19831947919809E-2</v>
      </c>
      <c r="AY78" s="73">
        <v>0.69769667099999999</v>
      </c>
      <c r="AZ78" s="52">
        <v>5711</v>
      </c>
      <c r="BA78" s="53">
        <f t="shared" si="91"/>
        <v>95.183333333333337</v>
      </c>
      <c r="BB78" s="72">
        <f t="shared" si="67"/>
        <v>1.140600424283382</v>
      </c>
      <c r="BC78" s="54">
        <f t="shared" si="92"/>
        <v>39.612466210306977</v>
      </c>
      <c r="BD78" s="54">
        <f t="shared" si="93"/>
        <v>0.17054759104516731</v>
      </c>
      <c r="BE78" s="54">
        <f t="shared" si="94"/>
        <v>6.7558106875259432</v>
      </c>
      <c r="BF78" s="54">
        <f t="shared" si="68"/>
        <v>7.8855363818816804E-2</v>
      </c>
      <c r="BG78" s="54">
        <f t="shared" si="95"/>
        <v>3.1236554347743439</v>
      </c>
      <c r="BI78" s="66">
        <v>45183.78125</v>
      </c>
      <c r="BJ78" s="67">
        <v>6.0709785559574299E-2</v>
      </c>
      <c r="BK78" s="68">
        <v>2.3436582540000002</v>
      </c>
      <c r="BL78" s="68">
        <v>6218</v>
      </c>
      <c r="BM78" s="68">
        <f t="shared" si="96"/>
        <v>103.63333333333334</v>
      </c>
      <c r="BN78" s="68">
        <f t="shared" si="69"/>
        <v>6.2915574434905501</v>
      </c>
      <c r="BO78" s="69">
        <f t="shared" si="97"/>
        <v>91.412474790851846</v>
      </c>
      <c r="BP78" s="69">
        <f t="shared" si="98"/>
        <v>1</v>
      </c>
      <c r="BQ78" s="69">
        <f t="shared" si="99"/>
        <v>91.412474790851846</v>
      </c>
      <c r="BR78" s="69">
        <f t="shared" si="70"/>
        <v>0.52490347790943492</v>
      </c>
      <c r="BS78" s="69">
        <f t="shared" si="100"/>
        <v>47.982725942026676</v>
      </c>
      <c r="BU78" s="82">
        <v>45047.114583333336</v>
      </c>
      <c r="BV78" s="112">
        <v>4.2727963000000001E-2</v>
      </c>
      <c r="BW78" s="83">
        <v>81.405228940000001</v>
      </c>
      <c r="BX78" s="112">
        <v>6982</v>
      </c>
      <c r="BY78" s="83">
        <f t="shared" si="58"/>
        <v>116.36666666666666</v>
      </c>
      <c r="BZ78" s="84">
        <f t="shared" si="59"/>
        <v>4.9721106277666669</v>
      </c>
      <c r="CA78" s="83">
        <f t="shared" si="60"/>
        <v>81.460976931595383</v>
      </c>
      <c r="CC78" s="87">
        <v>45048.03125</v>
      </c>
      <c r="CD78" s="109">
        <v>5.5378085388220998E-2</v>
      </c>
      <c r="CE78" s="88">
        <v>87.058386479999996</v>
      </c>
      <c r="CF78" s="89">
        <v>4830</v>
      </c>
      <c r="CG78" s="90">
        <f t="shared" si="101"/>
        <v>80.5</v>
      </c>
      <c r="CH78" s="91">
        <f t="shared" si="102"/>
        <v>4.45793587375179</v>
      </c>
      <c r="CI78" s="91">
        <f t="shared" si="103"/>
        <v>77.220822457558285</v>
      </c>
      <c r="CK78" s="93">
        <v>45050.03125</v>
      </c>
      <c r="CL78">
        <v>0.103100653598571</v>
      </c>
      <c r="CM78" s="95">
        <v>117.21518</v>
      </c>
      <c r="CN78" s="4">
        <v>4051</v>
      </c>
      <c r="CO78" s="95">
        <f t="shared" si="104"/>
        <v>67.516666666666666</v>
      </c>
      <c r="CP78" s="94">
        <f t="shared" si="105"/>
        <v>6.961012462130185</v>
      </c>
      <c r="CQ78" s="96">
        <f t="shared" si="106"/>
        <v>96.052853776553491</v>
      </c>
      <c r="CS78" s="10">
        <v>45051.291666666664</v>
      </c>
      <c r="CT78" s="110">
        <v>7.9334787722903297E-2</v>
      </c>
      <c r="CU78" s="21">
        <v>94.720978599999995</v>
      </c>
      <c r="CV78" s="111">
        <v>4648</v>
      </c>
      <c r="CW78" s="21">
        <f t="shared" si="107"/>
        <v>77.466666666666669</v>
      </c>
      <c r="CX78" s="21">
        <f t="shared" si="108"/>
        <v>6.1458015556009089</v>
      </c>
      <c r="CY78" s="21">
        <f t="shared" si="109"/>
        <v>90.369213034180092</v>
      </c>
    </row>
    <row r="79" spans="1:103" x14ac:dyDescent="0.25">
      <c r="A79" s="10">
        <v>44776.792361111111</v>
      </c>
      <c r="B79" s="11">
        <v>4.9265829371615104E-3</v>
      </c>
      <c r="C79" s="12">
        <v>5.1560535449999998</v>
      </c>
      <c r="D79" s="9">
        <v>2465</v>
      </c>
      <c r="E79" s="13">
        <f t="shared" si="71"/>
        <v>41.083333333333336</v>
      </c>
      <c r="F79" s="12">
        <f t="shared" si="61"/>
        <v>0.20240044900171872</v>
      </c>
      <c r="G79" s="13">
        <f t="shared" si="72"/>
        <v>16.986556591580069</v>
      </c>
      <c r="H79" s="11">
        <f t="shared" si="73"/>
        <v>0.3707121833622426</v>
      </c>
      <c r="I79" s="125">
        <f t="shared" si="74"/>
        <v>6.2971234818709414</v>
      </c>
      <c r="J79" s="21">
        <f>IF((F79-$K$96)/($I$96-$K$96)&lt;0, 0, IF((F79-$K$96)/($I$96-$K$96)&gt;1, 1, (F79-$K$96)/($I$96-$K$96)))</f>
        <v>4.1250659950097135E-2</v>
      </c>
      <c r="K79" s="125">
        <f t="shared" si="75"/>
        <v>0.7007066696823504</v>
      </c>
      <c r="M79" s="25">
        <v>44781.792361111111</v>
      </c>
      <c r="N79" s="26">
        <v>5.7347840315271903E-3</v>
      </c>
      <c r="O79" s="27">
        <v>9.41508928649999</v>
      </c>
      <c r="P79" s="28">
        <v>2405</v>
      </c>
      <c r="Q79" s="29">
        <f t="shared" si="76"/>
        <v>40.083333333333336</v>
      </c>
      <c r="R79" s="26">
        <f t="shared" si="62"/>
        <v>0.22986925993038157</v>
      </c>
      <c r="S79" s="29">
        <f t="shared" si="77"/>
        <v>18.078849450748503</v>
      </c>
      <c r="T79" s="29">
        <f t="shared" si="78"/>
        <v>0.26444639062351549</v>
      </c>
      <c r="U79" s="126">
        <f t="shared" si="79"/>
        <v>4.7808864838763672</v>
      </c>
      <c r="V79" s="128">
        <f>IF((R79-$W$102)/($U$101-$W$102)&lt;0, 0, IF((R79-$W$102)/($U$101-$W$102)&gt;1, 1, (R79-$W$102)/($U$101-$W$102)))</f>
        <v>9.3285417266634474E-2</v>
      </c>
      <c r="W79" s="126">
        <f t="shared" si="80"/>
        <v>1.6864930147137396</v>
      </c>
      <c r="Y79" s="35">
        <v>45136.78125</v>
      </c>
      <c r="Z79" s="71">
        <v>1.2127009560730199E-2</v>
      </c>
      <c r="AA79" s="70">
        <v>2.0619739560000001</v>
      </c>
      <c r="AB79" s="36">
        <v>6538</v>
      </c>
      <c r="AC79" s="37">
        <f t="shared" si="81"/>
        <v>108.96666666666667</v>
      </c>
      <c r="AD79" s="37">
        <f t="shared" si="63"/>
        <v>1.3214398084675674</v>
      </c>
      <c r="AE79" s="38">
        <f t="shared" si="82"/>
        <v>42.572631686625165</v>
      </c>
      <c r="AF79" s="38">
        <f t="shared" si="83"/>
        <v>5.6904417541896707E-2</v>
      </c>
      <c r="AG79" s="38">
        <f t="shared" si="84"/>
        <v>2.4225708093531004</v>
      </c>
      <c r="AH79" s="38">
        <f t="shared" si="64"/>
        <v>0.22267022739745732</v>
      </c>
      <c r="AI79" s="38">
        <f t="shared" si="85"/>
        <v>9.4796575785690216</v>
      </c>
      <c r="AK79" s="45">
        <v>45151.791666666664</v>
      </c>
      <c r="AL79" s="4">
        <v>9.3017912165181404E-3</v>
      </c>
      <c r="AM79" s="3">
        <v>2.6539428329999999</v>
      </c>
      <c r="AN79" s="4">
        <v>5421</v>
      </c>
      <c r="AO79" s="46">
        <f t="shared" si="86"/>
        <v>90.35</v>
      </c>
      <c r="AP79" s="47">
        <f t="shared" si="65"/>
        <v>0.84041683641241394</v>
      </c>
      <c r="AQ79" s="50">
        <f t="shared" si="87"/>
        <v>34.109760413043801</v>
      </c>
      <c r="AR79" s="50">
        <f t="shared" si="88"/>
        <v>1</v>
      </c>
      <c r="AS79" s="50">
        <f t="shared" si="89"/>
        <v>34.109760413043801</v>
      </c>
      <c r="AT79" s="50">
        <f t="shared" si="66"/>
        <v>0.56993619534320816</v>
      </c>
      <c r="AU79" s="50">
        <f t="shared" si="90"/>
        <v>19.440387073878561</v>
      </c>
      <c r="AW79" s="51">
        <v>45166.791666666664</v>
      </c>
      <c r="AX79" s="72">
        <v>1.53530311490996E-2</v>
      </c>
      <c r="AY79" s="73">
        <v>0.69769667099999999</v>
      </c>
      <c r="AZ79" s="52">
        <v>5798</v>
      </c>
      <c r="BA79" s="53">
        <f t="shared" si="91"/>
        <v>96.63333333333334</v>
      </c>
      <c r="BB79" s="72">
        <f t="shared" si="67"/>
        <v>1.4836145767079916</v>
      </c>
      <c r="BC79" s="54">
        <f t="shared" si="92"/>
        <v>45.055678199723602</v>
      </c>
      <c r="BD79" s="54">
        <f t="shared" si="93"/>
        <v>0.17054759104516731</v>
      </c>
      <c r="BE79" s="54">
        <f t="shared" si="94"/>
        <v>7.6841373798691208</v>
      </c>
      <c r="BF79" s="54">
        <f t="shared" si="68"/>
        <v>0.13366476593069473</v>
      </c>
      <c r="BG79" s="54">
        <f t="shared" si="95"/>
        <v>6.0223566804147604</v>
      </c>
      <c r="BI79" s="66">
        <v>45183.791666666664</v>
      </c>
      <c r="BJ79" s="67">
        <v>5.1910935948964503E-2</v>
      </c>
      <c r="BK79" s="68">
        <v>2.247064306</v>
      </c>
      <c r="BL79" s="68">
        <v>6711</v>
      </c>
      <c r="BM79" s="68">
        <f t="shared" si="96"/>
        <v>111.85</v>
      </c>
      <c r="BN79" s="68">
        <f t="shared" si="69"/>
        <v>5.8062381858916794</v>
      </c>
      <c r="BO79" s="69">
        <f t="shared" si="97"/>
        <v>87.888671447756025</v>
      </c>
      <c r="BP79" s="69">
        <f t="shared" si="98"/>
        <v>1</v>
      </c>
      <c r="BQ79" s="69">
        <f t="shared" si="99"/>
        <v>87.888671447756025</v>
      </c>
      <c r="BR79" s="69">
        <f t="shared" si="70"/>
        <v>0.48336252692843079</v>
      </c>
      <c r="BS79" s="69">
        <f t="shared" si="100"/>
        <v>42.482090319369981</v>
      </c>
      <c r="BU79" s="82">
        <v>45047.125</v>
      </c>
      <c r="BV79" s="112">
        <v>3.7729084000000003E-2</v>
      </c>
      <c r="BW79" s="83">
        <v>81.405228940000001</v>
      </c>
      <c r="BX79" s="112">
        <v>6820</v>
      </c>
      <c r="BY79" s="83">
        <f t="shared" si="58"/>
        <v>113.66666666666667</v>
      </c>
      <c r="BZ79" s="84">
        <f t="shared" si="59"/>
        <v>4.2885392146666668</v>
      </c>
      <c r="CA79" s="83">
        <f t="shared" si="60"/>
        <v>75.769687982629208</v>
      </c>
      <c r="CC79" s="87">
        <v>45048.041666666664</v>
      </c>
      <c r="CD79" s="109">
        <v>5.3922792986080298E-2</v>
      </c>
      <c r="CE79" s="88">
        <v>89.635700749999998</v>
      </c>
      <c r="CF79" s="89">
        <v>4734</v>
      </c>
      <c r="CG79" s="90">
        <f t="shared" si="101"/>
        <v>78.900000000000006</v>
      </c>
      <c r="CH79" s="91">
        <f t="shared" si="102"/>
        <v>4.254508366601736</v>
      </c>
      <c r="CI79" s="91">
        <f t="shared" si="103"/>
        <v>75.474654751181305</v>
      </c>
      <c r="CK79" s="93">
        <v>45050.041666666664</v>
      </c>
      <c r="CL79">
        <v>8.7233467470343704E-2</v>
      </c>
      <c r="CM79" s="95">
        <v>114.1275401</v>
      </c>
      <c r="CN79" s="4">
        <v>4022</v>
      </c>
      <c r="CO79" s="95">
        <f t="shared" si="104"/>
        <v>67.033333333333331</v>
      </c>
      <c r="CP79" s="94">
        <f t="shared" si="105"/>
        <v>5.8475501027620398</v>
      </c>
      <c r="CQ79" s="96">
        <f t="shared" si="106"/>
        <v>88.194344517051206</v>
      </c>
      <c r="CS79" s="10">
        <v>45051.302083333336</v>
      </c>
      <c r="CT79" s="110">
        <v>8.4281900050852704E-2</v>
      </c>
      <c r="CU79" s="21">
        <v>95.138397370000007</v>
      </c>
      <c r="CV79" s="111">
        <v>4650</v>
      </c>
      <c r="CW79" s="21">
        <f t="shared" si="107"/>
        <v>77.5</v>
      </c>
      <c r="CX79" s="21">
        <f t="shared" si="108"/>
        <v>6.5318472539410841</v>
      </c>
      <c r="CY79" s="21">
        <f t="shared" si="109"/>
        <v>93.105799087843891</v>
      </c>
    </row>
    <row r="80" spans="1:103" x14ac:dyDescent="0.25">
      <c r="A80" s="10">
        <v>44776.802777777775</v>
      </c>
      <c r="B80" s="11">
        <v>5.0058445530102901E-3</v>
      </c>
      <c r="C80" s="12">
        <v>4.4556949205</v>
      </c>
      <c r="D80" s="9">
        <v>2271</v>
      </c>
      <c r="E80" s="13">
        <f t="shared" si="71"/>
        <v>37.85</v>
      </c>
      <c r="F80" s="12">
        <f t="shared" si="61"/>
        <v>0.18947121633143948</v>
      </c>
      <c r="G80" s="13">
        <f t="shared" si="72"/>
        <v>16.446236032101172</v>
      </c>
      <c r="H80" s="11">
        <f t="shared" si="73"/>
        <v>0.31212722703715728</v>
      </c>
      <c r="I80" s="125">
        <f t="shared" si="74"/>
        <v>5.1333180478983191</v>
      </c>
      <c r="J80" s="21">
        <f>IF((F80-$K$96)/($I$96-$K$96)&lt;0, 0, IF((F80-$K$96)/($I$96-$K$96)&gt;1, 1, (F80-$K$96)/($I$96-$K$96)))</f>
        <v>3.8569233079977186E-2</v>
      </c>
      <c r="K80" s="125">
        <f t="shared" si="75"/>
        <v>0.63431871081042923</v>
      </c>
      <c r="M80" s="25">
        <v>44781.802777777775</v>
      </c>
      <c r="N80" s="26">
        <v>6.6550809194387498E-3</v>
      </c>
      <c r="O80" s="27">
        <v>9.5693059164999994</v>
      </c>
      <c r="P80" s="28">
        <v>2654</v>
      </c>
      <c r="Q80" s="29">
        <f t="shared" si="76"/>
        <v>44.233333333333334</v>
      </c>
      <c r="R80" s="26">
        <f t="shared" si="62"/>
        <v>0.29437641266984071</v>
      </c>
      <c r="S80" s="29">
        <f t="shared" si="77"/>
        <v>20.406822924107267</v>
      </c>
      <c r="T80" s="29">
        <f t="shared" si="78"/>
        <v>0.26946730665829305</v>
      </c>
      <c r="U80" s="126">
        <f t="shared" si="79"/>
        <v>5.4989716108118971</v>
      </c>
      <c r="V80" s="128">
        <f>IF((R80-$W$102)/($U$101-$W$102)&lt;0, 0, IF((R80-$W$102)/($U$101-$W$102)&gt;1, 1, (R80-$W$102)/($U$101-$W$102)))</f>
        <v>0.12598430255870083</v>
      </c>
      <c r="W80" s="126">
        <f t="shared" si="80"/>
        <v>2.570939353532562</v>
      </c>
      <c r="Y80" s="35">
        <v>45136.791666666664</v>
      </c>
      <c r="Z80" s="71">
        <v>1.17473840599687E-2</v>
      </c>
      <c r="AA80" s="70">
        <v>1.8086265969999999</v>
      </c>
      <c r="AB80" s="36">
        <v>5964</v>
      </c>
      <c r="AC80" s="37">
        <f t="shared" si="81"/>
        <v>99.4</v>
      </c>
      <c r="AD80" s="37">
        <f t="shared" si="63"/>
        <v>1.1676899755608887</v>
      </c>
      <c r="AE80" s="38">
        <f t="shared" si="82"/>
        <v>40.070420028323532</v>
      </c>
      <c r="AF80" s="38">
        <f t="shared" si="83"/>
        <v>4.3681588003707472E-2</v>
      </c>
      <c r="AG80" s="38">
        <f t="shared" si="84"/>
        <v>1.7503395788127369</v>
      </c>
      <c r="AH80" s="38">
        <f t="shared" si="64"/>
        <v>0.18190501923983016</v>
      </c>
      <c r="AI80" s="38">
        <f t="shared" si="85"/>
        <v>7.2890105262002676</v>
      </c>
      <c r="AK80" s="45">
        <v>45151.802083333336</v>
      </c>
      <c r="AL80" s="4">
        <v>8.3559528913760995E-3</v>
      </c>
      <c r="AM80" s="3">
        <v>1.654461261</v>
      </c>
      <c r="AN80" s="4">
        <v>4505</v>
      </c>
      <c r="AO80" s="46">
        <f t="shared" si="86"/>
        <v>75.083333333333329</v>
      </c>
      <c r="AP80" s="47">
        <f t="shared" si="65"/>
        <v>0.62739279626082212</v>
      </c>
      <c r="AQ80" s="50">
        <f t="shared" si="87"/>
        <v>29.560290618491003</v>
      </c>
      <c r="AR80" s="50">
        <f t="shared" si="88"/>
        <v>0.5707697880729854</v>
      </c>
      <c r="AS80" s="50">
        <f t="shared" si="89"/>
        <v>16.872120811691968</v>
      </c>
      <c r="AT80" s="50">
        <f t="shared" si="66"/>
        <v>0.40122957706638157</v>
      </c>
      <c r="AU80" s="50">
        <f t="shared" si="90"/>
        <v>11.860462902816472</v>
      </c>
      <c r="AW80" s="51">
        <v>45166.802083333336</v>
      </c>
      <c r="AX80" s="72">
        <v>1.7272207017591901E-2</v>
      </c>
      <c r="AY80" s="73">
        <v>0.77321039300000005</v>
      </c>
      <c r="AZ80" s="52">
        <v>6206</v>
      </c>
      <c r="BA80" s="53">
        <f t="shared" si="91"/>
        <v>103.43333333333334</v>
      </c>
      <c r="BB80" s="72">
        <f t="shared" si="67"/>
        <v>1.7865219458529225</v>
      </c>
      <c r="BC80" s="54">
        <f t="shared" si="92"/>
        <v>49.347151014865034</v>
      </c>
      <c r="BD80" s="54">
        <f t="shared" si="93"/>
        <v>0.2109737863568085</v>
      </c>
      <c r="BE80" s="54">
        <f t="shared" si="94"/>
        <v>10.410955295527302</v>
      </c>
      <c r="BF80" s="54">
        <f t="shared" si="68"/>
        <v>0.18206560210833475</v>
      </c>
      <c r="BG80" s="54">
        <f t="shared" si="95"/>
        <v>8.984418761852325</v>
      </c>
      <c r="BI80" s="66">
        <v>45183.802083333336</v>
      </c>
      <c r="BJ80" s="67">
        <v>4.82634327580964E-2</v>
      </c>
      <c r="BK80" s="68">
        <v>2.247064306</v>
      </c>
      <c r="BL80" s="68">
        <v>7436</v>
      </c>
      <c r="BM80" s="68">
        <f t="shared" si="96"/>
        <v>123.93333333333334</v>
      </c>
      <c r="BN80" s="68">
        <f t="shared" si="69"/>
        <v>5.9814480998200805</v>
      </c>
      <c r="BO80" s="69">
        <f t="shared" si="97"/>
        <v>89.177574662300941</v>
      </c>
      <c r="BP80" s="69">
        <f t="shared" si="98"/>
        <v>1</v>
      </c>
      <c r="BQ80" s="69">
        <f t="shared" si="99"/>
        <v>89.177574662300941</v>
      </c>
      <c r="BR80" s="69">
        <f t="shared" si="70"/>
        <v>0.49835963724689553</v>
      </c>
      <c r="BS80" s="69">
        <f t="shared" si="100"/>
        <v>44.442503759262237</v>
      </c>
      <c r="BU80" s="82">
        <v>45047.135416666664</v>
      </c>
      <c r="BV80" s="112">
        <v>4.0692033000000002E-2</v>
      </c>
      <c r="BW80" s="83">
        <v>82.276892649999994</v>
      </c>
      <c r="BX80" s="112">
        <v>6630</v>
      </c>
      <c r="BY80" s="83">
        <f t="shared" si="58"/>
        <v>110.5</v>
      </c>
      <c r="BZ80" s="84">
        <f t="shared" si="59"/>
        <v>4.4964696465000005</v>
      </c>
      <c r="CA80" s="83">
        <f t="shared" si="60"/>
        <v>77.54697255344071</v>
      </c>
      <c r="CC80" s="87">
        <v>45048.052083333336</v>
      </c>
      <c r="CD80" s="109">
        <v>5.7873699175764501E-2</v>
      </c>
      <c r="CE80" s="88">
        <v>93.038532979999999</v>
      </c>
      <c r="CF80" s="89">
        <v>5020</v>
      </c>
      <c r="CG80" s="90">
        <f t="shared" si="101"/>
        <v>83.666666666666671</v>
      </c>
      <c r="CH80" s="91">
        <f t="shared" si="102"/>
        <v>4.8420994977056298</v>
      </c>
      <c r="CI80" s="91">
        <f t="shared" si="103"/>
        <v>80.410840220652446</v>
      </c>
      <c r="CK80" s="93">
        <v>45050.052083333336</v>
      </c>
      <c r="CL80">
        <v>8.6075938352230097E-2</v>
      </c>
      <c r="CM80" s="95">
        <v>126.9470365</v>
      </c>
      <c r="CN80" s="4">
        <v>4083</v>
      </c>
      <c r="CO80" s="95">
        <f t="shared" si="104"/>
        <v>68.05</v>
      </c>
      <c r="CP80" s="94">
        <f t="shared" si="105"/>
        <v>5.8574676048692575</v>
      </c>
      <c r="CQ80" s="96">
        <f t="shared" si="106"/>
        <v>88.267561423481752</v>
      </c>
      <c r="CS80" s="10">
        <v>45051.3125</v>
      </c>
      <c r="CT80" s="110">
        <v>8.8075454714511295E-2</v>
      </c>
      <c r="CU80" s="21">
        <v>99.304680700000006</v>
      </c>
      <c r="CV80" s="111">
        <v>4613</v>
      </c>
      <c r="CW80" s="21">
        <f t="shared" si="107"/>
        <v>76.88333333333334</v>
      </c>
      <c r="CX80" s="21">
        <f t="shared" si="108"/>
        <v>6.7715345433006773</v>
      </c>
      <c r="CY80" s="21">
        <f t="shared" si="109"/>
        <v>94.763493912601461</v>
      </c>
    </row>
    <row r="81" spans="1:103" x14ac:dyDescent="0.25">
      <c r="A81" s="10">
        <v>44776.813194444447</v>
      </c>
      <c r="B81" s="11">
        <v>5.6579143068844996E-3</v>
      </c>
      <c r="C81" s="12">
        <v>3.5644504299999999</v>
      </c>
      <c r="D81" s="9">
        <v>1829</v>
      </c>
      <c r="E81" s="13">
        <f t="shared" si="71"/>
        <v>30.483333333333334</v>
      </c>
      <c r="F81" s="12">
        <f t="shared" si="61"/>
        <v>0.17247208778819584</v>
      </c>
      <c r="G81" s="13">
        <f t="shared" si="72"/>
        <v>15.7063329331754</v>
      </c>
      <c r="H81" s="11">
        <f t="shared" si="73"/>
        <v>0.23757467963590032</v>
      </c>
      <c r="I81" s="125">
        <f t="shared" si="74"/>
        <v>3.7314270148539359</v>
      </c>
      <c r="J81" s="21">
        <f>IF((F81-$K$96)/($I$96-$K$96)&lt;0, 0, IF((F81-$K$96)/($I$96-$K$96)&gt;1, 1, (F81-$K$96)/($I$96-$K$96)))</f>
        <v>3.5043740020419448E-2</v>
      </c>
      <c r="K81" s="125">
        <f t="shared" si="75"/>
        <v>0.55040864798435074</v>
      </c>
      <c r="M81" s="25">
        <v>44781.813194444447</v>
      </c>
      <c r="N81" s="26">
        <v>6.0417883005502498E-3</v>
      </c>
      <c r="O81" s="27">
        <v>10.085595189999999</v>
      </c>
      <c r="P81" s="28">
        <v>2763</v>
      </c>
      <c r="Q81" s="29">
        <f t="shared" si="76"/>
        <v>46.05</v>
      </c>
      <c r="R81" s="26">
        <f t="shared" si="62"/>
        <v>0.27822435124033901</v>
      </c>
      <c r="S81" s="29">
        <f t="shared" si="77"/>
        <v>19.850611599526427</v>
      </c>
      <c r="T81" s="29">
        <f t="shared" si="78"/>
        <v>0.28627642180949059</v>
      </c>
      <c r="U81" s="126">
        <f t="shared" si="79"/>
        <v>5.6827620594423944</v>
      </c>
      <c r="V81" s="128">
        <f>IF((R81-$W$102)/($U$101-$W$102)&lt;0, 0, IF((R81-$W$102)/($U$101-$W$102)&gt;1, 1, (R81-$W$102)/($U$101-$W$102)))</f>
        <v>0.117796770145871</v>
      </c>
      <c r="W81" s="126">
        <f t="shared" si="80"/>
        <v>2.3383379318443756</v>
      </c>
      <c r="Y81" s="35">
        <v>45136.802083333336</v>
      </c>
      <c r="Z81" s="71">
        <v>1.13363662085962E-2</v>
      </c>
      <c r="AA81" s="70">
        <v>2.3436582540000002</v>
      </c>
      <c r="AB81" s="36">
        <v>6969</v>
      </c>
      <c r="AC81" s="37">
        <f t="shared" si="81"/>
        <v>116.15</v>
      </c>
      <c r="AD81" s="37">
        <f t="shared" si="63"/>
        <v>1.3167189351284487</v>
      </c>
      <c r="AE81" s="38">
        <f t="shared" si="82"/>
        <v>42.498084377982146</v>
      </c>
      <c r="AF81" s="38">
        <f t="shared" si="83"/>
        <v>7.1606222489618676E-2</v>
      </c>
      <c r="AG81" s="38">
        <f t="shared" si="84"/>
        <v>3.0431272853523774</v>
      </c>
      <c r="AH81" s="38">
        <f t="shared" si="64"/>
        <v>0.22141853573238882</v>
      </c>
      <c r="AI81" s="38">
        <f t="shared" si="85"/>
        <v>9.4098636144043137</v>
      </c>
      <c r="AK81" s="45">
        <v>45151.8125</v>
      </c>
      <c r="AL81" s="4">
        <v>7.5321054120801798E-3</v>
      </c>
      <c r="AM81" s="3">
        <v>1.5125919880000001</v>
      </c>
      <c r="AN81" s="4">
        <v>3543</v>
      </c>
      <c r="AO81" s="46">
        <f t="shared" si="86"/>
        <v>59.05</v>
      </c>
      <c r="AP81" s="47">
        <f t="shared" si="65"/>
        <v>0.44477082458333461</v>
      </c>
      <c r="AQ81" s="50">
        <f t="shared" si="87"/>
        <v>24.977325558323379</v>
      </c>
      <c r="AR81" s="50">
        <f t="shared" si="88"/>
        <v>0.49359906470413173</v>
      </c>
      <c r="AS81" s="50">
        <f t="shared" si="89"/>
        <v>12.328784534399025</v>
      </c>
      <c r="AT81" s="50">
        <f t="shared" si="66"/>
        <v>0.2566001951298138</v>
      </c>
      <c r="AU81" s="50">
        <f t="shared" si="90"/>
        <v>6.409186612086665</v>
      </c>
      <c r="AW81" s="51">
        <v>45166.8125</v>
      </c>
      <c r="AX81" s="72">
        <v>1.33532273054027E-2</v>
      </c>
      <c r="AY81" s="73">
        <v>0.66228851600000005</v>
      </c>
      <c r="AZ81" s="52">
        <v>5906</v>
      </c>
      <c r="BA81" s="53">
        <f t="shared" si="91"/>
        <v>98.433333333333337</v>
      </c>
      <c r="BB81" s="72">
        <f t="shared" si="67"/>
        <v>1.3144026744284725</v>
      </c>
      <c r="BC81" s="54">
        <f t="shared" si="92"/>
        <v>42.461458430102837</v>
      </c>
      <c r="BD81" s="54">
        <f t="shared" si="93"/>
        <v>0.15159187079004782</v>
      </c>
      <c r="BE81" s="54">
        <f t="shared" si="94"/>
        <v>6.4368119198931364</v>
      </c>
      <c r="BF81" s="54">
        <f t="shared" si="68"/>
        <v>0.10662680516844204</v>
      </c>
      <c r="BG81" s="54">
        <f t="shared" si="95"/>
        <v>4.5275296551944759</v>
      </c>
      <c r="BI81" s="66">
        <v>45183.8125</v>
      </c>
      <c r="BJ81" s="67">
        <v>4.9740763165656399E-2</v>
      </c>
      <c r="BK81" s="68">
        <v>2.0619739560000001</v>
      </c>
      <c r="BL81" s="68">
        <v>7287</v>
      </c>
      <c r="BM81" s="68">
        <f t="shared" si="96"/>
        <v>121.45</v>
      </c>
      <c r="BN81" s="68">
        <f t="shared" si="69"/>
        <v>6.0410156864689695</v>
      </c>
      <c r="BO81" s="69">
        <f t="shared" si="97"/>
        <v>89.611375120707919</v>
      </c>
      <c r="BP81" s="69">
        <f t="shared" si="98"/>
        <v>1</v>
      </c>
      <c r="BQ81" s="69">
        <f t="shared" si="99"/>
        <v>89.611375120707919</v>
      </c>
      <c r="BR81" s="69">
        <f t="shared" si="70"/>
        <v>0.50345833085588365</v>
      </c>
      <c r="BS81" s="69">
        <f t="shared" si="100"/>
        <v>45.115593343972066</v>
      </c>
      <c r="BU81" s="82">
        <v>45047.145833333336</v>
      </c>
      <c r="BV81" s="112">
        <v>3.9621524999999998E-2</v>
      </c>
      <c r="BW81" s="83">
        <v>82.284398269999997</v>
      </c>
      <c r="BX81" s="112">
        <v>6671</v>
      </c>
      <c r="BY81" s="83">
        <f t="shared" si="58"/>
        <v>111.18333333333334</v>
      </c>
      <c r="BZ81" s="84">
        <f t="shared" si="59"/>
        <v>4.4052532212499997</v>
      </c>
      <c r="CA81" s="83">
        <f t="shared" si="60"/>
        <v>76.772579244228879</v>
      </c>
      <c r="CC81" s="87">
        <v>45048.0625</v>
      </c>
      <c r="CD81" s="109">
        <v>5.4790281865836898E-2</v>
      </c>
      <c r="CE81" s="88">
        <v>87.058386479999996</v>
      </c>
      <c r="CF81" s="89">
        <v>4904</v>
      </c>
      <c r="CG81" s="90">
        <f t="shared" si="101"/>
        <v>81.733333333333334</v>
      </c>
      <c r="CH81" s="91">
        <f t="shared" si="102"/>
        <v>4.4781923711677356</v>
      </c>
      <c r="CI81" s="91">
        <f t="shared" si="103"/>
        <v>77.392452143555744</v>
      </c>
      <c r="CK81" s="93">
        <v>45050.0625</v>
      </c>
      <c r="CL81">
        <v>9.8886869462483998E-2</v>
      </c>
      <c r="CM81" s="95">
        <v>109.0251016</v>
      </c>
      <c r="CN81" s="4">
        <v>4167</v>
      </c>
      <c r="CO81" s="95">
        <f t="shared" si="104"/>
        <v>69.45</v>
      </c>
      <c r="CP81" s="94">
        <f t="shared" si="105"/>
        <v>6.8676930841695141</v>
      </c>
      <c r="CQ81" s="96">
        <f t="shared" si="106"/>
        <v>95.420102740724602</v>
      </c>
      <c r="CS81" s="10">
        <v>45051.322916666664</v>
      </c>
      <c r="CT81" s="110">
        <v>8.6926776574837106E-2</v>
      </c>
      <c r="CU81" s="21">
        <v>95.138397370000007</v>
      </c>
      <c r="CV81" s="111">
        <v>4527</v>
      </c>
      <c r="CW81" s="21">
        <f t="shared" si="107"/>
        <v>75.45</v>
      </c>
      <c r="CX81" s="21">
        <f t="shared" si="108"/>
        <v>6.5586252925714597</v>
      </c>
      <c r="CY81" s="21">
        <f t="shared" si="109"/>
        <v>93.292521306352398</v>
      </c>
    </row>
    <row r="82" spans="1:103" x14ac:dyDescent="0.25">
      <c r="A82" s="10">
        <v>44776.823611111111</v>
      </c>
      <c r="B82" s="11">
        <v>5.4040963983280899E-3</v>
      </c>
      <c r="C82" s="12">
        <v>3.44414985149999</v>
      </c>
      <c r="D82" s="9">
        <v>2115</v>
      </c>
      <c r="E82" s="13">
        <f t="shared" si="71"/>
        <v>35.25</v>
      </c>
      <c r="F82" s="12">
        <f t="shared" si="61"/>
        <v>0.19049439804106516</v>
      </c>
      <c r="G82" s="13">
        <f t="shared" si="72"/>
        <v>16.489667945408691</v>
      </c>
      <c r="H82" s="11">
        <f t="shared" si="73"/>
        <v>0.22751154356423825</v>
      </c>
      <c r="I82" s="125">
        <f t="shared" si="74"/>
        <v>3.7515898071216722</v>
      </c>
      <c r="J82" s="21">
        <f>IF((F82-$K$96)/($I$96-$K$96)&lt;0, 0, IF((F82-$K$96)/($I$96-$K$96)&gt;1, 1, (F82-$K$96)/($I$96-$K$96)))</f>
        <v>3.8781433370525926E-2</v>
      </c>
      <c r="K82" s="125">
        <f t="shared" si="75"/>
        <v>0.63949295872696432</v>
      </c>
      <c r="M82" s="25">
        <v>44781.823611111111</v>
      </c>
      <c r="N82" s="26">
        <v>5.7973423146927003E-3</v>
      </c>
      <c r="O82" s="27">
        <v>8.104838397</v>
      </c>
      <c r="P82" s="28">
        <v>2352</v>
      </c>
      <c r="Q82" s="29">
        <f t="shared" si="76"/>
        <v>39.200000000000003</v>
      </c>
      <c r="R82" s="26">
        <f t="shared" si="62"/>
        <v>0.22725581873595388</v>
      </c>
      <c r="S82" s="29">
        <f t="shared" si="77"/>
        <v>17.977901391426752</v>
      </c>
      <c r="T82" s="29">
        <f t="shared" si="78"/>
        <v>0.22178782843945269</v>
      </c>
      <c r="U82" s="126">
        <f t="shared" si="79"/>
        <v>3.987279709503154</v>
      </c>
      <c r="V82" s="128">
        <f>IF((R82-$W$102)/($U$101-$W$102)&lt;0, 0, IF((R82-$W$102)/($U$101-$W$102)&gt;1, 1, (R82-$W$102)/($U$101-$W$102)))</f>
        <v>9.1960655434728686E-2</v>
      </c>
      <c r="W82" s="126">
        <f t="shared" si="80"/>
        <v>1.653259595296525</v>
      </c>
      <c r="Y82" s="35">
        <v>45136.8125</v>
      </c>
      <c r="Z82" s="71">
        <v>9.1992902367462603E-3</v>
      </c>
      <c r="AA82" s="70">
        <v>1.654461261</v>
      </c>
      <c r="AB82" s="36">
        <v>5425</v>
      </c>
      <c r="AC82" s="37">
        <f t="shared" si="81"/>
        <v>90.416666666666671</v>
      </c>
      <c r="AD82" s="37">
        <f t="shared" si="63"/>
        <v>0.83176915890580772</v>
      </c>
      <c r="AE82" s="38">
        <f t="shared" si="82"/>
        <v>33.937431496062899</v>
      </c>
      <c r="AF82" s="38">
        <f t="shared" si="83"/>
        <v>3.5635315223632176E-2</v>
      </c>
      <c r="AG82" s="38">
        <f t="shared" si="84"/>
        <v>1.2093710692426243</v>
      </c>
      <c r="AH82" s="38">
        <f t="shared" si="64"/>
        <v>9.2839023156853981E-2</v>
      </c>
      <c r="AI82" s="38">
        <f t="shared" si="85"/>
        <v>3.1507179885471293</v>
      </c>
      <c r="AK82" s="45">
        <v>45151.822916666664</v>
      </c>
      <c r="AL82" s="4">
        <v>5.5902406805217004E-3</v>
      </c>
      <c r="AM82" s="3">
        <v>1.318149035</v>
      </c>
      <c r="AN82" s="4">
        <v>2301</v>
      </c>
      <c r="AO82" s="46">
        <f t="shared" si="86"/>
        <v>38.35</v>
      </c>
      <c r="AP82" s="47">
        <f t="shared" si="65"/>
        <v>0.21438573009800721</v>
      </c>
      <c r="AQ82" s="50">
        <f t="shared" si="87"/>
        <v>17.471903101861329</v>
      </c>
      <c r="AR82" s="50">
        <f t="shared" si="88"/>
        <v>0.3878305426014913</v>
      </c>
      <c r="AS82" s="50">
        <f t="shared" si="89"/>
        <v>6.7761376602755581</v>
      </c>
      <c r="AT82" s="50">
        <f t="shared" si="66"/>
        <v>7.4144308158803712E-2</v>
      </c>
      <c r="AU82" s="50">
        <f t="shared" si="90"/>
        <v>1.2954421677051648</v>
      </c>
      <c r="AW82" s="51">
        <v>45166.822916666664</v>
      </c>
      <c r="AX82" s="72">
        <v>1.0116332544427E-2</v>
      </c>
      <c r="AY82" s="73">
        <v>0.50323377899999999</v>
      </c>
      <c r="AZ82" s="52">
        <v>4031</v>
      </c>
      <c r="BA82" s="53">
        <f t="shared" si="91"/>
        <v>67.183333333333337</v>
      </c>
      <c r="BB82" s="72">
        <f t="shared" si="67"/>
        <v>0.67964894144308741</v>
      </c>
      <c r="BC82" s="54">
        <f t="shared" si="92"/>
        <v>30.74138169190935</v>
      </c>
      <c r="BD82" s="54">
        <f t="shared" si="93"/>
        <v>6.6442076912800976E-2</v>
      </c>
      <c r="BE82" s="54">
        <f t="shared" si="94"/>
        <v>2.042521246779613</v>
      </c>
      <c r="BF82" s="54">
        <f t="shared" si="68"/>
        <v>5.2010408164650376E-3</v>
      </c>
      <c r="BG82" s="54">
        <f t="shared" si="95"/>
        <v>0.15988718093415155</v>
      </c>
      <c r="BI82" s="66">
        <v>45183.822916666664</v>
      </c>
      <c r="BJ82" s="67">
        <v>5.6885865818409702E-2</v>
      </c>
      <c r="BK82" s="68">
        <v>1.8086265969999999</v>
      </c>
      <c r="BL82" s="68">
        <v>7667</v>
      </c>
      <c r="BM82" s="68">
        <f t="shared" si="96"/>
        <v>127.78333333333333</v>
      </c>
      <c r="BN82" s="68">
        <f t="shared" si="69"/>
        <v>7.2690655538291198</v>
      </c>
      <c r="BO82" s="69">
        <f t="shared" si="97"/>
        <v>98.111441353476664</v>
      </c>
      <c r="BP82" s="69">
        <f t="shared" si="98"/>
        <v>1</v>
      </c>
      <c r="BQ82" s="69">
        <f t="shared" si="99"/>
        <v>98.111441353476664</v>
      </c>
      <c r="BR82" s="69">
        <f t="shared" si="70"/>
        <v>0.60857338356290258</v>
      </c>
      <c r="BS82" s="69">
        <f t="shared" si="100"/>
        <v>59.708011830718576</v>
      </c>
      <c r="BU82" s="82">
        <v>45047.15625</v>
      </c>
      <c r="BV82" s="112">
        <v>4.0571773999999998E-2</v>
      </c>
      <c r="BW82" s="83">
        <v>82.284398269999997</v>
      </c>
      <c r="BX82" s="112">
        <v>6775</v>
      </c>
      <c r="BY82" s="83">
        <f t="shared" si="58"/>
        <v>112.91666666666667</v>
      </c>
      <c r="BZ82" s="84">
        <f t="shared" si="59"/>
        <v>4.5812294808333336</v>
      </c>
      <c r="CA82" s="83">
        <f t="shared" si="60"/>
        <v>78.259397672469291</v>
      </c>
      <c r="CC82" s="87">
        <v>45048.072916666664</v>
      </c>
      <c r="CD82" s="109">
        <v>5.3377987991374401E-2</v>
      </c>
      <c r="CE82" s="88">
        <v>89.635700749999998</v>
      </c>
      <c r="CF82" s="89">
        <v>4984</v>
      </c>
      <c r="CG82" s="90">
        <f t="shared" si="101"/>
        <v>83.066666666666663</v>
      </c>
      <c r="CH82" s="91">
        <f t="shared" si="102"/>
        <v>4.433931535816833</v>
      </c>
      <c r="CI82" s="91">
        <f t="shared" si="103"/>
        <v>77.01692194125107</v>
      </c>
      <c r="CK82" s="93">
        <v>45050.072916666664</v>
      </c>
      <c r="CL82">
        <v>0.102537833504317</v>
      </c>
      <c r="CM82" s="95">
        <v>121.00878899999999</v>
      </c>
      <c r="CN82" s="4">
        <v>4145</v>
      </c>
      <c r="CO82" s="95">
        <f t="shared" si="104"/>
        <v>69.083333333333329</v>
      </c>
      <c r="CP82" s="94">
        <f t="shared" si="105"/>
        <v>7.0836553312565655</v>
      </c>
      <c r="CQ82" s="96">
        <f t="shared" si="106"/>
        <v>96.877885704632021</v>
      </c>
      <c r="CS82" s="10">
        <v>45051.333333333336</v>
      </c>
      <c r="CT82" s="110">
        <v>9.6354392297426802E-2</v>
      </c>
      <c r="CU82" s="21">
        <v>100.5402337</v>
      </c>
      <c r="CV82" s="111">
        <v>4539</v>
      </c>
      <c r="CW82" s="21">
        <f t="shared" si="107"/>
        <v>75.650000000000006</v>
      </c>
      <c r="CX82" s="21">
        <f t="shared" si="108"/>
        <v>7.2892097773003384</v>
      </c>
      <c r="CY82" s="21">
        <f t="shared" si="109"/>
        <v>98.244491373540129</v>
      </c>
    </row>
    <row r="83" spans="1:103" x14ac:dyDescent="0.25">
      <c r="A83" s="10">
        <v>44776.834027777775</v>
      </c>
      <c r="B83" s="11">
        <v>5.9553863651619597E-3</v>
      </c>
      <c r="C83" s="12">
        <v>3.4561308749999999</v>
      </c>
      <c r="D83" s="9">
        <v>2596</v>
      </c>
      <c r="E83" s="13">
        <f t="shared" si="71"/>
        <v>43.266666666666666</v>
      </c>
      <c r="F83" s="12">
        <f t="shared" si="61"/>
        <v>0.25766971673267414</v>
      </c>
      <c r="G83" s="13">
        <f t="shared" si="72"/>
        <v>19.118390583830159</v>
      </c>
      <c r="H83" s="11">
        <f t="shared" si="73"/>
        <v>0.22851375545101127</v>
      </c>
      <c r="I83" s="125">
        <f t="shared" si="74"/>
        <v>4.3688152304902816</v>
      </c>
      <c r="J83" s="21">
        <f>IF((F83-$K$96)/($I$96-$K$96)&lt;0, 0, IF((F83-$K$96)/($I$96-$K$96)&gt;1, 1, (F83-$K$96)/($I$96-$K$96)))</f>
        <v>5.2713095762417991E-2</v>
      </c>
      <c r="K83" s="125">
        <f t="shared" si="75"/>
        <v>1.0077895536687496</v>
      </c>
      <c r="M83" s="25">
        <v>44781.834027777775</v>
      </c>
      <c r="N83" s="26">
        <v>5.4148357472824198E-3</v>
      </c>
      <c r="O83" s="27">
        <v>7.0321962280000001</v>
      </c>
      <c r="P83" s="28">
        <v>2267</v>
      </c>
      <c r="Q83" s="29">
        <f t="shared" si="76"/>
        <v>37.783333333333331</v>
      </c>
      <c r="R83" s="26">
        <f t="shared" si="62"/>
        <v>0.20459054398482074</v>
      </c>
      <c r="S83" s="29">
        <f t="shared" si="77"/>
        <v>17.07631863833031</v>
      </c>
      <c r="T83" s="29">
        <f t="shared" si="78"/>
        <v>0.18686522465858735</v>
      </c>
      <c r="U83" s="126">
        <f t="shared" si="79"/>
        <v>3.1909701186932158</v>
      </c>
      <c r="V83" s="128">
        <f>IF((R83-$W$102)/($U$101-$W$102)&lt;0, 0, IF((R83-$W$102)/($U$101-$W$102)&gt;1, 1, (R83-$W$102)/($U$101-$W$102)))</f>
        <v>8.0471554029279121E-2</v>
      </c>
      <c r="W83" s="126">
        <f t="shared" si="80"/>
        <v>1.3741578979255835</v>
      </c>
      <c r="Y83" s="35">
        <v>45136.822916666664</v>
      </c>
      <c r="Z83" s="71">
        <v>1.0531632315758E-2</v>
      </c>
      <c r="AA83" s="70">
        <v>1.8086265969999999</v>
      </c>
      <c r="AB83" s="36">
        <v>5608</v>
      </c>
      <c r="AC83" s="37">
        <f t="shared" si="81"/>
        <v>93.466666666666669</v>
      </c>
      <c r="AD83" s="37">
        <f t="shared" si="63"/>
        <v>0.9843565671128478</v>
      </c>
      <c r="AE83" s="38">
        <f t="shared" si="82"/>
        <v>36.855333381216369</v>
      </c>
      <c r="AF83" s="38">
        <f t="shared" si="83"/>
        <v>4.3681588003707472E-2</v>
      </c>
      <c r="AG83" s="38">
        <f t="shared" si="84"/>
        <v>1.6098994884975806</v>
      </c>
      <c r="AH83" s="38">
        <f>IF((AD83-$AI$102)/($AG$102-$AI$102)&lt;0, 0, IF((AD83-$AI$102)/($AG$102-$AI$102)&gt;1, 1, (AD83-$AI$102)/($AG$102-$AI$102)))</f>
        <v>0.13329602620002681</v>
      </c>
      <c r="AI83" s="38">
        <f t="shared" si="85"/>
        <v>4.9126694839933398</v>
      </c>
      <c r="AK83" s="45">
        <v>45151.833333333336</v>
      </c>
      <c r="AL83" s="4">
        <v>6.80299154928666E-3</v>
      </c>
      <c r="AM83" s="3">
        <v>1.9748874890000001</v>
      </c>
      <c r="AN83" s="4">
        <v>3385</v>
      </c>
      <c r="AO83" s="46">
        <f t="shared" si="86"/>
        <v>56.416666666666664</v>
      </c>
      <c r="AP83" s="47">
        <f t="shared" si="65"/>
        <v>0.38380210657225572</v>
      </c>
      <c r="AQ83" s="50">
        <f t="shared" si="87"/>
        <v>23.237583535286383</v>
      </c>
      <c r="AR83" s="50">
        <f t="shared" si="88"/>
        <v>0.74506774053456781</v>
      </c>
      <c r="AS83" s="50">
        <f t="shared" si="89"/>
        <v>17.313573860119099</v>
      </c>
      <c r="AT83" s="50">
        <f t="shared" si="66"/>
        <v>0.20831538075391992</v>
      </c>
      <c r="AU83" s="50">
        <f t="shared" si="90"/>
        <v>4.8407460619542038</v>
      </c>
      <c r="AW83" s="51">
        <v>45166.833333333336</v>
      </c>
      <c r="AX83" s="72">
        <v>1.7752390811548498E-2</v>
      </c>
      <c r="AY83" s="73">
        <v>0.77321039300000005</v>
      </c>
      <c r="AZ83" s="52">
        <v>6125</v>
      </c>
      <c r="BA83" s="53">
        <f t="shared" si="91"/>
        <v>102.08333333333333</v>
      </c>
      <c r="BB83" s="72">
        <f t="shared" si="67"/>
        <v>1.8122232286789091</v>
      </c>
      <c r="BC83" s="54">
        <f t="shared" si="92"/>
        <v>49.693531204440781</v>
      </c>
      <c r="BD83" s="54">
        <f t="shared" si="93"/>
        <v>0.2109737863568085</v>
      </c>
      <c r="BE83" s="54">
        <f t="shared" si="94"/>
        <v>10.484032435641085</v>
      </c>
      <c r="BF83" s="54">
        <f t="shared" si="68"/>
        <v>0.18617234795320248</v>
      </c>
      <c r="BG83" s="54">
        <f t="shared" si="95"/>
        <v>9.2515613824164742</v>
      </c>
      <c r="BI83" s="66">
        <v>45183.833333333336</v>
      </c>
      <c r="BJ83" s="67">
        <v>5.03737773942897E-2</v>
      </c>
      <c r="BK83" s="68">
        <v>2.0619739560000001</v>
      </c>
      <c r="BL83" s="68">
        <v>7823</v>
      </c>
      <c r="BM83" s="68">
        <f t="shared" si="96"/>
        <v>130.38333333333333</v>
      </c>
      <c r="BN83" s="68">
        <f t="shared" si="69"/>
        <v>6.5679010092588053</v>
      </c>
      <c r="BO83" s="69">
        <f t="shared" si="97"/>
        <v>93.357109770421886</v>
      </c>
      <c r="BP83" s="69">
        <f t="shared" si="98"/>
        <v>1</v>
      </c>
      <c r="BQ83" s="69">
        <f t="shared" si="99"/>
        <v>93.357109770421886</v>
      </c>
      <c r="BR83" s="69">
        <f t="shared" si="70"/>
        <v>0.54855713339446643</v>
      </c>
      <c r="BS83" s="69">
        <f t="shared" si="100"/>
        <v>51.211708517655161</v>
      </c>
      <c r="BU83" s="82">
        <v>45047.166666666664</v>
      </c>
      <c r="BV83" s="112">
        <v>3.9286384000000001E-2</v>
      </c>
      <c r="BW83" s="83">
        <v>80.086877509999994</v>
      </c>
      <c r="BX83" s="112">
        <v>6856</v>
      </c>
      <c r="BY83" s="83">
        <f t="shared" si="58"/>
        <v>114.26666666666667</v>
      </c>
      <c r="BZ83" s="84">
        <f t="shared" si="59"/>
        <v>4.4891241450666666</v>
      </c>
      <c r="CA83" s="83">
        <f t="shared" si="60"/>
        <v>77.484910539306355</v>
      </c>
      <c r="CC83" s="87">
        <v>45048.083333333336</v>
      </c>
      <c r="CD83" s="109">
        <v>5.5798201654552702E-2</v>
      </c>
      <c r="CE83" s="88">
        <v>84.891986889999998</v>
      </c>
      <c r="CF83" s="89">
        <v>4900</v>
      </c>
      <c r="CG83" s="90">
        <f t="shared" si="101"/>
        <v>81.666666666666671</v>
      </c>
      <c r="CH83" s="91">
        <f t="shared" si="102"/>
        <v>4.5568531351218047</v>
      </c>
      <c r="CI83" s="91">
        <f t="shared" si="103"/>
        <v>78.055203213157398</v>
      </c>
      <c r="CK83" s="93">
        <v>45050.083333333336</v>
      </c>
      <c r="CL83">
        <v>9.3455972666450796E-2</v>
      </c>
      <c r="CM83" s="95">
        <v>121.00878899999999</v>
      </c>
      <c r="CN83" s="4">
        <v>4296</v>
      </c>
      <c r="CO83" s="95">
        <f t="shared" si="104"/>
        <v>71.599999999999994</v>
      </c>
      <c r="CP83" s="94">
        <f t="shared" si="105"/>
        <v>6.6914476429178764</v>
      </c>
      <c r="CQ83" s="96">
        <f t="shared" si="106"/>
        <v>94.212988019585723</v>
      </c>
      <c r="CS83" s="10">
        <v>45051.34375</v>
      </c>
      <c r="CT83" s="110">
        <v>0.103496022150146</v>
      </c>
      <c r="CU83" s="21">
        <v>107.0292163</v>
      </c>
      <c r="CV83" s="111">
        <v>4425</v>
      </c>
      <c r="CW83" s="21">
        <f t="shared" si="107"/>
        <v>73.75</v>
      </c>
      <c r="CX83" s="21">
        <f t="shared" si="108"/>
        <v>7.6328316335732671</v>
      </c>
      <c r="CY83" s="21">
        <f t="shared" si="109"/>
        <v>100.48581784079515</v>
      </c>
    </row>
    <row r="84" spans="1:103" x14ac:dyDescent="0.25">
      <c r="A84" s="10">
        <v>44776.844444444447</v>
      </c>
      <c r="B84" s="11">
        <v>5.9124241501536303E-3</v>
      </c>
      <c r="C84" s="12">
        <v>3.188326338</v>
      </c>
      <c r="D84" s="9">
        <v>2773</v>
      </c>
      <c r="E84" s="13">
        <f t="shared" si="71"/>
        <v>46.216666666666669</v>
      </c>
      <c r="F84" s="12">
        <f t="shared" si="61"/>
        <v>0.27325253613960027</v>
      </c>
      <c r="G84" s="13">
        <f t="shared" si="72"/>
        <v>19.676102765150922</v>
      </c>
      <c r="H84" s="11">
        <f t="shared" si="73"/>
        <v>0.20611192222591804</v>
      </c>
      <c r="I84" s="125">
        <f t="shared" si="74"/>
        <v>4.0554793628399581</v>
      </c>
      <c r="J84" s="21">
        <f>IF((F84-$K$96)/($I$96-$K$96)&lt;0, 0, IF((F84-$K$96)/($I$96-$K$96)&gt;1, 1, (F84-$K$96)/($I$96-$K$96)))</f>
        <v>5.5944856821680912E-2</v>
      </c>
      <c r="K84" s="125">
        <f t="shared" si="75"/>
        <v>1.1007767520050482</v>
      </c>
      <c r="M84" s="25">
        <v>44781.844444444447</v>
      </c>
      <c r="N84" s="26">
        <v>4.8947742542487099E-3</v>
      </c>
      <c r="O84" s="27">
        <v>7.4050236140000001</v>
      </c>
      <c r="P84" s="28">
        <v>2134</v>
      </c>
      <c r="Q84" s="29">
        <f t="shared" si="76"/>
        <v>35.56666666666667</v>
      </c>
      <c r="R84" s="26">
        <f t="shared" si="62"/>
        <v>0.17409080430944579</v>
      </c>
      <c r="S84" s="29">
        <f t="shared" si="77"/>
        <v>15.778347530235623</v>
      </c>
      <c r="T84" s="29">
        <f t="shared" si="78"/>
        <v>0.19900357186907611</v>
      </c>
      <c r="U84" s="126">
        <f t="shared" si="79"/>
        <v>3.1399475167085042</v>
      </c>
      <c r="V84" s="128">
        <f>IF((R84-$W$102)/($U$101-$W$102)&lt;0, 0, IF((R84-$W$102)/($U$101-$W$102)&gt;1, 1, (R84-$W$102)/($U$101-$W$102)))</f>
        <v>6.5011136901413608E-2</v>
      </c>
      <c r="W84" s="126">
        <f t="shared" si="80"/>
        <v>1.0257683113662293</v>
      </c>
      <c r="Y84" s="35">
        <v>45136.833333333336</v>
      </c>
      <c r="Z84" s="71">
        <v>1.14061553202879E-2</v>
      </c>
      <c r="AA84" s="70">
        <v>1.8086265969999999</v>
      </c>
      <c r="AB84" s="36">
        <v>5533</v>
      </c>
      <c r="AC84" s="37">
        <f t="shared" si="81"/>
        <v>92.216666666666669</v>
      </c>
      <c r="AD84" s="37">
        <f t="shared" si="63"/>
        <v>1.0518376231192159</v>
      </c>
      <c r="AE84" s="38">
        <f t="shared" si="82"/>
        <v>38.071665105915713</v>
      </c>
      <c r="AF84" s="38">
        <f t="shared" si="83"/>
        <v>4.3681588003707472E-2</v>
      </c>
      <c r="AG84" s="38">
        <f t="shared" si="84"/>
        <v>1.6630307897717362</v>
      </c>
      <c r="AH84" s="38">
        <f t="shared" ref="AH84:AH99" si="110">IF((AD84-$AI$102)/($AG$102-$AI$102)&lt;0, 0, IF((AD84-$AI$102)/($AG$102-$AI$102)&gt;1, 1, (AD84-$AI$102)/($AG$102-$AI$102)))</f>
        <v>0.15118794349704132</v>
      </c>
      <c r="AI84" s="38">
        <f t="shared" si="85"/>
        <v>5.7559767528714643</v>
      </c>
      <c r="AK84" s="45">
        <v>45151.84375</v>
      </c>
      <c r="AL84" s="4">
        <v>7.8634425424520399E-3</v>
      </c>
      <c r="AM84" s="3">
        <v>1.730820966</v>
      </c>
      <c r="AN84" s="4">
        <v>3446</v>
      </c>
      <c r="AO84" s="46">
        <f t="shared" si="86"/>
        <v>57.43333333333333</v>
      </c>
      <c r="AP84" s="47">
        <f t="shared" si="65"/>
        <v>0.45162371668816215</v>
      </c>
      <c r="AQ84" s="50">
        <f t="shared" si="87"/>
        <v>25.165047965570441</v>
      </c>
      <c r="AR84" s="50">
        <f t="shared" si="88"/>
        <v>0.61230615141984113</v>
      </c>
      <c r="AS84" s="50">
        <f t="shared" si="89"/>
        <v>15.408713670094139</v>
      </c>
      <c r="AT84" s="50">
        <f t="shared" si="66"/>
        <v>0.26202741476004288</v>
      </c>
      <c r="AU84" s="50">
        <f t="shared" si="90"/>
        <v>6.5939324607308993</v>
      </c>
      <c r="AW84" s="51">
        <v>45166.84375</v>
      </c>
      <c r="AX84" s="72">
        <v>1.20150962048139E-2</v>
      </c>
      <c r="AY84" s="73">
        <v>0.59425534599999996</v>
      </c>
      <c r="AZ84" s="52">
        <v>5022</v>
      </c>
      <c r="BA84" s="53">
        <f t="shared" si="91"/>
        <v>83.7</v>
      </c>
      <c r="BB84" s="72">
        <f t="shared" si="67"/>
        <v>1.0056635523429234</v>
      </c>
      <c r="BC84" s="54">
        <f t="shared" si="92"/>
        <v>37.24385996388542</v>
      </c>
      <c r="BD84" s="54">
        <f t="shared" si="93"/>
        <v>0.1151703814865529</v>
      </c>
      <c r="BE84" s="54">
        <f t="shared" si="94"/>
        <v>4.2893895600724381</v>
      </c>
      <c r="BF84" s="54">
        <f t="shared" si="68"/>
        <v>5.7294127287828213E-2</v>
      </c>
      <c r="BG84" s="54">
        <f t="shared" si="95"/>
        <v>2.1338544534609003</v>
      </c>
      <c r="BI84" s="66">
        <v>45183.84375</v>
      </c>
      <c r="BJ84" s="67">
        <v>4.79384295690755E-2</v>
      </c>
      <c r="BK84" s="68">
        <v>1.88950475</v>
      </c>
      <c r="BL84" s="68">
        <v>7962</v>
      </c>
      <c r="BM84" s="68">
        <f t="shared" si="96"/>
        <v>132.69999999999999</v>
      </c>
      <c r="BN84" s="68">
        <f t="shared" si="69"/>
        <v>6.3614296038163181</v>
      </c>
      <c r="BO84" s="69">
        <f t="shared" si="97"/>
        <v>91.908217180032523</v>
      </c>
      <c r="BP84" s="69">
        <f t="shared" si="98"/>
        <v>1</v>
      </c>
      <c r="BQ84" s="69">
        <f t="shared" si="99"/>
        <v>91.908217180032523</v>
      </c>
      <c r="BR84" s="69">
        <f t="shared" si="70"/>
        <v>0.5308841925453841</v>
      </c>
      <c r="BS84" s="69">
        <f t="shared" si="100"/>
        <v>48.792619665907367</v>
      </c>
      <c r="BU84" s="82">
        <v>45047.177083333336</v>
      </c>
      <c r="BV84" s="112">
        <v>3.9684207999999999E-2</v>
      </c>
      <c r="BW84" s="83">
        <v>83.594462070000006</v>
      </c>
      <c r="BX84" s="112">
        <v>6913</v>
      </c>
      <c r="BY84" s="83">
        <f t="shared" si="58"/>
        <v>115.21666666666667</v>
      </c>
      <c r="BZ84" s="84">
        <f t="shared" si="59"/>
        <v>4.5722821650666665</v>
      </c>
      <c r="CA84" s="83">
        <f t="shared" si="60"/>
        <v>78.184512833795509</v>
      </c>
      <c r="CC84" s="87">
        <v>45048.09375</v>
      </c>
      <c r="CD84" s="109">
        <v>5.5574300017528902E-2</v>
      </c>
      <c r="CE84" s="88">
        <v>86.192545629999998</v>
      </c>
      <c r="CF84" s="89">
        <v>5191</v>
      </c>
      <c r="CG84" s="90">
        <f t="shared" si="101"/>
        <v>86.516666666666666</v>
      </c>
      <c r="CH84" s="91">
        <f t="shared" si="102"/>
        <v>4.8081031898498754</v>
      </c>
      <c r="CI84" s="91">
        <f t="shared" si="103"/>
        <v>80.133876550003379</v>
      </c>
      <c r="CK84" s="93">
        <v>45050.09375</v>
      </c>
      <c r="CL84">
        <v>8.8327502595726595E-2</v>
      </c>
      <c r="CM84" s="95">
        <v>115.2898797</v>
      </c>
      <c r="CN84" s="4">
        <v>4251</v>
      </c>
      <c r="CO84" s="95">
        <f t="shared" si="104"/>
        <v>70.849999999999994</v>
      </c>
      <c r="CP84" s="94">
        <f t="shared" si="105"/>
        <v>6.2580035589072285</v>
      </c>
      <c r="CQ84" s="96">
        <f t="shared" si="106"/>
        <v>91.173411789432905</v>
      </c>
      <c r="CS84" s="10">
        <v>45051.354166666664</v>
      </c>
      <c r="CT84" s="110">
        <v>9.66649281181617E-2</v>
      </c>
      <c r="CU84" s="21">
        <v>87.058386479999996</v>
      </c>
      <c r="CV84" s="111">
        <v>4511</v>
      </c>
      <c r="CW84" s="21">
        <f t="shared" si="107"/>
        <v>75.183333333333337</v>
      </c>
      <c r="CX84" s="21">
        <f t="shared" si="108"/>
        <v>7.2675915123504575</v>
      </c>
      <c r="CY84" s="21">
        <f t="shared" si="109"/>
        <v>98.101698114581566</v>
      </c>
    </row>
    <row r="85" spans="1:103" x14ac:dyDescent="0.25">
      <c r="A85" s="10">
        <v>44776.854861111111</v>
      </c>
      <c r="B85" s="11">
        <v>5.5729355060811997E-3</v>
      </c>
      <c r="C85" s="12">
        <v>2.8661624744999998</v>
      </c>
      <c r="D85" s="9">
        <v>2782</v>
      </c>
      <c r="E85" s="13">
        <f t="shared" si="71"/>
        <v>46.366666666666667</v>
      </c>
      <c r="F85" s="12">
        <f t="shared" si="61"/>
        <v>0.25839844296529829</v>
      </c>
      <c r="G85" s="13">
        <f t="shared" si="72"/>
        <v>19.144849338717748</v>
      </c>
      <c r="H85" s="11">
        <f t="shared" si="73"/>
        <v>0.17916293464667213</v>
      </c>
      <c r="I85" s="125">
        <f t="shared" si="74"/>
        <v>3.4300473908930718</v>
      </c>
      <c r="J85" s="21">
        <f>IF((F85-$K$96)/($I$96-$K$96)&lt;0, 0, IF((F85-$K$96)/($I$96-$K$96)&gt;1, 1, (F85-$K$96)/($I$96-$K$96)))</f>
        <v>5.286422817305296E-2</v>
      </c>
      <c r="K85" s="125">
        <f t="shared" si="75"/>
        <v>1.0120776837806971</v>
      </c>
      <c r="M85" s="25">
        <v>44781.854861111111</v>
      </c>
      <c r="N85" s="26">
        <v>5.4703088662425101E-3</v>
      </c>
      <c r="O85" s="27">
        <v>6.3432970429999997</v>
      </c>
      <c r="P85" s="28">
        <v>1954</v>
      </c>
      <c r="Q85" s="29">
        <f t="shared" si="76"/>
        <v>32.56666666666667</v>
      </c>
      <c r="R85" s="26">
        <f t="shared" si="62"/>
        <v>0.17814972541063109</v>
      </c>
      <c r="S85" s="29">
        <f t="shared" si="77"/>
        <v>15.957435005051694</v>
      </c>
      <c r="T85" s="29">
        <f t="shared" si="78"/>
        <v>0.16443635324367278</v>
      </c>
      <c r="U85" s="126">
        <f t="shared" si="79"/>
        <v>2.6239824193536299</v>
      </c>
      <c r="V85" s="128">
        <f>IF((R85-$W$102)/($U$101-$W$102)&lt;0, 0, IF((R85-$W$102)/($U$101-$W$102)&gt;1, 1, (R85-$W$102)/($U$101-$W$102)))</f>
        <v>6.7068617194076099E-2</v>
      </c>
      <c r="W85" s="126">
        <f t="shared" si="80"/>
        <v>1.070243099753162</v>
      </c>
      <c r="Y85" s="35">
        <v>45136.84375</v>
      </c>
      <c r="Z85" s="71">
        <v>1.5077823925000001E-2</v>
      </c>
      <c r="AA85" s="70">
        <v>2.1522282119999998</v>
      </c>
      <c r="AB85" s="36">
        <v>6456</v>
      </c>
      <c r="AC85" s="37">
        <f t="shared" si="81"/>
        <v>107.6</v>
      </c>
      <c r="AD85" s="37">
        <f t="shared" si="63"/>
        <v>1.6223738543299999</v>
      </c>
      <c r="AE85" s="38">
        <f t="shared" si="82"/>
        <v>47.072201205244433</v>
      </c>
      <c r="AF85" s="38">
        <f t="shared" si="83"/>
        <v>6.1615011908834977E-2</v>
      </c>
      <c r="AG85" s="38">
        <f t="shared" si="84"/>
        <v>2.9003542378362117</v>
      </c>
      <c r="AH85" s="38">
        <f t="shared" si="110"/>
        <v>0.30245983620142303</v>
      </c>
      <c r="AI85" s="38">
        <f t="shared" si="85"/>
        <v>14.237450266178659</v>
      </c>
      <c r="AK85" s="45">
        <v>45151.854166666664</v>
      </c>
      <c r="AL85" s="4">
        <v>8.8774113879955298E-3</v>
      </c>
      <c r="AM85" s="3">
        <v>1.9734137430000001</v>
      </c>
      <c r="AN85" s="4">
        <v>3779</v>
      </c>
      <c r="AO85" s="46">
        <f t="shared" si="86"/>
        <v>62.983333333333334</v>
      </c>
      <c r="AP85" s="47">
        <f t="shared" si="65"/>
        <v>0.55912896058725181</v>
      </c>
      <c r="AQ85" s="50">
        <f t="shared" si="87"/>
        <v>27.938958525291447</v>
      </c>
      <c r="AR85" s="50">
        <f t="shared" si="88"/>
        <v>0.74426608671286987</v>
      </c>
      <c r="AS85" s="50">
        <f t="shared" si="89"/>
        <v>20.794019328451839</v>
      </c>
      <c r="AT85" s="50">
        <f t="shared" si="66"/>
        <v>0.34716731790118288</v>
      </c>
      <c r="AU85" s="50">
        <f t="shared" si="90"/>
        <v>9.6994932961778186</v>
      </c>
      <c r="AW85" s="51">
        <v>45166.854166666664</v>
      </c>
      <c r="AX85" s="72">
        <v>1.35240299691805E-2</v>
      </c>
      <c r="AY85" s="73">
        <v>0.59425534599999996</v>
      </c>
      <c r="AZ85" s="52">
        <v>5183</v>
      </c>
      <c r="BA85" s="53">
        <f t="shared" si="91"/>
        <v>86.38333333333334</v>
      </c>
      <c r="BB85" s="72">
        <f t="shared" si="67"/>
        <v>1.1682507888377089</v>
      </c>
      <c r="BC85" s="54">
        <f t="shared" si="92"/>
        <v>40.079843078936001</v>
      </c>
      <c r="BD85" s="54">
        <f t="shared" si="93"/>
        <v>0.1151703814865529</v>
      </c>
      <c r="BE85" s="54">
        <f t="shared" si="94"/>
        <v>4.6160108173222358</v>
      </c>
      <c r="BF85" s="54">
        <f t="shared" si="68"/>
        <v>8.3273548720768364E-2</v>
      </c>
      <c r="BG85" s="54">
        <f t="shared" si="95"/>
        <v>3.3375907653545278</v>
      </c>
      <c r="BI85" s="66">
        <v>45183.854166666664</v>
      </c>
      <c r="BJ85" s="67">
        <v>5.2706976087019401E-2</v>
      </c>
      <c r="BK85" s="68">
        <v>1.5821856839999999</v>
      </c>
      <c r="BL85" s="68">
        <v>8104</v>
      </c>
      <c r="BM85" s="68">
        <f t="shared" si="96"/>
        <v>135.06666666666666</v>
      </c>
      <c r="BN85" s="68">
        <f t="shared" si="69"/>
        <v>7.1189555701534202</v>
      </c>
      <c r="BO85" s="69">
        <f t="shared" si="97"/>
        <v>97.11400082844311</v>
      </c>
      <c r="BP85" s="69">
        <f t="shared" si="98"/>
        <v>1</v>
      </c>
      <c r="BQ85" s="69">
        <f t="shared" si="99"/>
        <v>97.11400082844311</v>
      </c>
      <c r="BR85" s="69">
        <f t="shared" si="70"/>
        <v>0.59572470431517832</v>
      </c>
      <c r="BS85" s="69">
        <f t="shared" si="100"/>
        <v>57.853209428388254</v>
      </c>
      <c r="BU85" s="82">
        <v>45047.1875</v>
      </c>
      <c r="BV85" s="112">
        <v>3.5252430000000001E-2</v>
      </c>
      <c r="BW85" s="83">
        <v>82.276892649999994</v>
      </c>
      <c r="BX85" s="112">
        <v>7464</v>
      </c>
      <c r="BY85" s="83">
        <f t="shared" si="58"/>
        <v>124.4</v>
      </c>
      <c r="BZ85" s="84">
        <f t="shared" si="59"/>
        <v>4.3854022920000002</v>
      </c>
      <c r="CA85" s="83">
        <f t="shared" si="60"/>
        <v>76.602971225952132</v>
      </c>
      <c r="CC85" s="87">
        <v>45048.104166666664</v>
      </c>
      <c r="CD85" s="109">
        <v>5.7581367205719901E-2</v>
      </c>
      <c r="CE85" s="88">
        <v>89.635700749999998</v>
      </c>
      <c r="CF85" s="89">
        <v>4975</v>
      </c>
      <c r="CG85" s="90">
        <f t="shared" si="101"/>
        <v>82.916666666666671</v>
      </c>
      <c r="CH85" s="91">
        <f t="shared" si="102"/>
        <v>4.7744550308076086</v>
      </c>
      <c r="CI85" s="91">
        <f t="shared" si="103"/>
        <v>79.858763426916852</v>
      </c>
      <c r="CK85" s="93">
        <v>45050.104166666664</v>
      </c>
      <c r="CL85">
        <v>8.6099287276112102E-2</v>
      </c>
      <c r="CM85" s="95">
        <v>116.4455014</v>
      </c>
      <c r="CN85" s="4">
        <v>4177</v>
      </c>
      <c r="CO85" s="95">
        <f t="shared" si="104"/>
        <v>69.61666666666666</v>
      </c>
      <c r="CP85" s="94">
        <f t="shared" si="105"/>
        <v>5.9939453825386702</v>
      </c>
      <c r="CQ85" s="96">
        <f t="shared" si="106"/>
        <v>89.268768119002431</v>
      </c>
      <c r="CS85" s="10">
        <v>45051.364583333336</v>
      </c>
      <c r="CT85" s="110">
        <v>9.0653978268794802E-2</v>
      </c>
      <c r="CU85" s="21">
        <v>97.229596529999995</v>
      </c>
      <c r="CV85" s="111">
        <v>4448</v>
      </c>
      <c r="CW85" s="21">
        <f t="shared" si="107"/>
        <v>74.13333333333334</v>
      </c>
      <c r="CX85" s="21">
        <f t="shared" si="108"/>
        <v>6.720481588993322</v>
      </c>
      <c r="CY85" s="21">
        <f t="shared" si="109"/>
        <v>94.412949730629705</v>
      </c>
    </row>
    <row r="86" spans="1:103" x14ac:dyDescent="0.25">
      <c r="A86" s="10">
        <v>44776.865277777775</v>
      </c>
      <c r="B86" s="11">
        <v>5.7235491201370198E-3</v>
      </c>
      <c r="C86" s="12">
        <v>2.6512377974999999</v>
      </c>
      <c r="D86" s="9">
        <v>2888</v>
      </c>
      <c r="E86" s="13">
        <f t="shared" si="71"/>
        <v>48.133333333333333</v>
      </c>
      <c r="F86" s="12">
        <f t="shared" si="61"/>
        <v>0.2754934976492619</v>
      </c>
      <c r="G86" s="13">
        <f t="shared" si="72"/>
        <v>19.754958522759882</v>
      </c>
      <c r="H86" s="11">
        <f t="shared" si="73"/>
        <v>0.16118449849302688</v>
      </c>
      <c r="I86" s="125">
        <f t="shared" si="74"/>
        <v>3.1841930822415985</v>
      </c>
      <c r="J86" s="21">
        <f>IF((F86-$K$96)/($I$96-$K$96)&lt;0, 0, IF((F86-$K$96)/($I$96-$K$96)&gt;1, 1, (F86-$K$96)/($I$96-$K$96)))</f>
        <v>5.6409615602047221E-2</v>
      </c>
      <c r="K86" s="125">
        <f t="shared" si="75"/>
        <v>1.1143696165032715</v>
      </c>
      <c r="M86" s="25">
        <v>44781.865277777775</v>
      </c>
      <c r="N86" s="26">
        <v>4.6918933822002401E-3</v>
      </c>
      <c r="O86" s="27">
        <v>4.9490583829999997</v>
      </c>
      <c r="P86" s="28">
        <v>1514</v>
      </c>
      <c r="Q86" s="29">
        <f t="shared" si="76"/>
        <v>25.233333333333334</v>
      </c>
      <c r="R86" s="26">
        <f t="shared" si="62"/>
        <v>0.1183921096775194</v>
      </c>
      <c r="S86" s="29">
        <f t="shared" si="77"/>
        <v>13.063505968143513</v>
      </c>
      <c r="T86" s="29">
        <f t="shared" si="78"/>
        <v>0.11904335480828812</v>
      </c>
      <c r="U86" s="126">
        <f t="shared" si="79"/>
        <v>1.5551235760058977</v>
      </c>
      <c r="V86" s="128">
        <f>IF((R86-$W$102)/($U$101-$W$102)&lt;0, 0, IF((R86-$W$102)/($U$101-$W$102)&gt;1, 1, (R86-$W$102)/($U$101-$W$102)))</f>
        <v>3.6777287640646139E-2</v>
      </c>
      <c r="W86" s="126">
        <f t="shared" si="80"/>
        <v>0.48044031658571151</v>
      </c>
      <c r="Y86" s="35">
        <v>45136.854166666664</v>
      </c>
      <c r="Z86" s="71">
        <v>1.5374256093017E-2</v>
      </c>
      <c r="AA86" s="70">
        <v>1.88950475</v>
      </c>
      <c r="AB86" s="36">
        <v>5796</v>
      </c>
      <c r="AC86" s="37">
        <f t="shared" si="81"/>
        <v>96.6</v>
      </c>
      <c r="AD86" s="37">
        <f t="shared" si="63"/>
        <v>1.4851531385854422</v>
      </c>
      <c r="AE86" s="38">
        <f t="shared" si="82"/>
        <v>45.078553070083458</v>
      </c>
      <c r="AF86" s="38">
        <f t="shared" si="83"/>
        <v>4.7902820207207909E-2</v>
      </c>
      <c r="AG86" s="38">
        <f t="shared" si="84"/>
        <v>2.1593898229172881</v>
      </c>
      <c r="AH86" s="38">
        <f t="shared" si="110"/>
        <v>0.26607715574504315</v>
      </c>
      <c r="AI86" s="38">
        <f t="shared" si="85"/>
        <v>11.99437318598979</v>
      </c>
      <c r="AK86" s="45">
        <v>45151.864583333336</v>
      </c>
      <c r="AL86" s="4">
        <v>1.4897205278113701E-2</v>
      </c>
      <c r="AM86" s="3">
        <v>2.44355038</v>
      </c>
      <c r="AN86" s="4">
        <v>5572</v>
      </c>
      <c r="AO86" s="46">
        <f t="shared" si="86"/>
        <v>92.86666666666666</v>
      </c>
      <c r="AP86" s="47">
        <f t="shared" si="65"/>
        <v>1.3834537968274923</v>
      </c>
      <c r="AQ86" s="50">
        <f t="shared" si="87"/>
        <v>43.539555051420827</v>
      </c>
      <c r="AR86" s="50">
        <f t="shared" si="88"/>
        <v>1</v>
      </c>
      <c r="AS86" s="50">
        <f t="shared" si="89"/>
        <v>43.539555051420827</v>
      </c>
      <c r="AT86" s="50">
        <f t="shared" si="66"/>
        <v>1</v>
      </c>
      <c r="AU86" s="50">
        <f t="shared" si="90"/>
        <v>43.539555051420827</v>
      </c>
      <c r="AW86" s="51">
        <v>45166.864583333336</v>
      </c>
      <c r="AX86" s="72">
        <v>1.4452168696499399E-2</v>
      </c>
      <c r="AY86" s="73">
        <v>0.59425534599999996</v>
      </c>
      <c r="AZ86" s="52">
        <v>4960</v>
      </c>
      <c r="BA86" s="53">
        <f t="shared" si="91"/>
        <v>82.666666666666671</v>
      </c>
      <c r="BB86" s="72">
        <f t="shared" si="67"/>
        <v>1.1947126122439504</v>
      </c>
      <c r="BC86" s="54">
        <f t="shared" si="92"/>
        <v>40.521872281664393</v>
      </c>
      <c r="BD86" s="54">
        <f t="shared" si="93"/>
        <v>0.1151703814865529</v>
      </c>
      <c r="BE86" s="54">
        <f t="shared" si="94"/>
        <v>4.6669194892286621</v>
      </c>
      <c r="BF86" s="54">
        <f t="shared" si="68"/>
        <v>8.7501819506198897E-2</v>
      </c>
      <c r="BG86" s="54">
        <f t="shared" si="95"/>
        <v>3.5457375544434417</v>
      </c>
      <c r="BI86" s="66">
        <v>45183.864583333336</v>
      </c>
      <c r="BJ86" s="67">
        <v>6.4553841919991597E-2</v>
      </c>
      <c r="BK86" s="68">
        <v>1.5821856839999999</v>
      </c>
      <c r="BL86" s="68">
        <v>8050</v>
      </c>
      <c r="BM86" s="68">
        <f t="shared" si="96"/>
        <v>134.16666666666666</v>
      </c>
      <c r="BN86" s="68">
        <f t="shared" si="69"/>
        <v>8.6609737909322053</v>
      </c>
      <c r="BO86" s="69">
        <f t="shared" si="97"/>
        <v>106.90056919260005</v>
      </c>
      <c r="BP86" s="69">
        <f t="shared" si="98"/>
        <v>1</v>
      </c>
      <c r="BQ86" s="69">
        <f t="shared" si="99"/>
        <v>106.90056919260005</v>
      </c>
      <c r="BR86" s="69">
        <f t="shared" si="70"/>
        <v>0.72771391001476216</v>
      </c>
      <c r="BS86" s="69">
        <f t="shared" si="100"/>
        <v>77.793031189950611</v>
      </c>
      <c r="BU86" s="82">
        <v>45047.197916666664</v>
      </c>
      <c r="BV86" s="112">
        <v>3.9411222000000003E-2</v>
      </c>
      <c r="BW86" s="83">
        <v>82.718647970000006</v>
      </c>
      <c r="BX86" s="112">
        <v>6526</v>
      </c>
      <c r="BY86" s="83">
        <f t="shared" si="58"/>
        <v>108.76666666666667</v>
      </c>
      <c r="BZ86" s="84">
        <f t="shared" si="59"/>
        <v>4.2866272462000001</v>
      </c>
      <c r="CA86" s="83">
        <f t="shared" si="60"/>
        <v>75.753143760456325</v>
      </c>
      <c r="CC86" s="87">
        <v>45048.114583333336</v>
      </c>
      <c r="CD86" s="109">
        <v>5.6722517028920998E-2</v>
      </c>
      <c r="CE86" s="88">
        <v>93.038532979999999</v>
      </c>
      <c r="CF86" s="89">
        <v>4830</v>
      </c>
      <c r="CG86" s="90">
        <f t="shared" si="101"/>
        <v>80.5</v>
      </c>
      <c r="CH86" s="91">
        <f t="shared" si="102"/>
        <v>4.5661626208281403</v>
      </c>
      <c r="CI86" s="91">
        <f t="shared" si="103"/>
        <v>78.13325204597966</v>
      </c>
      <c r="CK86" s="93">
        <v>45050.114583333336</v>
      </c>
      <c r="CL86">
        <v>9.5740277038307203E-2</v>
      </c>
      <c r="CM86" s="95">
        <v>121.00878899999999</v>
      </c>
      <c r="CN86" s="4">
        <v>4111</v>
      </c>
      <c r="CO86" s="95">
        <f t="shared" si="104"/>
        <v>68.516666666666666</v>
      </c>
      <c r="CP86" s="94">
        <f t="shared" si="105"/>
        <v>6.559804648408015</v>
      </c>
      <c r="CQ86" s="96">
        <f t="shared" si="106"/>
        <v>93.300735956107616</v>
      </c>
      <c r="CS86" s="10">
        <v>45051.375</v>
      </c>
      <c r="CT86" s="110">
        <v>9.4784995578312894E-2</v>
      </c>
      <c r="CU86" s="21">
        <v>85.762083380000007</v>
      </c>
      <c r="CV86" s="111">
        <v>4393</v>
      </c>
      <c r="CW86" s="21">
        <f t="shared" si="107"/>
        <v>73.216666666666669</v>
      </c>
      <c r="CX86" s="21">
        <f t="shared" si="108"/>
        <v>6.9398414262588091</v>
      </c>
      <c r="CY86" s="21">
        <f t="shared" si="109"/>
        <v>95.909685276681742</v>
      </c>
    </row>
    <row r="87" spans="1:103" x14ac:dyDescent="0.25">
      <c r="A87" s="10">
        <v>44776.875694444447</v>
      </c>
      <c r="B87" s="11">
        <v>5.3205317134202602E-3</v>
      </c>
      <c r="C87" s="12">
        <v>2.6445850609999999</v>
      </c>
      <c r="D87" s="9">
        <v>2991</v>
      </c>
      <c r="E87" s="13">
        <f t="shared" si="71"/>
        <v>49.85</v>
      </c>
      <c r="F87" s="12">
        <f t="shared" si="61"/>
        <v>0.26522850591399999</v>
      </c>
      <c r="G87" s="13">
        <f t="shared" si="72"/>
        <v>19.39100882698407</v>
      </c>
      <c r="H87" s="11">
        <f t="shared" si="73"/>
        <v>0.16062799748959733</v>
      </c>
      <c r="I87" s="125">
        <f t="shared" si="74"/>
        <v>3.1147389171815569</v>
      </c>
      <c r="J87" s="21">
        <f>IF((F87-$K$96)/($I$96-$K$96)&lt;0, 0, IF((F87-$K$96)/($I$96-$K$96)&gt;1, 1, (F87-$K$96)/($I$96-$K$96)))</f>
        <v>5.4280732522716264E-2</v>
      </c>
      <c r="K87" s="125">
        <f t="shared" si="75"/>
        <v>1.0525581634831525</v>
      </c>
      <c r="M87" s="25">
        <v>44781.875694444447</v>
      </c>
      <c r="N87" s="26">
        <v>4.8520132819575802E-3</v>
      </c>
      <c r="O87" s="27">
        <v>6.3638281955</v>
      </c>
      <c r="P87" s="28">
        <v>1940</v>
      </c>
      <c r="Q87" s="29">
        <f t="shared" si="76"/>
        <v>32.333333333333336</v>
      </c>
      <c r="R87" s="26">
        <f t="shared" si="62"/>
        <v>0.1568817627832951</v>
      </c>
      <c r="S87" s="29">
        <f t="shared" si="77"/>
        <v>14.994273444610025</v>
      </c>
      <c r="T87" s="29">
        <f t="shared" si="78"/>
        <v>0.16510479732003283</v>
      </c>
      <c r="U87" s="126">
        <f t="shared" si="79"/>
        <v>2.4756264780334889</v>
      </c>
      <c r="V87" s="128">
        <f>IF((R87-$W$102)/($U$101-$W$102)&lt;0, 0, IF((R87-$W$102)/($U$101-$W$102)&gt;1, 1, (R87-$W$102)/($U$101-$W$102)))</f>
        <v>5.6287817843714866E-2</v>
      </c>
      <c r="W87" s="126">
        <f t="shared" si="80"/>
        <v>0.84399493234906009</v>
      </c>
      <c r="Y87" s="35">
        <v>45136.864583333336</v>
      </c>
      <c r="Z87" s="71">
        <v>1.2082661686635901E-2</v>
      </c>
      <c r="AA87" s="70">
        <v>2.1522282119999998</v>
      </c>
      <c r="AB87" s="36">
        <v>6194</v>
      </c>
      <c r="AC87" s="37">
        <f t="shared" si="81"/>
        <v>103.23333333333333</v>
      </c>
      <c r="AD87" s="37">
        <f t="shared" si="63"/>
        <v>1.2473334414503794</v>
      </c>
      <c r="AE87" s="38">
        <f t="shared" si="82"/>
        <v>41.386267006171423</v>
      </c>
      <c r="AF87" s="38">
        <f t="shared" si="83"/>
        <v>6.1615011908834977E-2</v>
      </c>
      <c r="AG87" s="38">
        <f t="shared" si="84"/>
        <v>2.5500153344474761</v>
      </c>
      <c r="AH87" s="38">
        <f t="shared" si="110"/>
        <v>0.20302167611028413</v>
      </c>
      <c r="AI87" s="38">
        <f t="shared" si="85"/>
        <v>8.4023092955406735</v>
      </c>
      <c r="AK87" s="45">
        <v>45151.875</v>
      </c>
      <c r="AL87" s="4">
        <v>1.2056879452917E-2</v>
      </c>
      <c r="AM87" s="3">
        <v>2.44355038</v>
      </c>
      <c r="AN87" s="4">
        <v>5124</v>
      </c>
      <c r="AO87" s="46">
        <f t="shared" si="86"/>
        <v>85.4</v>
      </c>
      <c r="AP87" s="47">
        <f t="shared" si="65"/>
        <v>1.0296575052791119</v>
      </c>
      <c r="AQ87" s="50">
        <f t="shared" si="87"/>
        <v>37.676387217171367</v>
      </c>
      <c r="AR87" s="50">
        <f t="shared" si="88"/>
        <v>1</v>
      </c>
      <c r="AS87" s="50">
        <f t="shared" si="89"/>
        <v>37.676387217171367</v>
      </c>
      <c r="AT87" s="50">
        <f t="shared" si="66"/>
        <v>0.71980732379531198</v>
      </c>
      <c r="AU87" s="50">
        <f t="shared" si="90"/>
        <v>27.119739453068025</v>
      </c>
      <c r="AW87" s="51">
        <v>45166.875</v>
      </c>
      <c r="AX87" s="72">
        <v>1.2428669701426099E-2</v>
      </c>
      <c r="AY87" s="73">
        <v>0.59425534599999996</v>
      </c>
      <c r="AZ87" s="52">
        <v>4990</v>
      </c>
      <c r="BA87" s="53">
        <f t="shared" si="91"/>
        <v>83.166666666666671</v>
      </c>
      <c r="BB87" s="72">
        <f t="shared" si="67"/>
        <v>1.0336510301686039</v>
      </c>
      <c r="BC87" s="54">
        <f t="shared" si="92"/>
        <v>37.747875326223209</v>
      </c>
      <c r="BD87" s="54">
        <f t="shared" si="93"/>
        <v>0.1151703814865529</v>
      </c>
      <c r="BE87" s="54">
        <f t="shared" si="94"/>
        <v>4.3474372016279643</v>
      </c>
      <c r="BF87" s="54">
        <f t="shared" si="68"/>
        <v>6.1766178704371857E-2</v>
      </c>
      <c r="BG87" s="54">
        <f t="shared" si="95"/>
        <v>2.3315420131098517</v>
      </c>
      <c r="BI87" s="66">
        <v>45183.875</v>
      </c>
      <c r="BJ87" s="67">
        <v>5.1090318515566502E-2</v>
      </c>
      <c r="BK87" s="68">
        <v>1.5821856839999999</v>
      </c>
      <c r="BL87" s="68">
        <v>8014</v>
      </c>
      <c r="BM87" s="68">
        <f t="shared" si="96"/>
        <v>133.56666666666666</v>
      </c>
      <c r="BN87" s="68">
        <f t="shared" si="69"/>
        <v>6.823963543062499</v>
      </c>
      <c r="BO87" s="69">
        <f t="shared" si="97"/>
        <v>95.122085563907291</v>
      </c>
      <c r="BP87" s="69">
        <f t="shared" si="98"/>
        <v>1</v>
      </c>
      <c r="BQ87" s="69">
        <f t="shared" si="99"/>
        <v>95.122085563907291</v>
      </c>
      <c r="BR87" s="69">
        <f t="shared" si="70"/>
        <v>0.57047483189552772</v>
      </c>
      <c r="BS87" s="69">
        <f t="shared" si="100"/>
        <v>54.264755771622013</v>
      </c>
      <c r="BU87" s="82">
        <v>45047.208333333336</v>
      </c>
      <c r="BV87" s="112">
        <v>4.1196521999999999E-2</v>
      </c>
      <c r="BW87" s="83">
        <v>81.405228940000001</v>
      </c>
      <c r="BX87" s="112">
        <v>6517</v>
      </c>
      <c r="BY87" s="83">
        <f t="shared" si="58"/>
        <v>108.61666666666666</v>
      </c>
      <c r="BZ87" s="84">
        <f t="shared" si="59"/>
        <v>4.4746288978999997</v>
      </c>
      <c r="CA87" s="83">
        <f t="shared" si="60"/>
        <v>77.362288230997081</v>
      </c>
      <c r="CC87" s="87">
        <v>45048.125</v>
      </c>
      <c r="CD87" s="109">
        <v>5.7972622835802998E-2</v>
      </c>
      <c r="CE87" s="88">
        <v>89.635700749999998</v>
      </c>
      <c r="CF87" s="89">
        <v>4822</v>
      </c>
      <c r="CG87" s="90">
        <f t="shared" si="101"/>
        <v>80.36666666666666</v>
      </c>
      <c r="CH87" s="91">
        <f t="shared" si="102"/>
        <v>4.6590664552373671</v>
      </c>
      <c r="CI87" s="91">
        <f t="shared" si="103"/>
        <v>78.907733024783937</v>
      </c>
      <c r="CK87" s="93">
        <v>45050.125</v>
      </c>
      <c r="CL87">
        <v>9.8434253156605797E-2</v>
      </c>
      <c r="CM87" s="95">
        <v>107.0292163</v>
      </c>
      <c r="CN87" s="4">
        <v>4154</v>
      </c>
      <c r="CO87" s="95">
        <f t="shared" si="104"/>
        <v>69.233333333333334</v>
      </c>
      <c r="CP87" s="94">
        <f t="shared" si="105"/>
        <v>6.8149314602090083</v>
      </c>
      <c r="CQ87" s="96">
        <f t="shared" si="106"/>
        <v>95.060410526419005</v>
      </c>
      <c r="CS87" s="10">
        <v>45051.385416666664</v>
      </c>
      <c r="CT87" s="110">
        <v>0.10638750016413299</v>
      </c>
      <c r="CU87" s="21">
        <v>91.338086169999997</v>
      </c>
      <c r="CV87" s="111">
        <v>4141</v>
      </c>
      <c r="CW87" s="21">
        <f t="shared" si="107"/>
        <v>69.016666666666666</v>
      </c>
      <c r="CX87" s="21">
        <f t="shared" si="108"/>
        <v>7.342510636327912</v>
      </c>
      <c r="CY87" s="21">
        <f t="shared" si="109"/>
        <v>98.59563437148374</v>
      </c>
    </row>
    <row r="88" spans="1:103" x14ac:dyDescent="0.25">
      <c r="A88" s="10">
        <v>44776.917361111111</v>
      </c>
      <c r="B88" s="11">
        <v>6.6042492000304301E-3</v>
      </c>
      <c r="C88" s="12">
        <v>2.3885584199999998</v>
      </c>
      <c r="D88" s="9">
        <v>3768</v>
      </c>
      <c r="E88" s="13">
        <f t="shared" si="71"/>
        <v>62.8</v>
      </c>
      <c r="F88" s="12">
        <f t="shared" si="61"/>
        <v>0.41474684976191101</v>
      </c>
      <c r="G88" s="13">
        <f t="shared" si="72"/>
        <v>24.136926880406467</v>
      </c>
      <c r="H88" s="11">
        <f t="shared" si="73"/>
        <v>0.13921138454826087</v>
      </c>
      <c r="I88" s="125">
        <f t="shared" si="74"/>
        <v>3.3601350097615192</v>
      </c>
      <c r="J88" s="21">
        <f>IF((F88-$K$96)/($I$96-$K$96)&lt;0, 0, IF((F88-$K$96)/($I$96-$K$96)&gt;1, 1, (F88-$K$96)/($I$96-$K$96)))</f>
        <v>8.5289727023312875E-2</v>
      </c>
      <c r="K88" s="125">
        <f t="shared" si="75"/>
        <v>2.0586319048115302</v>
      </c>
      <c r="M88" s="25">
        <v>44781.886111111111</v>
      </c>
      <c r="N88" s="26">
        <v>5.25164091455108E-3</v>
      </c>
      <c r="O88" s="27">
        <v>6.4040720625000001</v>
      </c>
      <c r="P88" s="28">
        <v>2029</v>
      </c>
      <c r="Q88" s="29">
        <f t="shared" si="76"/>
        <v>33.81666666666667</v>
      </c>
      <c r="R88" s="26">
        <f t="shared" si="62"/>
        <v>0.17759299026040237</v>
      </c>
      <c r="S88" s="29">
        <f t="shared" si="77"/>
        <v>15.932994882849687</v>
      </c>
      <c r="T88" s="29">
        <f t="shared" si="78"/>
        <v>0.16641503913456179</v>
      </c>
      <c r="U88" s="126">
        <f t="shared" si="79"/>
        <v>2.6514899669602037</v>
      </c>
      <c r="V88" s="128">
        <f>IF((R88-$W$102)/($U$101-$W$102)&lt;0, 0, IF((R88-$W$102)/($U$101-$W$102)&gt;1, 1, (R88-$W$102)/($U$101-$W$102)))</f>
        <v>6.6786406337724744E-2</v>
      </c>
      <c r="W88" s="126">
        <f t="shared" si="80"/>
        <v>1.0641074704228883</v>
      </c>
      <c r="Y88" s="35">
        <v>45136.875</v>
      </c>
      <c r="Z88" s="71">
        <v>1.2267646464393199E-2</v>
      </c>
      <c r="AA88" s="70">
        <v>2.3419653060000001</v>
      </c>
      <c r="AB88" s="36">
        <v>6362</v>
      </c>
      <c r="AC88" s="37">
        <f t="shared" si="81"/>
        <v>106.03333333333333</v>
      </c>
      <c r="AD88" s="37">
        <f t="shared" si="63"/>
        <v>1.3007794467744922</v>
      </c>
      <c r="AE88" s="38">
        <f t="shared" si="82"/>
        <v>42.245370956387312</v>
      </c>
      <c r="AF88" s="38">
        <f t="shared" si="83"/>
        <v>7.1517863317810543E-2</v>
      </c>
      <c r="AG88" s="38">
        <f t="shared" si="84"/>
        <v>3.0212986658691112</v>
      </c>
      <c r="AH88" s="38">
        <f t="shared" si="110"/>
        <v>0.21719234212690045</v>
      </c>
      <c r="AI88" s="38">
        <f t="shared" si="85"/>
        <v>9.1753710620374971</v>
      </c>
      <c r="AK88" s="45">
        <v>45151.885416666664</v>
      </c>
      <c r="AL88" s="4">
        <v>8.9553423682352598E-3</v>
      </c>
      <c r="AM88" s="3">
        <v>1.9734137430000001</v>
      </c>
      <c r="AN88" s="4">
        <v>4050</v>
      </c>
      <c r="AO88" s="46">
        <f t="shared" si="86"/>
        <v>67.5</v>
      </c>
      <c r="AP88" s="47">
        <f t="shared" si="65"/>
        <v>0.60448560985588007</v>
      </c>
      <c r="AQ88" s="50">
        <f t="shared" si="87"/>
        <v>29.02674252086134</v>
      </c>
      <c r="AR88" s="50">
        <f t="shared" si="88"/>
        <v>0.74426608671286987</v>
      </c>
      <c r="AS88" s="50">
        <f t="shared" si="89"/>
        <v>21.603620066023534</v>
      </c>
      <c r="AT88" s="50">
        <f t="shared" si="66"/>
        <v>0.38308799102818347</v>
      </c>
      <c r="AU88" s="50">
        <f t="shared" si="90"/>
        <v>11.119796478409121</v>
      </c>
      <c r="AW88" s="51">
        <v>45166.885416666664</v>
      </c>
      <c r="AX88" s="72">
        <v>1.2008506487977799E-2</v>
      </c>
      <c r="AY88" s="73">
        <v>0.53251963199999997</v>
      </c>
      <c r="AZ88" s="52">
        <v>4382</v>
      </c>
      <c r="BA88" s="53">
        <f t="shared" si="91"/>
        <v>73.033333333333331</v>
      </c>
      <c r="BB88" s="72">
        <f t="shared" si="67"/>
        <v>0.87702125717197854</v>
      </c>
      <c r="BC88" s="54">
        <f t="shared" si="92"/>
        <v>34.82937236324355</v>
      </c>
      <c r="BD88" s="54">
        <f t="shared" si="93"/>
        <v>8.2120228934575393E-2</v>
      </c>
      <c r="BE88" s="54">
        <f t="shared" si="94"/>
        <v>2.8601960321171336</v>
      </c>
      <c r="BF88" s="54">
        <f t="shared" si="68"/>
        <v>3.6738685960465221E-2</v>
      </c>
      <c r="BG88" s="54">
        <f t="shared" si="95"/>
        <v>1.2795853734533111</v>
      </c>
      <c r="BI88" s="66">
        <v>45183.885416666664</v>
      </c>
      <c r="BJ88" s="67">
        <v>6.1300712910136702E-2</v>
      </c>
      <c r="BK88" s="68">
        <v>1.5821856839999999</v>
      </c>
      <c r="BL88" s="68">
        <v>7939</v>
      </c>
      <c r="BM88" s="68">
        <f t="shared" si="96"/>
        <v>132.31666666666666</v>
      </c>
      <c r="BN88" s="68">
        <f t="shared" si="69"/>
        <v>8.1111059965595871</v>
      </c>
      <c r="BO88" s="69">
        <f t="shared" si="97"/>
        <v>103.52139276543167</v>
      </c>
      <c r="BP88" s="69">
        <f t="shared" si="98"/>
        <v>1</v>
      </c>
      <c r="BQ88" s="69">
        <f t="shared" si="99"/>
        <v>103.52139276543167</v>
      </c>
      <c r="BR88" s="69">
        <f t="shared" si="70"/>
        <v>0.68064792049463207</v>
      </c>
      <c r="BS88" s="69">
        <f t="shared" si="100"/>
        <v>70.461620712499112</v>
      </c>
      <c r="CC88" s="87">
        <v>45048.135416666664</v>
      </c>
      <c r="CD88" s="109">
        <v>5.8593329697860602E-2</v>
      </c>
      <c r="CE88" s="88">
        <v>85.762083380000007</v>
      </c>
      <c r="CF88" s="89">
        <v>4879</v>
      </c>
      <c r="CG88" s="90">
        <f t="shared" si="101"/>
        <v>81.316666666666663</v>
      </c>
      <c r="CH88" s="91">
        <f t="shared" si="102"/>
        <v>4.7646142599310313</v>
      </c>
      <c r="CI88" s="91">
        <f t="shared" si="103"/>
        <v>79.778116732782578</v>
      </c>
      <c r="CK88" s="93">
        <v>45050.135416666664</v>
      </c>
      <c r="CL88">
        <v>8.9815668468592499E-2</v>
      </c>
      <c r="CM88" s="95">
        <v>126.9407683</v>
      </c>
      <c r="CN88" s="4">
        <v>4236</v>
      </c>
      <c r="CO88" s="95">
        <f t="shared" si="104"/>
        <v>70.599999999999994</v>
      </c>
      <c r="CP88" s="94">
        <f t="shared" si="105"/>
        <v>6.34098619388263</v>
      </c>
      <c r="CQ88" s="96">
        <f t="shared" si="106"/>
        <v>91.763460173469042</v>
      </c>
      <c r="CS88" s="10">
        <v>45051.395833333336</v>
      </c>
      <c r="CT88" s="110">
        <v>0.106962313188493</v>
      </c>
      <c r="CU88" s="21">
        <v>90.484855949999996</v>
      </c>
      <c r="CV88" s="111">
        <v>4304</v>
      </c>
      <c r="CW88" s="21">
        <f t="shared" si="107"/>
        <v>71.733333333333334</v>
      </c>
      <c r="CX88" s="21">
        <f t="shared" si="108"/>
        <v>7.6727632660545648</v>
      </c>
      <c r="CY88" s="21">
        <f t="shared" si="109"/>
        <v>100.7429093206339</v>
      </c>
    </row>
    <row r="89" spans="1:103" x14ac:dyDescent="0.25">
      <c r="A89" s="10">
        <v>44776.948611111111</v>
      </c>
      <c r="B89" s="11">
        <v>7.3344477715992298E-3</v>
      </c>
      <c r="C89" s="12">
        <v>2.4828400044999999</v>
      </c>
      <c r="D89" s="9">
        <v>3550</v>
      </c>
      <c r="E89" s="13">
        <f t="shared" si="71"/>
        <v>59.166666666666664</v>
      </c>
      <c r="F89" s="12">
        <f t="shared" si="61"/>
        <v>0.43395482648628775</v>
      </c>
      <c r="G89" s="13">
        <f t="shared" si="72"/>
        <v>24.678012257173279</v>
      </c>
      <c r="H89" s="11">
        <f t="shared" si="73"/>
        <v>0.14709803335498567</v>
      </c>
      <c r="I89" s="125">
        <f t="shared" si="74"/>
        <v>3.6300870701404202</v>
      </c>
      <c r="J89" s="21">
        <f>IF((F89-$K$96)/($I$96-$K$96)&lt;0, 0, IF((F89-$K$96)/($I$96-$K$96)&gt;1, 1, (F89-$K$96)/($I$96-$K$96)))</f>
        <v>8.9273318797307155E-2</v>
      </c>
      <c r="K89" s="125">
        <f t="shared" si="75"/>
        <v>2.2030880555184837</v>
      </c>
      <c r="M89" s="25">
        <v>44781.896527777775</v>
      </c>
      <c r="N89" s="26">
        <v>4.1872832754029504E-3</v>
      </c>
      <c r="O89" s="27">
        <v>5.2612970189999997</v>
      </c>
      <c r="P89" s="28">
        <v>1626</v>
      </c>
      <c r="Q89" s="29">
        <f t="shared" si="76"/>
        <v>27.1</v>
      </c>
      <c r="R89" s="26">
        <f t="shared" si="62"/>
        <v>0.11347537676341997</v>
      </c>
      <c r="S89" s="29">
        <f t="shared" si="77"/>
        <v>12.794959706299212</v>
      </c>
      <c r="T89" s="29">
        <f t="shared" si="78"/>
        <v>0.12920908060692193</v>
      </c>
      <c r="U89" s="126">
        <f t="shared" si="79"/>
        <v>1.653224980053533</v>
      </c>
      <c r="V89" s="128">
        <f>IF((R89-$W$102)/($U$101-$W$102)&lt;0, 0, IF((R89-$W$102)/($U$101-$W$102)&gt;1, 1, (R89-$W$102)/($U$101-$W$102)))</f>
        <v>3.4284979753190427E-2</v>
      </c>
      <c r="W89" s="126">
        <f t="shared" si="80"/>
        <v>0.43867493447335582</v>
      </c>
      <c r="Y89" s="35">
        <v>45136.885416666664</v>
      </c>
      <c r="Z89" s="71">
        <v>1.00963339924956E-2</v>
      </c>
      <c r="AA89" s="70">
        <v>1.654461261</v>
      </c>
      <c r="AB89" s="36">
        <v>5460</v>
      </c>
      <c r="AC89" s="37">
        <f t="shared" si="81"/>
        <v>91</v>
      </c>
      <c r="AD89" s="37">
        <f t="shared" si="63"/>
        <v>0.91876639331709964</v>
      </c>
      <c r="AE89" s="38">
        <f t="shared" si="82"/>
        <v>35.631584116137674</v>
      </c>
      <c r="AF89" s="38">
        <f t="shared" si="83"/>
        <v>3.5635315223632176E-2</v>
      </c>
      <c r="AG89" s="38">
        <f t="shared" si="84"/>
        <v>1.2697427318959313</v>
      </c>
      <c r="AH89" s="38">
        <f t="shared" si="110"/>
        <v>0.11590545713513863</v>
      </c>
      <c r="AI89" s="38">
        <f t="shared" si="85"/>
        <v>4.1298950454300813</v>
      </c>
      <c r="AK89" s="45">
        <v>45151.895833333336</v>
      </c>
      <c r="AL89" s="4">
        <v>7.5223828166051197E-3</v>
      </c>
      <c r="AM89" s="3">
        <v>1.729502407</v>
      </c>
      <c r="AN89" s="4">
        <v>3169</v>
      </c>
      <c r="AO89" s="46">
        <f t="shared" si="86"/>
        <v>52.81666666666667</v>
      </c>
      <c r="AP89" s="47">
        <f t="shared" si="65"/>
        <v>0.39730718576369378</v>
      </c>
      <c r="AQ89" s="50">
        <f t="shared" si="87"/>
        <v>23.634466339689034</v>
      </c>
      <c r="AR89" s="50">
        <f t="shared" si="88"/>
        <v>0.61158891258663373</v>
      </c>
      <c r="AS89" s="50">
        <f t="shared" si="89"/>
        <v>14.454577568255814</v>
      </c>
      <c r="AT89" s="50">
        <f t="shared" si="66"/>
        <v>0.21901086957446295</v>
      </c>
      <c r="AU89" s="50">
        <f t="shared" si="90"/>
        <v>5.1762050249836697</v>
      </c>
      <c r="AW89" s="51">
        <v>45166.895833333336</v>
      </c>
      <c r="AX89" s="72">
        <v>1.1421437993235599E-2</v>
      </c>
      <c r="AY89" s="73">
        <v>0.53251963199999997</v>
      </c>
      <c r="AZ89" s="52">
        <v>4573</v>
      </c>
      <c r="BA89" s="53">
        <f t="shared" si="91"/>
        <v>76.216666666666669</v>
      </c>
      <c r="BB89" s="72">
        <f t="shared" si="67"/>
        <v>0.8705039323844399</v>
      </c>
      <c r="BC89" s="54">
        <f t="shared" si="92"/>
        <v>34.702384925613089</v>
      </c>
      <c r="BD89" s="54">
        <f t="shared" si="93"/>
        <v>8.2120228934575393E-2</v>
      </c>
      <c r="BE89" s="54">
        <f t="shared" si="94"/>
        <v>2.8497677946671049</v>
      </c>
      <c r="BF89" s="54">
        <f t="shared" si="68"/>
        <v>3.5697298389576505E-2</v>
      </c>
      <c r="BG89" s="54">
        <f t="shared" si="95"/>
        <v>1.2387813895195521</v>
      </c>
      <c r="BI89" s="66">
        <v>45183.895833333336</v>
      </c>
      <c r="BJ89" s="67">
        <v>5.8654051577076802E-2</v>
      </c>
      <c r="BK89" s="68">
        <v>1.5821856839999999</v>
      </c>
      <c r="BL89" s="68">
        <v>8165</v>
      </c>
      <c r="BM89" s="68">
        <f t="shared" si="96"/>
        <v>136.08333333333334</v>
      </c>
      <c r="BN89" s="68">
        <f t="shared" si="69"/>
        <v>7.981838852113869</v>
      </c>
      <c r="BO89" s="69">
        <f t="shared" si="97"/>
        <v>102.71016099476968</v>
      </c>
      <c r="BP89" s="69">
        <f t="shared" si="98"/>
        <v>1</v>
      </c>
      <c r="BQ89" s="69">
        <f t="shared" si="99"/>
        <v>102.71016099476968</v>
      </c>
      <c r="BR89" s="69">
        <f t="shared" si="70"/>
        <v>0.66958328618063101</v>
      </c>
      <c r="BS89" s="69">
        <f t="shared" si="100"/>
        <v>68.773007123019553</v>
      </c>
      <c r="CC89" s="87">
        <v>45048.145833333336</v>
      </c>
      <c r="CD89" s="109">
        <v>5.3095828604805301E-2</v>
      </c>
      <c r="CE89" s="88">
        <v>87.058386479999996</v>
      </c>
      <c r="CF89" s="89">
        <v>4893</v>
      </c>
      <c r="CG89" s="90">
        <f t="shared" si="101"/>
        <v>81.55</v>
      </c>
      <c r="CH89" s="91">
        <f t="shared" si="102"/>
        <v>4.3299648227218723</v>
      </c>
      <c r="CI89" s="91">
        <f t="shared" si="103"/>
        <v>76.127223006168265</v>
      </c>
      <c r="CK89" s="93">
        <v>45050.145833333336</v>
      </c>
      <c r="CL89">
        <v>9.1332086421195405E-2</v>
      </c>
      <c r="CM89" s="95">
        <v>110.21295859999999</v>
      </c>
      <c r="CN89" s="4">
        <v>4306</v>
      </c>
      <c r="CO89" s="95">
        <f t="shared" si="104"/>
        <v>71.766666666666666</v>
      </c>
      <c r="CP89" s="94">
        <f t="shared" si="105"/>
        <v>6.5545994021611236</v>
      </c>
      <c r="CQ89" s="96">
        <f t="shared" si="106"/>
        <v>93.264473810135769</v>
      </c>
      <c r="CS89" s="10">
        <v>45051.40625</v>
      </c>
      <c r="CT89" s="110">
        <v>8.8902516635896697E-2</v>
      </c>
      <c r="CU89" s="21">
        <v>89.635700749999998</v>
      </c>
      <c r="CV89" s="111">
        <v>4331</v>
      </c>
      <c r="CW89" s="21">
        <f t="shared" si="107"/>
        <v>72.183333333333337</v>
      </c>
      <c r="CX89" s="21">
        <f t="shared" si="108"/>
        <v>6.4172799925011432</v>
      </c>
      <c r="CY89" s="21">
        <f t="shared" si="109"/>
        <v>92.302480389177589</v>
      </c>
    </row>
    <row r="90" spans="1:103" x14ac:dyDescent="0.25">
      <c r="A90" s="10">
        <v>44776.959027777775</v>
      </c>
      <c r="B90" s="11">
        <v>7.64757278088736E-3</v>
      </c>
      <c r="C90" s="12">
        <v>2.5050373965000001</v>
      </c>
      <c r="D90" s="9">
        <v>3885</v>
      </c>
      <c r="E90" s="13">
        <f t="shared" si="71"/>
        <v>64.75</v>
      </c>
      <c r="F90" s="12">
        <f t="shared" si="61"/>
        <v>0.49518033756245655</v>
      </c>
      <c r="G90" s="13">
        <f t="shared" si="72"/>
        <v>26.325657424734072</v>
      </c>
      <c r="H90" s="11">
        <f t="shared" si="73"/>
        <v>0.14895484384515306</v>
      </c>
      <c r="I90" s="125">
        <f t="shared" si="74"/>
        <v>3.9213341908222579</v>
      </c>
      <c r="J90" s="21">
        <f>IF((F90-$K$96)/($I$96-$K$96)&lt;0, 0, IF((F90-$K$96)/($I$96-$K$96)&gt;1, 1, (F90-$K$96)/($I$96-$K$96)))</f>
        <v>0.10197103526070189</v>
      </c>
      <c r="K90" s="125">
        <f t="shared" si="75"/>
        <v>2.6844545415187167</v>
      </c>
      <c r="M90" s="25">
        <v>44781.906944444447</v>
      </c>
      <c r="N90" s="26">
        <v>4.9442405769637302E-3</v>
      </c>
      <c r="O90" s="27">
        <v>5.4874552459999997</v>
      </c>
      <c r="P90" s="28">
        <v>1689</v>
      </c>
      <c r="Q90" s="29">
        <f t="shared" si="76"/>
        <v>28.15</v>
      </c>
      <c r="R90" s="26">
        <f t="shared" si="62"/>
        <v>0.13918037224152899</v>
      </c>
      <c r="S90" s="29">
        <f t="shared" si="77"/>
        <v>14.140466465617099</v>
      </c>
      <c r="T90" s="29">
        <f t="shared" si="78"/>
        <v>0.13657223896630954</v>
      </c>
      <c r="U90" s="126">
        <f t="shared" si="79"/>
        <v>1.9311951652373449</v>
      </c>
      <c r="V90" s="128">
        <f>IF((R90-$W$102)/($U$101-$W$102)&lt;0, 0, IF((R90-$W$102)/($U$101-$W$102)&gt;1, 1, (R90-$W$102)/($U$101-$W$102)))</f>
        <v>4.731492547047552E-2</v>
      </c>
      <c r="W90" s="126">
        <f t="shared" si="80"/>
        <v>0.66905511693843145</v>
      </c>
      <c r="Y90" s="35">
        <v>45136.895833333336</v>
      </c>
      <c r="Z90" s="71">
        <v>1.11814316464617E-2</v>
      </c>
      <c r="AA90" s="70">
        <v>1.5125919880000001</v>
      </c>
      <c r="AB90" s="36">
        <v>4177</v>
      </c>
      <c r="AC90" s="37">
        <f t="shared" si="81"/>
        <v>69.61666666666666</v>
      </c>
      <c r="AD90" s="37">
        <f t="shared" si="63"/>
        <v>0.77841399978784198</v>
      </c>
      <c r="AE90" s="38">
        <f t="shared" si="82"/>
        <v>32.853333490527433</v>
      </c>
      <c r="AF90" s="38">
        <f t="shared" si="83"/>
        <v>2.8230804590522202E-2</v>
      </c>
      <c r="AG90" s="38">
        <f t="shared" si="84"/>
        <v>0.92747603791833866</v>
      </c>
      <c r="AH90" s="38">
        <f t="shared" si="110"/>
        <v>7.869244409001773E-2</v>
      </c>
      <c r="AI90" s="38">
        <f t="shared" si="85"/>
        <v>2.585309108874037</v>
      </c>
      <c r="AK90" s="45">
        <v>45151.90625</v>
      </c>
      <c r="AL90" s="4">
        <v>6.22367477904507E-3</v>
      </c>
      <c r="AM90" s="3">
        <v>1.5821856839999999</v>
      </c>
      <c r="AN90" s="4">
        <v>2712</v>
      </c>
      <c r="AO90" s="46">
        <f t="shared" si="86"/>
        <v>45.2</v>
      </c>
      <c r="AP90" s="47">
        <f t="shared" si="65"/>
        <v>0.28131010001283718</v>
      </c>
      <c r="AQ90" s="50">
        <f t="shared" si="87"/>
        <v>19.958120775420671</v>
      </c>
      <c r="AR90" s="50">
        <f t="shared" si="88"/>
        <v>0.53145501299134179</v>
      </c>
      <c r="AS90" s="50">
        <f t="shared" si="89"/>
        <v>10.606843335983962</v>
      </c>
      <c r="AT90" s="50">
        <f t="shared" si="66"/>
        <v>0.12714576339645561</v>
      </c>
      <c r="AU90" s="50">
        <f t="shared" si="90"/>
        <v>2.5375905019495217</v>
      </c>
      <c r="AW90" s="51">
        <v>45166.90625</v>
      </c>
      <c r="AX90" s="72">
        <v>1.1569164499038199E-2</v>
      </c>
      <c r="AY90" s="73">
        <v>0.44939223900000003</v>
      </c>
      <c r="AZ90" s="52">
        <v>3699</v>
      </c>
      <c r="BA90" s="53">
        <f t="shared" si="91"/>
        <v>61.65</v>
      </c>
      <c r="BB90" s="72">
        <f t="shared" si="67"/>
        <v>0.71323899136570501</v>
      </c>
      <c r="BC90" s="54">
        <f t="shared" si="92"/>
        <v>31.476237240272116</v>
      </c>
      <c r="BD90" s="54">
        <f t="shared" si="93"/>
        <v>3.7618062491693006E-2</v>
      </c>
      <c r="BE90" s="54">
        <f t="shared" si="94"/>
        <v>1.184075059507911</v>
      </c>
      <c r="BF90" s="54">
        <f t="shared" si="68"/>
        <v>1.0568313683060371E-2</v>
      </c>
      <c r="BG90" s="54">
        <f t="shared" si="95"/>
        <v>0.33265074871762224</v>
      </c>
      <c r="BI90" s="66">
        <v>45183.90625</v>
      </c>
      <c r="BJ90" s="67">
        <v>5.5199757863924399E-2</v>
      </c>
      <c r="BK90" s="68">
        <v>1.3790541089999999</v>
      </c>
      <c r="BL90" s="68">
        <v>8117</v>
      </c>
      <c r="BM90" s="68">
        <f t="shared" si="96"/>
        <v>135.28333333333333</v>
      </c>
      <c r="BN90" s="68">
        <f t="shared" si="69"/>
        <v>7.4676072430245721</v>
      </c>
      <c r="BO90" s="69">
        <f t="shared" si="97"/>
        <v>99.414688875378118</v>
      </c>
      <c r="BP90" s="69">
        <f t="shared" si="98"/>
        <v>0.93285209191610496</v>
      </c>
      <c r="BQ90" s="69">
        <f t="shared" si="99"/>
        <v>92.739200484585211</v>
      </c>
      <c r="BR90" s="69">
        <f t="shared" si="70"/>
        <v>0.62556757954712805</v>
      </c>
      <c r="BS90" s="69">
        <f t="shared" si="100"/>
        <v>62.190606291201085</v>
      </c>
      <c r="CC90" s="87">
        <v>45048.15625</v>
      </c>
      <c r="CD90" s="109">
        <v>5.5580522468841299E-2</v>
      </c>
      <c r="CE90" s="88">
        <v>87.922589900000006</v>
      </c>
      <c r="CF90" s="89">
        <v>4981</v>
      </c>
      <c r="CG90" s="90">
        <f t="shared" si="101"/>
        <v>83.016666666666666</v>
      </c>
      <c r="CH90" s="91">
        <f t="shared" si="102"/>
        <v>4.6141097069549755</v>
      </c>
      <c r="CI90" s="91">
        <f t="shared" si="103"/>
        <v>78.533950668749554</v>
      </c>
      <c r="CK90" s="93">
        <v>45050.15625</v>
      </c>
      <c r="CL90">
        <v>8.9445151941983103E-2</v>
      </c>
      <c r="CM90" s="95">
        <v>112.1752807</v>
      </c>
      <c r="CN90" s="4">
        <v>4209</v>
      </c>
      <c r="CO90" s="95">
        <f t="shared" si="104"/>
        <v>70.150000000000006</v>
      </c>
      <c r="CP90" s="94">
        <f t="shared" si="105"/>
        <v>6.2745774087301154</v>
      </c>
      <c r="CQ90" s="96">
        <f t="shared" si="106"/>
        <v>91.291577840830925</v>
      </c>
      <c r="CS90" s="10">
        <v>45051.416666666664</v>
      </c>
      <c r="CT90" s="110">
        <v>9.1307362028807695E-2</v>
      </c>
      <c r="CU90" s="21">
        <v>98.474887140000007</v>
      </c>
      <c r="CV90" s="111">
        <v>4362</v>
      </c>
      <c r="CW90" s="21">
        <f t="shared" si="107"/>
        <v>72.7</v>
      </c>
      <c r="CX90" s="21">
        <f t="shared" si="108"/>
        <v>6.6380452194943196</v>
      </c>
      <c r="CY90" s="21">
        <f t="shared" si="109"/>
        <v>93.844036952069828</v>
      </c>
    </row>
    <row r="91" spans="1:103" x14ac:dyDescent="0.25">
      <c r="A91" s="10">
        <v>44776.969444444447</v>
      </c>
      <c r="B91" s="11">
        <v>6.5381733318855299E-3</v>
      </c>
      <c r="C91" s="12">
        <v>2.248553292</v>
      </c>
      <c r="D91" s="9">
        <v>3633</v>
      </c>
      <c r="E91" s="13">
        <f t="shared" si="71"/>
        <v>60.55</v>
      </c>
      <c r="F91" s="12">
        <f t="shared" si="61"/>
        <v>0.39588639524566882</v>
      </c>
      <c r="G91" s="13">
        <f t="shared" si="72"/>
        <v>23.593040021995446</v>
      </c>
      <c r="H91" s="11">
        <f t="shared" si="73"/>
        <v>0.12749996410987663</v>
      </c>
      <c r="I91" s="125">
        <f t="shared" si="74"/>
        <v>3.0081117560473021</v>
      </c>
      <c r="J91" s="21">
        <f>IF((F91-$K$96)/($I$96-$K$96)&lt;0, 0, IF((F91-$K$96)/($I$96-$K$96)&gt;1, 1, (F91-$K$96)/($I$96-$K$96)))</f>
        <v>8.1378208775305758E-2</v>
      </c>
      <c r="K91" s="125">
        <f t="shared" si="75"/>
        <v>1.9199593365540897</v>
      </c>
      <c r="M91" s="25">
        <v>44781.917361111111</v>
      </c>
      <c r="N91" s="26">
        <v>5.0373832802486597E-3</v>
      </c>
      <c r="O91" s="27">
        <v>5.2076250220000002</v>
      </c>
      <c r="P91" s="28">
        <v>1698</v>
      </c>
      <c r="Q91" s="29">
        <f t="shared" si="76"/>
        <v>28.3</v>
      </c>
      <c r="R91" s="26">
        <f t="shared" si="62"/>
        <v>0.14255794683103706</v>
      </c>
      <c r="S91" s="29">
        <f t="shared" si="77"/>
        <v>14.307481627007895</v>
      </c>
      <c r="T91" s="29">
        <f t="shared" si="78"/>
        <v>0.12746165174431606</v>
      </c>
      <c r="U91" s="126">
        <f t="shared" si="79"/>
        <v>1.8236552404798809</v>
      </c>
      <c r="V91" s="128">
        <f>IF((R91-$W$102)/($U$101-$W$102)&lt;0, 0, IF((R91-$W$102)/($U$101-$W$102)&gt;1, 1, (R91-$W$102)/($U$101-$W$102)))</f>
        <v>4.9027029002835655E-2</v>
      </c>
      <c r="W91" s="126">
        <f>S91*V91</f>
        <v>0.70145331668485433</v>
      </c>
      <c r="Y91" s="35">
        <v>45136.90625</v>
      </c>
      <c r="Z91" s="71">
        <v>8.2604101021937302E-3</v>
      </c>
      <c r="AA91" s="70">
        <v>1.654461261</v>
      </c>
      <c r="AB91" s="36">
        <v>4364</v>
      </c>
      <c r="AC91" s="37">
        <f t="shared" si="81"/>
        <v>72.733333333333334</v>
      </c>
      <c r="AD91" s="37">
        <f t="shared" si="63"/>
        <v>0.6008071614328907</v>
      </c>
      <c r="AE91" s="38">
        <f t="shared" si="82"/>
        <v>28.940109598441055</v>
      </c>
      <c r="AF91" s="38">
        <f t="shared" si="83"/>
        <v>3.5635315223632176E-2</v>
      </c>
      <c r="AG91" s="38">
        <f t="shared" si="84"/>
        <v>1.0312899281469101</v>
      </c>
      <c r="AH91" s="38">
        <f t="shared" si="110"/>
        <v>3.1601793005198719E-2</v>
      </c>
      <c r="AI91" s="38">
        <f t="shared" si="85"/>
        <v>0.91455935307769887</v>
      </c>
      <c r="AK91" s="45">
        <v>45151.916666666664</v>
      </c>
      <c r="AL91" s="4">
        <v>8.0028838612977507E-3</v>
      </c>
      <c r="AM91" s="3">
        <v>2.0619739560000001</v>
      </c>
      <c r="AN91" s="4">
        <v>3034</v>
      </c>
      <c r="AO91" s="46">
        <f t="shared" si="86"/>
        <v>50.56666666666667</v>
      </c>
      <c r="AP91" s="47">
        <f t="shared" si="65"/>
        <v>0.40467916058628961</v>
      </c>
      <c r="AQ91" s="50">
        <f t="shared" si="87"/>
        <v>23.848209119595776</v>
      </c>
      <c r="AR91" s="50">
        <f t="shared" si="88"/>
        <v>0.79243899656424954</v>
      </c>
      <c r="AS91" s="50">
        <f t="shared" si="89"/>
        <v>18.898250904586863</v>
      </c>
      <c r="AT91" s="50">
        <f t="shared" si="66"/>
        <v>0.22484918219616057</v>
      </c>
      <c r="AU91" s="50">
        <f t="shared" si="90"/>
        <v>5.3622503173841283</v>
      </c>
      <c r="AW91" s="51">
        <v>45166.916666666664</v>
      </c>
      <c r="AX91" s="72">
        <v>1.4374278191539599E-2</v>
      </c>
      <c r="AY91" s="73">
        <v>0.475692385</v>
      </c>
      <c r="AZ91" s="52">
        <v>3931</v>
      </c>
      <c r="BA91" s="53">
        <f t="shared" si="91"/>
        <v>65.516666666666666</v>
      </c>
      <c r="BB91" s="72">
        <f t="shared" si="67"/>
        <v>0.94175479284903607</v>
      </c>
      <c r="BC91" s="54">
        <f t="shared" si="92"/>
        <v>36.065416543332461</v>
      </c>
      <c r="BD91" s="54">
        <f t="shared" si="93"/>
        <v>5.1697819266503769E-2</v>
      </c>
      <c r="BE91" s="54">
        <f t="shared" si="94"/>
        <v>1.8645033862283766</v>
      </c>
      <c r="BF91" s="54">
        <f t="shared" si="68"/>
        <v>4.7082301120271938E-2</v>
      </c>
      <c r="BG91" s="54">
        <f t="shared" si="95"/>
        <v>1.6980428017212159</v>
      </c>
      <c r="BI91" s="66">
        <v>45183.916666666664</v>
      </c>
      <c r="BJ91" s="67">
        <v>5.7085326120917698E-2</v>
      </c>
      <c r="BK91" s="68">
        <v>1.4444654269999999</v>
      </c>
      <c r="BL91" s="68">
        <v>8172</v>
      </c>
      <c r="BM91" s="68">
        <f t="shared" si="96"/>
        <v>136.19999999999999</v>
      </c>
      <c r="BN91" s="68">
        <f t="shared" si="69"/>
        <v>7.7750214176689898</v>
      </c>
      <c r="BO91" s="69">
        <f t="shared" si="97"/>
        <v>101.39818079228969</v>
      </c>
      <c r="BP91" s="69">
        <f t="shared" si="98"/>
        <v>1</v>
      </c>
      <c r="BQ91" s="69">
        <f t="shared" si="99"/>
        <v>101.39818079228969</v>
      </c>
      <c r="BR91" s="69">
        <f t="shared" si="70"/>
        <v>0.65188072694406196</v>
      </c>
      <c r="BS91" s="69">
        <f t="shared" si="100"/>
        <v>66.099519805683229</v>
      </c>
      <c r="CC91" s="87">
        <v>45048.166666666664</v>
      </c>
      <c r="CD91" s="109">
        <v>5.6000415914985502E-2</v>
      </c>
      <c r="CE91" s="88">
        <v>84.899432570000002</v>
      </c>
      <c r="CF91" s="89">
        <v>5003</v>
      </c>
      <c r="CG91" s="90">
        <f t="shared" si="101"/>
        <v>83.38333333333334</v>
      </c>
      <c r="CH91" s="91">
        <f t="shared" si="102"/>
        <v>4.6695013470445419</v>
      </c>
      <c r="CI91" s="91">
        <f t="shared" si="103"/>
        <v>78.994227973071261</v>
      </c>
      <c r="CK91" s="93">
        <v>45050.166666666664</v>
      </c>
      <c r="CL91">
        <v>8.2182320929990393E-2</v>
      </c>
      <c r="CM91" s="95">
        <v>112.1752807</v>
      </c>
      <c r="CN91" s="4">
        <v>4148</v>
      </c>
      <c r="CO91" s="95">
        <f t="shared" si="104"/>
        <v>69.13333333333334</v>
      </c>
      <c r="CP91" s="94">
        <f t="shared" si="105"/>
        <v>5.6815377869600034</v>
      </c>
      <c r="CQ91" s="96">
        <f t="shared" si="106"/>
        <v>86.959201589168842</v>
      </c>
      <c r="CS91" s="10">
        <v>45051.427083333336</v>
      </c>
      <c r="CT91" s="110">
        <v>0.10694611274158</v>
      </c>
      <c r="CU91" s="21">
        <v>93.877037450000003</v>
      </c>
      <c r="CV91" s="111">
        <v>4137</v>
      </c>
      <c r="CW91" s="21">
        <f t="shared" si="107"/>
        <v>68.95</v>
      </c>
      <c r="CX91" s="21">
        <f t="shared" si="108"/>
        <v>7.373934473531941</v>
      </c>
      <c r="CY91" s="21">
        <f t="shared" si="109"/>
        <v>98.802043522025343</v>
      </c>
    </row>
    <row r="92" spans="1:103" x14ac:dyDescent="0.25">
      <c r="A92" s="10">
        <v>44776.979861111111</v>
      </c>
      <c r="B92" s="11">
        <v>6.5848300189003898E-3</v>
      </c>
      <c r="C92" s="12">
        <v>2.1564305309999998</v>
      </c>
      <c r="D92" s="9">
        <v>3267</v>
      </c>
      <c r="E92" s="13">
        <f t="shared" si="71"/>
        <v>54.45</v>
      </c>
      <c r="F92" s="12">
        <f t="shared" si="61"/>
        <v>0.35854399452912622</v>
      </c>
      <c r="G92" s="13">
        <f t="shared" si="72"/>
        <v>22.475689915463917</v>
      </c>
      <c r="H92" s="11">
        <f t="shared" si="73"/>
        <v>0.11979390075757008</v>
      </c>
      <c r="I92" s="125">
        <f t="shared" si="74"/>
        <v>2.6924505671910031</v>
      </c>
      <c r="J92" s="21">
        <f>IF((F92-$K$96)/($I$96-$K$96)&lt;0, 0, IF((F92-$K$96)/($I$96-$K$96)&gt;1, 1, (F92-$K$96)/($I$96-$K$96)))</f>
        <v>7.3633672093999264E-2</v>
      </c>
      <c r="K92" s="125">
        <f t="shared" si="75"/>
        <v>1.6549675813216762</v>
      </c>
      <c r="M92" s="25">
        <v>44781.927777777775</v>
      </c>
      <c r="N92" s="26">
        <v>4.39557865296828E-3</v>
      </c>
      <c r="O92" s="27">
        <v>4.6292118670000004</v>
      </c>
      <c r="P92" s="28">
        <v>1659</v>
      </c>
      <c r="Q92" s="29">
        <f t="shared" si="76"/>
        <v>27.65</v>
      </c>
      <c r="R92" s="26">
        <f t="shared" si="62"/>
        <v>0.12153774975457293</v>
      </c>
      <c r="S92" s="29">
        <f t="shared" si="77"/>
        <v>13.232340354745734</v>
      </c>
      <c r="T92" s="29">
        <f t="shared" si="78"/>
        <v>0.10862993505678646</v>
      </c>
      <c r="U92" s="126">
        <f t="shared" si="79"/>
        <v>1.4374282733853239</v>
      </c>
      <c r="V92" s="128">
        <f>IF((R92-$W$102)/($U$101-$W$102)&lt;0, 0, IF((R92-$W$102)/($U$101-$W$102)&gt;1, 1, (R92-$W$102)/($U$101-$W$102)))</f>
        <v>3.8371822815142863E-2</v>
      </c>
      <c r="W92" s="126">
        <f t="shared" si="80"/>
        <v>0.50774901952196794</v>
      </c>
      <c r="Y92" s="35">
        <v>45136.916666666664</v>
      </c>
      <c r="Z92" s="71">
        <v>9.9334056429542794E-3</v>
      </c>
      <c r="AA92" s="70">
        <v>2.1522282119999998</v>
      </c>
      <c r="AB92" s="36">
        <v>5332</v>
      </c>
      <c r="AC92" s="37">
        <f t="shared" si="81"/>
        <v>88.86666666666666</v>
      </c>
      <c r="AD92" s="37">
        <f t="shared" si="63"/>
        <v>0.88274864813720355</v>
      </c>
      <c r="AE92" s="38">
        <f t="shared" si="82"/>
        <v>34.940571287453785</v>
      </c>
      <c r="AF92" s="38">
        <f t="shared" si="83"/>
        <v>6.1615011908834977E-2</v>
      </c>
      <c r="AG92" s="38">
        <f t="shared" si="84"/>
        <v>2.1528637159779627</v>
      </c>
      <c r="AH92" s="38">
        <f t="shared" si="110"/>
        <v>0.10635571745823094</v>
      </c>
      <c r="AI92" s="38">
        <f t="shared" si="85"/>
        <v>3.7161295276776114</v>
      </c>
      <c r="AK92" s="45">
        <v>45151.927083333336</v>
      </c>
      <c r="AL92" s="4">
        <v>5.2891351415836002E-3</v>
      </c>
      <c r="AM92" s="3">
        <v>1.257509953</v>
      </c>
      <c r="AN92" s="4">
        <v>1781</v>
      </c>
      <c r="AO92" s="46">
        <f t="shared" si="86"/>
        <v>29.683333333333334</v>
      </c>
      <c r="AP92" s="47">
        <f t="shared" si="65"/>
        <v>0.1569991614526732</v>
      </c>
      <c r="AQ92" s="50">
        <f t="shared" si="87"/>
        <v>14.999767124446439</v>
      </c>
      <c r="AR92" s="50">
        <f t="shared" si="88"/>
        <v>0.3548455154465045</v>
      </c>
      <c r="AS92" s="50">
        <f t="shared" si="89"/>
        <v>5.3226000968517297</v>
      </c>
      <c r="AT92" s="50">
        <f t="shared" si="66"/>
        <v>2.8696414466731497E-2</v>
      </c>
      <c r="AU92" s="50">
        <f t="shared" si="90"/>
        <v>0.43043953430756832</v>
      </c>
      <c r="AW92" s="51">
        <v>45166.927083333336</v>
      </c>
      <c r="AX92" s="72">
        <v>1.14176920773204E-2</v>
      </c>
      <c r="AY92" s="73">
        <v>0.44894941300000002</v>
      </c>
      <c r="AZ92" s="52">
        <v>3621</v>
      </c>
      <c r="BA92" s="53">
        <f t="shared" si="91"/>
        <v>60.35</v>
      </c>
      <c r="BB92" s="72">
        <f t="shared" si="67"/>
        <v>0.68905771686628614</v>
      </c>
      <c r="BC92" s="54">
        <f t="shared" si="92"/>
        <v>30.949052692459428</v>
      </c>
      <c r="BD92" s="54">
        <f t="shared" si="93"/>
        <v>3.7380996036869431E-2</v>
      </c>
      <c r="BE92" s="54">
        <f t="shared" si="94"/>
        <v>1.1569064160416891</v>
      </c>
      <c r="BF92" s="54">
        <f t="shared" si="68"/>
        <v>6.7044462937763463E-3</v>
      </c>
      <c r="BG92" s="54">
        <f t="shared" si="95"/>
        <v>0.20749626161984847</v>
      </c>
      <c r="BI92" s="66">
        <v>45183.927083333336</v>
      </c>
      <c r="BJ92" s="67">
        <v>6.6757353642304396E-2</v>
      </c>
      <c r="BK92" s="68">
        <v>1.3790541089999999</v>
      </c>
      <c r="BL92" s="68">
        <v>8030</v>
      </c>
      <c r="BM92" s="68">
        <f t="shared" si="96"/>
        <v>133.83333333333334</v>
      </c>
      <c r="BN92" s="68">
        <f t="shared" si="69"/>
        <v>8.9343591624617389</v>
      </c>
      <c r="BO92" s="69">
        <f t="shared" si="97"/>
        <v>108.53988152284299</v>
      </c>
      <c r="BP92" s="69">
        <f t="shared" si="98"/>
        <v>0.93285209191610496</v>
      </c>
      <c r="BQ92" s="69">
        <f t="shared" si="99"/>
        <v>101.25165553491027</v>
      </c>
      <c r="BR92" s="69">
        <f t="shared" si="70"/>
        <v>0.75111435856448483</v>
      </c>
      <c r="BS92" s="69">
        <f t="shared" si="100"/>
        <v>81.525863488695393</v>
      </c>
      <c r="CC92" s="87">
        <v>45048.177083333336</v>
      </c>
      <c r="CD92" s="109">
        <v>6.0921304510828701E-2</v>
      </c>
      <c r="CE92" s="88">
        <v>92.610732819999996</v>
      </c>
      <c r="CF92" s="89">
        <v>4878</v>
      </c>
      <c r="CG92" s="90">
        <f t="shared" si="101"/>
        <v>81.3</v>
      </c>
      <c r="CH92" s="91">
        <f t="shared" si="102"/>
        <v>4.9529020567303732</v>
      </c>
      <c r="CI92" s="91">
        <f t="shared" si="103"/>
        <v>81.306713600455609</v>
      </c>
      <c r="CK92" s="93">
        <v>45050.177083333336</v>
      </c>
      <c r="CL92">
        <v>8.7768327623407805E-2</v>
      </c>
      <c r="CM92" s="95">
        <v>110.9974619</v>
      </c>
      <c r="CN92" s="4">
        <v>4144</v>
      </c>
      <c r="CO92" s="95">
        <f t="shared" si="104"/>
        <v>69.066666666666663</v>
      </c>
      <c r="CP92" s="94">
        <f t="shared" si="105"/>
        <v>6.0618658278566988</v>
      </c>
      <c r="CQ92" s="96">
        <f t="shared" si="106"/>
        <v>89.762699997201636</v>
      </c>
      <c r="CS92" s="10">
        <v>45051.4375</v>
      </c>
      <c r="CT92" s="110">
        <v>9.1854333400708393E-2</v>
      </c>
      <c r="CU92" s="21">
        <v>95.977802339999997</v>
      </c>
      <c r="CV92" s="111">
        <v>4161</v>
      </c>
      <c r="CW92" s="21">
        <f t="shared" si="107"/>
        <v>69.349999999999994</v>
      </c>
      <c r="CX92" s="21">
        <f t="shared" si="108"/>
        <v>6.3700980213391265</v>
      </c>
      <c r="CY92" s="21">
        <f t="shared" si="109"/>
        <v>91.969525388156953</v>
      </c>
    </row>
    <row r="93" spans="1:103" x14ac:dyDescent="0.25">
      <c r="A93" s="10">
        <v>44776.990277777775</v>
      </c>
      <c r="B93" s="11">
        <v>8.1282455529692495E-3</v>
      </c>
      <c r="C93" s="12">
        <v>2.2236830264999998</v>
      </c>
      <c r="D93" s="9">
        <v>3685</v>
      </c>
      <c r="E93" s="13">
        <f t="shared" si="71"/>
        <v>61.416666666666664</v>
      </c>
      <c r="F93" s="12">
        <f t="shared" si="61"/>
        <v>0.49920974771152804</v>
      </c>
      <c r="G93" s="13">
        <f t="shared" si="72"/>
        <v>26.430343391447533</v>
      </c>
      <c r="H93" s="11">
        <f t="shared" si="73"/>
        <v>0.12541956791406911</v>
      </c>
      <c r="I93" s="125">
        <f t="shared" si="74"/>
        <v>3.3148822479758215</v>
      </c>
      <c r="J93" s="21">
        <f>IF((F93-$K$96)/($I$96-$K$96)&lt;0, 0, IF((F93-$K$96)/($I$96-$K$96)&gt;1, 1, (F93-$K$96)/($I$96-$K$96)))</f>
        <v>0.1028067050115674</v>
      </c>
      <c r="K93" s="125">
        <f t="shared" si="75"/>
        <v>2.7172165163989765</v>
      </c>
      <c r="M93" s="25">
        <v>44781.938194444447</v>
      </c>
      <c r="N93" s="26">
        <v>4.4088138339007498E-3</v>
      </c>
      <c r="O93" s="27">
        <v>3.8438540350000001</v>
      </c>
      <c r="P93" s="28">
        <v>1453</v>
      </c>
      <c r="Q93" s="29">
        <f t="shared" si="76"/>
        <v>24.216666666666665</v>
      </c>
      <c r="R93" s="26">
        <f t="shared" si="62"/>
        <v>0.10676677501096316</v>
      </c>
      <c r="S93" s="29">
        <f t="shared" si="77"/>
        <v>12.418775120350533</v>
      </c>
      <c r="T93" s="29">
        <f t="shared" si="78"/>
        <v>8.3060606173600046E-2</v>
      </c>
      <c r="U93" s="126">
        <f t="shared" si="79"/>
        <v>1.0315109894299381</v>
      </c>
      <c r="V93" s="128">
        <f>IF((R93-$W$102)/($U$101-$W$102)&lt;0, 0, IF((R93-$W$102)/($U$101-$W$102)&gt;1, 1, (R93-$W$102)/($U$101-$W$102)))</f>
        <v>3.0884367730214635E-2</v>
      </c>
      <c r="W93" s="126">
        <f t="shared" si="80"/>
        <v>0.38354601757574636</v>
      </c>
      <c r="Y93" s="35">
        <v>45136.927083333336</v>
      </c>
      <c r="Z93" s="71">
        <v>8.0022825967643006E-3</v>
      </c>
      <c r="AA93" s="70">
        <v>1.511415151</v>
      </c>
      <c r="AB93" s="36">
        <v>4005</v>
      </c>
      <c r="AC93" s="37">
        <f t="shared" si="81"/>
        <v>66.75</v>
      </c>
      <c r="AD93" s="37">
        <f t="shared" si="63"/>
        <v>0.53415236333401706</v>
      </c>
      <c r="AE93" s="38">
        <f t="shared" si="82"/>
        <v>27.320662019534588</v>
      </c>
      <c r="AF93" s="38">
        <f t="shared" si="83"/>
        <v>2.8169382536995941E-2</v>
      </c>
      <c r="AG93" s="38">
        <f t="shared" si="84"/>
        <v>0.76960617959224586</v>
      </c>
      <c r="AH93" s="38">
        <f t="shared" si="110"/>
        <v>1.3928949608650451E-2</v>
      </c>
      <c r="AI93" s="38">
        <f t="shared" si="85"/>
        <v>0.38054812454506753</v>
      </c>
      <c r="AK93" s="45">
        <v>45151.9375</v>
      </c>
      <c r="AL93" s="4">
        <v>6.7675484953585901E-3</v>
      </c>
      <c r="AM93" s="3">
        <v>1.5821856839999999</v>
      </c>
      <c r="AN93" s="4">
        <v>2130</v>
      </c>
      <c r="AO93" s="46">
        <f t="shared" si="86"/>
        <v>35.5</v>
      </c>
      <c r="AP93" s="47">
        <f t="shared" si="65"/>
        <v>0.24024797158522995</v>
      </c>
      <c r="AQ93" s="50">
        <f t="shared" si="87"/>
        <v>18.474073292647134</v>
      </c>
      <c r="AR93" s="50">
        <f t="shared" si="88"/>
        <v>0.53145501299134179</v>
      </c>
      <c r="AS93" s="50">
        <f t="shared" si="89"/>
        <v>9.8181388617467835</v>
      </c>
      <c r="AT93" s="50">
        <f t="shared" si="66"/>
        <v>9.4626180999367204E-2</v>
      </c>
      <c r="AU93" s="50">
        <f t="shared" si="90"/>
        <v>1.7481310031856034</v>
      </c>
      <c r="AW93" s="51">
        <v>45166.9375</v>
      </c>
      <c r="AX93" s="72">
        <v>9.9046559080952293E-3</v>
      </c>
      <c r="AY93" s="73">
        <v>0.399936554</v>
      </c>
      <c r="AZ93" s="52">
        <v>2866</v>
      </c>
      <c r="BA93" s="53">
        <f t="shared" si="91"/>
        <v>47.766666666666666</v>
      </c>
      <c r="BB93" s="72">
        <f t="shared" si="67"/>
        <v>0.47311239721001547</v>
      </c>
      <c r="BC93" s="54">
        <f t="shared" si="92"/>
        <v>25.744450365142487</v>
      </c>
      <c r="BD93" s="54">
        <f t="shared" si="93"/>
        <v>1.1142011144614616E-2</v>
      </c>
      <c r="BE93" s="54">
        <f t="shared" si="94"/>
        <v>0.28684495288039541</v>
      </c>
      <c r="BF93" s="54">
        <f t="shared" si="68"/>
        <v>0</v>
      </c>
      <c r="BG93" s="54">
        <f t="shared" si="95"/>
        <v>0</v>
      </c>
      <c r="BI93" s="66">
        <v>45183.9375</v>
      </c>
      <c r="BJ93" s="67">
        <v>8.9769309717601706E-2</v>
      </c>
      <c r="BK93" s="68">
        <v>1.4444654269999999</v>
      </c>
      <c r="BL93" s="68">
        <v>7915</v>
      </c>
      <c r="BM93" s="68">
        <f t="shared" si="96"/>
        <v>131.91666666666666</v>
      </c>
      <c r="BN93" s="68">
        <f t="shared" si="69"/>
        <v>11.842068106913624</v>
      </c>
      <c r="BO93" s="69">
        <f t="shared" si="97"/>
        <v>124.59799853071195</v>
      </c>
      <c r="BP93" s="69">
        <f t="shared" si="98"/>
        <v>1</v>
      </c>
      <c r="BQ93" s="69">
        <f t="shared" si="99"/>
        <v>124.59799853071195</v>
      </c>
      <c r="BR93" s="69">
        <f t="shared" si="70"/>
        <v>1</v>
      </c>
      <c r="BS93" s="69">
        <f t="shared" si="100"/>
        <v>124.59799853071195</v>
      </c>
      <c r="CC93" s="87">
        <v>45048.1875</v>
      </c>
      <c r="CD93" s="109">
        <v>5.7609515284711602E-2</v>
      </c>
      <c r="CE93" s="88">
        <v>84.891986889999998</v>
      </c>
      <c r="CF93" s="89">
        <v>5019</v>
      </c>
      <c r="CG93" s="90">
        <f t="shared" si="101"/>
        <v>83.65</v>
      </c>
      <c r="CH93" s="91">
        <f t="shared" si="102"/>
        <v>4.819035953566126</v>
      </c>
      <c r="CI93" s="91">
        <f t="shared" si="103"/>
        <v>80.223053105084546</v>
      </c>
      <c r="CK93" s="93">
        <v>45050.1875</v>
      </c>
      <c r="CL93">
        <v>0.108264783929756</v>
      </c>
      <c r="CM93" s="95">
        <v>119.87671349999999</v>
      </c>
      <c r="CN93" s="4">
        <v>4214</v>
      </c>
      <c r="CO93" s="95">
        <f t="shared" si="104"/>
        <v>70.233333333333334</v>
      </c>
      <c r="CP93" s="94">
        <f t="shared" si="105"/>
        <v>7.6037966579998626</v>
      </c>
      <c r="CQ93" s="96">
        <f t="shared" si="106"/>
        <v>100.2984509805308</v>
      </c>
      <c r="CS93" s="10">
        <v>45051.447916666664</v>
      </c>
      <c r="CT93" s="110">
        <v>0.100515429510497</v>
      </c>
      <c r="CU93" s="21">
        <v>95.138397370000007</v>
      </c>
      <c r="CV93" s="111">
        <v>3962</v>
      </c>
      <c r="CW93" s="21">
        <f t="shared" si="107"/>
        <v>66.033333333333331</v>
      </c>
      <c r="CX93" s="21">
        <f t="shared" si="108"/>
        <v>6.6373688620098177</v>
      </c>
      <c r="CY93" s="21">
        <f t="shared" si="109"/>
        <v>93.839354383232575</v>
      </c>
    </row>
    <row r="94" spans="1:103" x14ac:dyDescent="0.25">
      <c r="A94" s="10">
        <v>44777.000694444447</v>
      </c>
      <c r="B94" s="11">
        <v>6.3385999173041297E-3</v>
      </c>
      <c r="C94" s="12">
        <v>2.2059633774999998</v>
      </c>
      <c r="D94" s="9">
        <v>3563</v>
      </c>
      <c r="E94" s="13">
        <f t="shared" si="71"/>
        <v>59.383333333333333</v>
      </c>
      <c r="F94" s="12">
        <f t="shared" si="61"/>
        <v>0.37640719175591025</v>
      </c>
      <c r="G94" s="13">
        <f t="shared" si="72"/>
        <v>23.017241398062826</v>
      </c>
      <c r="H94" s="11">
        <f t="shared" si="73"/>
        <v>0.12393732035339695</v>
      </c>
      <c r="I94" s="125">
        <f t="shared" si="74"/>
        <v>2.8526952208031826</v>
      </c>
      <c r="J94" s="21">
        <f>IF((F94-$K$96)/($I$96-$K$96)&lt;0, 0, IF((F94-$K$96)/($I$96-$K$96)&gt;1, 1, (F94-$K$96)/($I$96-$K$96)))</f>
        <v>7.733836658373934E-2</v>
      </c>
      <c r="K94" s="125">
        <f t="shared" si="75"/>
        <v>1.7801158529898038</v>
      </c>
      <c r="M94" s="25">
        <v>44781.948611111111</v>
      </c>
      <c r="N94" s="26">
        <v>4.5317888265637499E-3</v>
      </c>
      <c r="O94" s="27">
        <v>3.4907628965000002</v>
      </c>
      <c r="P94" s="28">
        <v>1318</v>
      </c>
      <c r="Q94" s="29">
        <f t="shared" si="76"/>
        <v>21.966666666666665</v>
      </c>
      <c r="R94" s="26">
        <f t="shared" si="62"/>
        <v>9.9548294556850367E-2</v>
      </c>
      <c r="S94" s="29">
        <f t="shared" si="77"/>
        <v>12.000262783276698</v>
      </c>
      <c r="T94" s="29">
        <f t="shared" si="78"/>
        <v>7.1564822878164319E-2</v>
      </c>
      <c r="U94" s="126">
        <f t="shared" si="79"/>
        <v>0.85879668057662406</v>
      </c>
      <c r="V94" s="128">
        <f>IF((R94-$W$102)/($U$101-$W$102)&lt;0, 0, IF((R94-$W$102)/($U$101-$W$102)&gt;1, 1, (R94-$W$102)/($U$101-$W$102)))</f>
        <v>2.7225296536894501E-2</v>
      </c>
      <c r="W94" s="126">
        <f t="shared" si="80"/>
        <v>0.32671071279536706</v>
      </c>
      <c r="Y94" s="35">
        <v>45136.9375</v>
      </c>
      <c r="Z94" s="71">
        <v>9.5363846435916992E-3</v>
      </c>
      <c r="AA94" s="70">
        <v>1.729502407</v>
      </c>
      <c r="AB94" s="36">
        <v>4461</v>
      </c>
      <c r="AC94" s="37">
        <f t="shared" si="81"/>
        <v>74.349999999999994</v>
      </c>
      <c r="AD94" s="37">
        <f t="shared" si="63"/>
        <v>0.70903019825104274</v>
      </c>
      <c r="AE94" s="38">
        <f t="shared" si="82"/>
        <v>31.385143033866363</v>
      </c>
      <c r="AF94" s="38">
        <f t="shared" si="83"/>
        <v>3.9551899496801449E-2</v>
      </c>
      <c r="AG94" s="38">
        <f t="shared" si="84"/>
        <v>1.2413420229682206</v>
      </c>
      <c r="AH94" s="38">
        <f t="shared" si="110"/>
        <v>6.0296033122001325E-2</v>
      </c>
      <c r="AI94" s="38">
        <f t="shared" si="85"/>
        <v>1.8923996239087555</v>
      </c>
      <c r="AK94" s="45">
        <v>45151.947916666664</v>
      </c>
      <c r="AL94" s="4">
        <v>5.8736080325113502E-3</v>
      </c>
      <c r="AM94" s="3">
        <v>1.257509953</v>
      </c>
      <c r="AN94" s="4">
        <v>1495</v>
      </c>
      <c r="AO94" s="46">
        <f t="shared" si="86"/>
        <v>24.916666666666668</v>
      </c>
      <c r="AP94" s="47">
        <f t="shared" si="65"/>
        <v>0.14635073347674116</v>
      </c>
      <c r="AQ94" s="50">
        <f t="shared" si="87"/>
        <v>14.492639081801148</v>
      </c>
      <c r="AR94" s="50">
        <f t="shared" si="88"/>
        <v>0.3548455154465045</v>
      </c>
      <c r="AS94" s="50">
        <f t="shared" si="89"/>
        <v>5.1426479851618838</v>
      </c>
      <c r="AT94" s="50">
        <f t="shared" si="66"/>
        <v>2.0263280476288663E-2</v>
      </c>
      <c r="AU94" s="50">
        <f t="shared" si="90"/>
        <v>0.29366841055615928</v>
      </c>
      <c r="AW94" s="51">
        <v>45166.947916666664</v>
      </c>
      <c r="AX94" s="72">
        <v>1.3411186758724001E-2</v>
      </c>
      <c r="AY94" s="73">
        <v>0.562700329</v>
      </c>
      <c r="AZ94" s="52">
        <v>4577</v>
      </c>
      <c r="BA94" s="53">
        <f t="shared" si="91"/>
        <v>76.283333333333331</v>
      </c>
      <c r="BB94" s="72">
        <f t="shared" si="67"/>
        <v>1.0230500299113292</v>
      </c>
      <c r="BC94" s="54">
        <f t="shared" si="92"/>
        <v>37.55779534446684</v>
      </c>
      <c r="BD94" s="54">
        <f t="shared" si="93"/>
        <v>9.8277434793974883E-2</v>
      </c>
      <c r="BE94" s="54">
        <f t="shared" si="94"/>
        <v>3.691083782971293</v>
      </c>
      <c r="BF94" s="54">
        <f t="shared" si="68"/>
        <v>6.0072270503261131E-2</v>
      </c>
      <c r="BG94" s="54">
        <f t="shared" si="95"/>
        <v>2.2561820414389335</v>
      </c>
      <c r="BI94" s="66">
        <v>45183.947916666664</v>
      </c>
      <c r="BJ94" s="67">
        <v>7.5313832368877606E-2</v>
      </c>
      <c r="BK94" s="68">
        <v>2.060445487</v>
      </c>
      <c r="BL94" s="68">
        <v>7488</v>
      </c>
      <c r="BM94" s="68">
        <f t="shared" si="96"/>
        <v>124.8</v>
      </c>
      <c r="BN94" s="68">
        <f t="shared" si="69"/>
        <v>9.3991662796359243</v>
      </c>
      <c r="BO94" s="69">
        <f t="shared" si="97"/>
        <v>111.26932127393435</v>
      </c>
      <c r="BP94" s="69">
        <f t="shared" si="98"/>
        <v>1</v>
      </c>
      <c r="BQ94" s="69">
        <f t="shared" si="99"/>
        <v>111.26932127393435</v>
      </c>
      <c r="BR94" s="69">
        <f t="shared" si="70"/>
        <v>0.79089957080948026</v>
      </c>
      <c r="BS94" s="69">
        <f t="shared" si="100"/>
        <v>88.002858439816848</v>
      </c>
      <c r="CC94" s="87">
        <v>45048.197916666664</v>
      </c>
      <c r="CD94" s="109">
        <v>5.3378237534721602E-2</v>
      </c>
      <c r="CE94" s="88">
        <v>84.891986889999998</v>
      </c>
      <c r="CF94" s="89">
        <v>5162</v>
      </c>
      <c r="CG94" s="90">
        <f t="shared" si="101"/>
        <v>86.033333333333331</v>
      </c>
      <c r="CH94" s="91">
        <f t="shared" si="102"/>
        <v>4.5923077025705483</v>
      </c>
      <c r="CI94" s="91">
        <f t="shared" si="103"/>
        <v>78.35201385928282</v>
      </c>
      <c r="CK94" s="93">
        <v>45050.197916666664</v>
      </c>
      <c r="CL94">
        <v>9.5806923765879196E-2</v>
      </c>
      <c r="CM94" s="95">
        <v>114.8986831</v>
      </c>
      <c r="CN94" s="4">
        <v>4167</v>
      </c>
      <c r="CO94" s="95">
        <f t="shared" si="104"/>
        <v>69.45</v>
      </c>
      <c r="CP94" s="94">
        <f t="shared" si="105"/>
        <v>6.6537908555403105</v>
      </c>
      <c r="CQ94" s="96">
        <f t="shared" si="106"/>
        <v>93.952978659316784</v>
      </c>
      <c r="CS94" s="10">
        <v>45051.458333333336</v>
      </c>
      <c r="CT94" s="110">
        <v>9.7364753523139003E-2</v>
      </c>
      <c r="CU94" s="21">
        <v>97.229596529999995</v>
      </c>
      <c r="CV94" s="111">
        <v>4218</v>
      </c>
      <c r="CW94" s="21">
        <f t="shared" si="107"/>
        <v>70.3</v>
      </c>
      <c r="CX94" s="21">
        <f t="shared" si="108"/>
        <v>6.8447421726766713</v>
      </c>
      <c r="CY94" s="21">
        <f t="shared" si="109"/>
        <v>95.26381323322326</v>
      </c>
    </row>
    <row r="95" spans="1:103" x14ac:dyDescent="0.25">
      <c r="A95" s="8"/>
      <c r="B95" s="1"/>
      <c r="J95" s="129"/>
      <c r="M95" s="25">
        <v>44781.959027777775</v>
      </c>
      <c r="N95" s="26">
        <v>3.8378663378689898E-3</v>
      </c>
      <c r="O95" s="27">
        <v>3.5250784804999999</v>
      </c>
      <c r="P95" s="28">
        <v>1194</v>
      </c>
      <c r="Q95" s="29">
        <f t="shared" si="76"/>
        <v>19.899999999999999</v>
      </c>
      <c r="R95" s="26">
        <f t="shared" si="62"/>
        <v>7.637354012359289E-2</v>
      </c>
      <c r="S95" s="29">
        <f t="shared" si="77"/>
        <v>10.539760480415518</v>
      </c>
      <c r="T95" s="29">
        <f t="shared" si="78"/>
        <v>7.2682054307409941E-2</v>
      </c>
      <c r="U95" s="126">
        <f t="shared" si="79"/>
        <v>0.76605144362465383</v>
      </c>
      <c r="V95" s="128">
        <f>IF((R95-$W$102)/($U$101-$W$102)&lt;0, 0, IF((R95-$W$102)/($U$101-$W$102)&gt;1, 1, (R95-$W$102)/($U$101-$W$102)))</f>
        <v>1.5477938225397491E-2</v>
      </c>
      <c r="W95" s="126">
        <f t="shared" si="80"/>
        <v>0.16313376162635718</v>
      </c>
      <c r="Y95" s="35">
        <v>45136.947916666664</v>
      </c>
      <c r="Z95" s="71">
        <v>7.37387912710124E-3</v>
      </c>
      <c r="AA95" s="70">
        <v>1.511415151</v>
      </c>
      <c r="AB95" s="36">
        <v>4103</v>
      </c>
      <c r="AC95" s="37">
        <f t="shared" si="81"/>
        <v>68.38333333333334</v>
      </c>
      <c r="AD95" s="37">
        <f t="shared" si="63"/>
        <v>0.50425043430827321</v>
      </c>
      <c r="AE95" s="38">
        <f t="shared" si="82"/>
        <v>26.560697547969596</v>
      </c>
      <c r="AF95" s="38">
        <f t="shared" si="83"/>
        <v>2.8169382536995941E-2</v>
      </c>
      <c r="AG95" s="38">
        <f t="shared" si="84"/>
        <v>0.74819844967820559</v>
      </c>
      <c r="AH95" s="38">
        <f t="shared" si="110"/>
        <v>6.0007565302949706E-3</v>
      </c>
      <c r="AI95" s="38">
        <f t="shared" si="85"/>
        <v>0.15938427926016815</v>
      </c>
      <c r="AK95" s="45">
        <v>45151.958333333336</v>
      </c>
      <c r="AL95" s="4">
        <v>7.4799488374922701E-3</v>
      </c>
      <c r="AM95" s="3">
        <v>1.257509953</v>
      </c>
      <c r="AN95" s="4">
        <v>1358</v>
      </c>
      <c r="AO95" s="46">
        <f t="shared" si="86"/>
        <v>22.633333333333333</v>
      </c>
      <c r="AP95" s="47">
        <f t="shared" si="65"/>
        <v>0.16929617535524172</v>
      </c>
      <c r="AQ95" s="50">
        <f t="shared" si="87"/>
        <v>15.564031479115961</v>
      </c>
      <c r="AR95" s="50">
        <f t="shared" si="88"/>
        <v>0.3548455154465045</v>
      </c>
      <c r="AS95" s="50">
        <f t="shared" si="89"/>
        <v>5.5228267726325253</v>
      </c>
      <c r="AT95" s="50">
        <f t="shared" si="66"/>
        <v>3.8435163337183588E-2</v>
      </c>
      <c r="AU95" s="50">
        <f t="shared" si="90"/>
        <v>0.59820609208488906</v>
      </c>
      <c r="AW95" s="51">
        <v>45166.958333333336</v>
      </c>
      <c r="AX95" s="72">
        <v>1.2861010188509801E-2</v>
      </c>
      <c r="AY95" s="73">
        <v>0.562700329</v>
      </c>
      <c r="AZ95" s="52">
        <v>4303</v>
      </c>
      <c r="BA95" s="53">
        <f t="shared" si="91"/>
        <v>71.716666666666669</v>
      </c>
      <c r="BB95" s="72">
        <f t="shared" si="67"/>
        <v>0.92234878068596127</v>
      </c>
      <c r="BC95" s="54">
        <f t="shared" si="92"/>
        <v>35.69955160850747</v>
      </c>
      <c r="BD95" s="54">
        <f t="shared" si="93"/>
        <v>9.8277434793974883E-2</v>
      </c>
      <c r="BE95" s="54">
        <f t="shared" si="94"/>
        <v>3.508460355379234</v>
      </c>
      <c r="BF95" s="54">
        <f t="shared" si="68"/>
        <v>4.39814613545782E-2</v>
      </c>
      <c r="BG95" s="54">
        <f t="shared" si="95"/>
        <v>1.5701184494453413</v>
      </c>
      <c r="BI95" s="66">
        <v>45183.958333333336</v>
      </c>
      <c r="BJ95" s="67">
        <v>7.3342412991595607E-2</v>
      </c>
      <c r="BK95" s="68">
        <v>1.3790541089999999</v>
      </c>
      <c r="BL95" s="68">
        <v>7870</v>
      </c>
      <c r="BM95" s="68">
        <f t="shared" si="96"/>
        <v>131.16666666666666</v>
      </c>
      <c r="BN95" s="68">
        <f t="shared" si="69"/>
        <v>9.6200798373976237</v>
      </c>
      <c r="BO95" s="69">
        <f t="shared" si="97"/>
        <v>112.54240468732938</v>
      </c>
      <c r="BP95" s="69">
        <f t="shared" si="98"/>
        <v>0.93285209191610496</v>
      </c>
      <c r="BQ95" s="69">
        <f t="shared" si="99"/>
        <v>104.98541764184407</v>
      </c>
      <c r="BR95" s="69">
        <f t="shared" si="70"/>
        <v>0.80980868914824389</v>
      </c>
      <c r="BS95" s="69">
        <f t="shared" si="100"/>
        <v>91.137817213437387</v>
      </c>
      <c r="CC95" s="87">
        <v>45048.208333333336</v>
      </c>
      <c r="CD95" s="109">
        <v>5.8218619343655999E-2</v>
      </c>
      <c r="CE95" s="88">
        <v>85.762083380000007</v>
      </c>
      <c r="CF95" s="89">
        <v>5027</v>
      </c>
      <c r="CG95" s="90">
        <f t="shared" si="101"/>
        <v>83.783333333333331</v>
      </c>
      <c r="CH95" s="91">
        <f t="shared" si="102"/>
        <v>4.8777499906759783</v>
      </c>
      <c r="CI95" s="91">
        <f t="shared" si="103"/>
        <v>80.700216501286377</v>
      </c>
      <c r="CK95" s="93">
        <v>45050.208333333336</v>
      </c>
      <c r="CL95">
        <v>0.10742198420841501</v>
      </c>
      <c r="CM95" s="95">
        <v>110.9974619</v>
      </c>
      <c r="CN95" s="4">
        <v>4319</v>
      </c>
      <c r="CO95" s="95">
        <f t="shared" si="104"/>
        <v>71.983333333333334</v>
      </c>
      <c r="CP95" s="94">
        <f t="shared" si="105"/>
        <v>7.7325924966024067</v>
      </c>
      <c r="CQ95" s="96">
        <f t="shared" si="106"/>
        <v>101.1268328041553</v>
      </c>
      <c r="CS95" s="10">
        <v>45051.46875</v>
      </c>
      <c r="CT95" s="110">
        <v>9.2927327723139594E-2</v>
      </c>
      <c r="CU95" s="21">
        <v>95.138397370000007</v>
      </c>
      <c r="CV95" s="111">
        <v>3891</v>
      </c>
      <c r="CW95" s="21">
        <f t="shared" si="107"/>
        <v>64.849999999999994</v>
      </c>
      <c r="CX95" s="21">
        <f t="shared" si="108"/>
        <v>6.0263372028456024</v>
      </c>
      <c r="CY95" s="21">
        <f t="shared" si="109"/>
        <v>89.504682601837686</v>
      </c>
    </row>
    <row r="96" spans="1:103" x14ac:dyDescent="0.25">
      <c r="A96" s="8"/>
      <c r="B96" s="1"/>
      <c r="C96" s="1"/>
      <c r="H96" s="122" t="s">
        <v>54</v>
      </c>
      <c r="I96" s="123">
        <f>INDEX(F3:F94, MATCH(MAX(G3:G94), G3:G94, 0))</f>
        <v>4.8252724833329532</v>
      </c>
      <c r="K96" s="124">
        <f>AVERAGE(F3:F60)</f>
        <v>3.499115446604314E-3</v>
      </c>
      <c r="M96" s="25">
        <v>44781.969444444447</v>
      </c>
      <c r="N96" s="26">
        <v>4.2240790635549898E-3</v>
      </c>
      <c r="O96" s="27">
        <v>3.3236783504999998</v>
      </c>
      <c r="P96" s="28">
        <v>1326</v>
      </c>
      <c r="Q96" s="29">
        <f t="shared" si="76"/>
        <v>22.1</v>
      </c>
      <c r="R96" s="26">
        <f t="shared" si="62"/>
        <v>9.3352147304565286E-2</v>
      </c>
      <c r="S96" s="29">
        <f t="shared" si="77"/>
        <v>11.628493871820435</v>
      </c>
      <c r="T96" s="29">
        <f t="shared" si="78"/>
        <v>6.6124958992052493E-2</v>
      </c>
      <c r="U96" s="126">
        <f t="shared" si="79"/>
        <v>0.76893368041346</v>
      </c>
      <c r="V96" s="128">
        <f>IF((R96-$W$102)/($U$101-$W$102)&lt;0, 0, IF((R96-$W$102)/($U$101-$W$102)&gt;1, 1, (R96-$W$102)/($U$101-$W$102)))</f>
        <v>2.4084449364898845E-2</v>
      </c>
      <c r="W96" s="126">
        <f t="shared" si="80"/>
        <v>0.28006587184589576</v>
      </c>
      <c r="Y96" s="35">
        <v>45136.958333333336</v>
      </c>
      <c r="Z96" s="71">
        <v>8.0316100528620808E-3</v>
      </c>
      <c r="AA96" s="70">
        <v>1.654461261</v>
      </c>
      <c r="AB96" s="36">
        <v>4394</v>
      </c>
      <c r="AC96" s="37">
        <f t="shared" si="81"/>
        <v>73.233333333333334</v>
      </c>
      <c r="AD96" s="37">
        <f t="shared" si="63"/>
        <v>0.58818157620459977</v>
      </c>
      <c r="AE96" s="38">
        <f t="shared" si="82"/>
        <v>28.640680563368452</v>
      </c>
      <c r="AF96" s="38">
        <f t="shared" si="83"/>
        <v>3.5635315223632176E-2</v>
      </c>
      <c r="AG96" s="38">
        <f t="shared" si="84"/>
        <v>1.02061968009499</v>
      </c>
      <c r="AH96" s="38">
        <f t="shared" si="110"/>
        <v>2.8254247188641373E-2</v>
      </c>
      <c r="AI96" s="38">
        <f t="shared" si="85"/>
        <v>0.80922086828832873</v>
      </c>
      <c r="AK96" s="45">
        <v>45151.96875</v>
      </c>
      <c r="AL96" s="4">
        <v>4.5972659347956199E-3</v>
      </c>
      <c r="AM96" s="3">
        <v>1.091323134</v>
      </c>
      <c r="AN96" s="4">
        <v>1089</v>
      </c>
      <c r="AO96" s="46">
        <f t="shared" si="86"/>
        <v>18.149999999999999</v>
      </c>
      <c r="AP96" s="47">
        <f t="shared" si="65"/>
        <v>8.344037671654049E-2</v>
      </c>
      <c r="AQ96" s="50">
        <f t="shared" si="87"/>
        <v>11.006558477905832</v>
      </c>
      <c r="AR96" s="50">
        <f t="shared" si="88"/>
        <v>0.26444710312364184</v>
      </c>
      <c r="AS96" s="50">
        <f t="shared" si="89"/>
        <v>2.9106525048431577</v>
      </c>
      <c r="AT96" s="50">
        <f t="shared" si="66"/>
        <v>0</v>
      </c>
      <c r="AU96" s="50">
        <f t="shared" si="90"/>
        <v>0</v>
      </c>
      <c r="AW96" s="51">
        <v>45166.96875</v>
      </c>
      <c r="AX96" s="72">
        <v>1.02421598377785E-2</v>
      </c>
      <c r="AY96" s="73">
        <v>0.475692385</v>
      </c>
      <c r="AZ96" s="52">
        <v>3708</v>
      </c>
      <c r="BA96" s="53">
        <f t="shared" si="91"/>
        <v>61.8</v>
      </c>
      <c r="BB96" s="72">
        <f t="shared" si="67"/>
        <v>0.63296547797471125</v>
      </c>
      <c r="BC96" s="54">
        <f t="shared" si="92"/>
        <v>29.688577585078416</v>
      </c>
      <c r="BD96" s="54">
        <f t="shared" si="93"/>
        <v>5.1697819266503769E-2</v>
      </c>
      <c r="BE96" s="54">
        <f t="shared" si="94"/>
        <v>1.5348347182729589</v>
      </c>
      <c r="BF96" s="54">
        <f t="shared" si="68"/>
        <v>0</v>
      </c>
      <c r="BG96" s="54">
        <f t="shared" si="95"/>
        <v>0</v>
      </c>
      <c r="BI96" s="66">
        <v>45183.96875</v>
      </c>
      <c r="BJ96" s="67">
        <v>6.63745645184151E-2</v>
      </c>
      <c r="BK96" s="68">
        <v>1.5809633519999999</v>
      </c>
      <c r="BL96" s="68">
        <v>7717</v>
      </c>
      <c r="BM96" s="68">
        <f t="shared" si="96"/>
        <v>128.61666666666667</v>
      </c>
      <c r="BN96" s="68">
        <f t="shared" si="69"/>
        <v>8.5368752398101559</v>
      </c>
      <c r="BO96" s="69">
        <f t="shared" si="97"/>
        <v>106.14772263372836</v>
      </c>
      <c r="BP96" s="69">
        <f t="shared" si="98"/>
        <v>1</v>
      </c>
      <c r="BQ96" s="69">
        <f t="shared" si="99"/>
        <v>106.14772263372836</v>
      </c>
      <c r="BR96" s="69">
        <f t="shared" si="70"/>
        <v>0.71709168196949558</v>
      </c>
      <c r="BS96" s="69">
        <f t="shared" si="100"/>
        <v>76.117648960651763</v>
      </c>
      <c r="CC96" s="87">
        <v>45048.21875</v>
      </c>
      <c r="CD96" s="109">
        <v>5.6562753387459398E-2</v>
      </c>
      <c r="CE96" s="88">
        <v>87.915213519999995</v>
      </c>
      <c r="CF96" s="89">
        <v>4917</v>
      </c>
      <c r="CG96" s="90">
        <f t="shared" si="101"/>
        <v>81.95</v>
      </c>
      <c r="CH96" s="91">
        <f t="shared" si="102"/>
        <v>4.635317640102298</v>
      </c>
      <c r="CI96" s="91">
        <f t="shared" si="103"/>
        <v>78.710509537231189</v>
      </c>
      <c r="CK96" s="93">
        <v>45050.21875</v>
      </c>
      <c r="CL96">
        <v>8.2221809300291507E-2</v>
      </c>
      <c r="CM96" s="95">
        <v>109.01829240000001</v>
      </c>
      <c r="CN96" s="4">
        <v>4309</v>
      </c>
      <c r="CO96" s="95">
        <f t="shared" si="104"/>
        <v>71.816666666666663</v>
      </c>
      <c r="CP96" s="94">
        <f t="shared" si="105"/>
        <v>5.9048962712492683</v>
      </c>
      <c r="CQ96" s="96">
        <f t="shared" si="106"/>
        <v>88.616836602522028</v>
      </c>
      <c r="CS96" s="10">
        <v>45051.479166666664</v>
      </c>
      <c r="CT96" s="110">
        <v>0.10403863509563099</v>
      </c>
      <c r="CU96" s="21">
        <v>98.474887140000007</v>
      </c>
      <c r="CV96" s="111">
        <v>3829</v>
      </c>
      <c r="CW96" s="21">
        <f t="shared" si="107"/>
        <v>63.81666666666667</v>
      </c>
      <c r="CX96" s="21">
        <f t="shared" si="108"/>
        <v>6.6393988963528514</v>
      </c>
      <c r="CY96" s="21">
        <f t="shared" si="109"/>
        <v>93.853408017893173</v>
      </c>
    </row>
    <row r="97" spans="1:103" x14ac:dyDescent="0.25">
      <c r="A97" s="8"/>
      <c r="B97" s="1"/>
      <c r="C97" s="1"/>
      <c r="K97" s="124">
        <f>_xlfn.PERCENTILE.INC(F3:F94, 0.1)</f>
        <v>2.5330927506875501E-3</v>
      </c>
      <c r="M97" s="25">
        <v>44781.979861111111</v>
      </c>
      <c r="N97" s="26">
        <v>4.0585551869587099E-3</v>
      </c>
      <c r="O97" s="27">
        <v>3.2549971329999998</v>
      </c>
      <c r="P97" s="28">
        <v>1281</v>
      </c>
      <c r="Q97" s="29">
        <f t="shared" si="76"/>
        <v>21.35</v>
      </c>
      <c r="R97" s="26">
        <f t="shared" si="62"/>
        <v>8.6650153241568467E-2</v>
      </c>
      <c r="S97" s="29">
        <f t="shared" si="77"/>
        <v>11.211900529191803</v>
      </c>
      <c r="T97" s="29">
        <f t="shared" si="78"/>
        <v>6.3888866644335046E-2</v>
      </c>
      <c r="U97" s="126">
        <f t="shared" si="79"/>
        <v>0.7163156177390847</v>
      </c>
      <c r="V97" s="128">
        <f>IF((R97-$W$102)/($U$101-$W$102)&lt;0, 0, IF((R97-$W$102)/($U$101-$W$102)&gt;1, 1, (R97-$W$102)/($U$101-$W$102)))</f>
        <v>2.0687186801177138E-2</v>
      </c>
      <c r="W97" s="126">
        <f t="shared" si="80"/>
        <v>0.23194268064360765</v>
      </c>
      <c r="Y97" s="35">
        <v>45136.96875</v>
      </c>
      <c r="Z97" s="71">
        <v>7.2991931379905702E-3</v>
      </c>
      <c r="AA97" s="70">
        <v>1.4444654269999999</v>
      </c>
      <c r="AB97" s="36">
        <v>3944</v>
      </c>
      <c r="AC97" s="37">
        <f t="shared" si="81"/>
        <v>65.733333333333334</v>
      </c>
      <c r="AD97" s="37">
        <f t="shared" si="63"/>
        <v>0.47980029560391346</v>
      </c>
      <c r="AE97" s="38">
        <f t="shared" si="82"/>
        <v>25.922024993699843</v>
      </c>
      <c r="AF97" s="38">
        <f t="shared" si="83"/>
        <v>2.4675109726830919E-2</v>
      </c>
      <c r="AG97" s="38">
        <f t="shared" si="84"/>
        <v>0.63962881106119718</v>
      </c>
      <c r="AH97" s="38">
        <f t="shared" si="110"/>
        <v>0</v>
      </c>
      <c r="AI97" s="38">
        <f t="shared" si="85"/>
        <v>0</v>
      </c>
      <c r="AK97" s="45">
        <v>45151.979166666664</v>
      </c>
      <c r="AL97" s="4">
        <v>5.7985926547394996E-3</v>
      </c>
      <c r="AM97" s="3">
        <v>1.200201638</v>
      </c>
      <c r="AN97" s="4">
        <v>1231</v>
      </c>
      <c r="AO97" s="46">
        <f t="shared" si="86"/>
        <v>20.516666666666666</v>
      </c>
      <c r="AP97" s="47">
        <f t="shared" si="65"/>
        <v>0.11896779263307206</v>
      </c>
      <c r="AQ97" s="50">
        <f t="shared" si="87"/>
        <v>13.094573920461817</v>
      </c>
      <c r="AR97" s="50">
        <f t="shared" si="88"/>
        <v>0.32367228088992694</v>
      </c>
      <c r="AS97" s="50">
        <f t="shared" si="89"/>
        <v>4.2383506081176296</v>
      </c>
      <c r="AT97" s="50">
        <f t="shared" si="66"/>
        <v>0</v>
      </c>
      <c r="AU97" s="50">
        <f t="shared" si="90"/>
        <v>0</v>
      </c>
      <c r="AW97" s="51">
        <v>45166.979166666664</v>
      </c>
      <c r="AX97" s="72">
        <v>1.3324224432231699E-2</v>
      </c>
      <c r="AY97" s="73">
        <v>0.475692385</v>
      </c>
      <c r="AZ97" s="52">
        <v>3555</v>
      </c>
      <c r="BA97" s="53">
        <f t="shared" si="91"/>
        <v>59.25</v>
      </c>
      <c r="BB97" s="72">
        <f t="shared" si="67"/>
        <v>0.78946029760972813</v>
      </c>
      <c r="BC97" s="54">
        <f t="shared" si="92"/>
        <v>33.08081782499211</v>
      </c>
      <c r="BD97" s="54">
        <f t="shared" si="93"/>
        <v>5.1697819266503769E-2</v>
      </c>
      <c r="BE97" s="54">
        <f t="shared" si="94"/>
        <v>1.7102061411045784</v>
      </c>
      <c r="BF97" s="54">
        <f t="shared" si="68"/>
        <v>2.2747531927822015E-2</v>
      </c>
      <c r="BG97" s="54">
        <f t="shared" si="95"/>
        <v>0.75250695967247161</v>
      </c>
      <c r="BI97" s="66">
        <v>45183.979166666664</v>
      </c>
      <c r="BJ97" s="67">
        <v>6.8756285186304805E-2</v>
      </c>
      <c r="BK97" s="68">
        <v>1.4444654269999999</v>
      </c>
      <c r="BL97" s="68">
        <v>8444</v>
      </c>
      <c r="BM97" s="68">
        <f t="shared" si="96"/>
        <v>140.73333333333332</v>
      </c>
      <c r="BN97" s="68">
        <f t="shared" si="69"/>
        <v>9.6763012018859627</v>
      </c>
      <c r="BO97" s="69">
        <f t="shared" si="97"/>
        <v>112.86400971102771</v>
      </c>
      <c r="BP97" s="69">
        <f t="shared" si="98"/>
        <v>1</v>
      </c>
      <c r="BQ97" s="69">
        <f t="shared" si="99"/>
        <v>112.86400971102771</v>
      </c>
      <c r="BR97" s="69">
        <f t="shared" si="70"/>
        <v>0.81462096253267569</v>
      </c>
      <c r="BS97" s="69">
        <f t="shared" si="100"/>
        <v>91.941388226094645</v>
      </c>
      <c r="CC97" s="87">
        <v>45048.229166666664</v>
      </c>
      <c r="CD97" s="109">
        <v>5.3881482007732302E-2</v>
      </c>
      <c r="CE97" s="88">
        <v>87.058386479999996</v>
      </c>
      <c r="CF97" s="89">
        <v>5173</v>
      </c>
      <c r="CG97" s="90">
        <f t="shared" si="101"/>
        <v>86.216666666666669</v>
      </c>
      <c r="CH97" s="91">
        <f t="shared" si="102"/>
        <v>4.6454817737666536</v>
      </c>
      <c r="CI97" s="91">
        <f t="shared" si="103"/>
        <v>78.794981175166939</v>
      </c>
      <c r="CK97" s="93">
        <v>45050.229166666664</v>
      </c>
      <c r="CL97">
        <v>8.1388670504260005E-2</v>
      </c>
      <c r="CM97" s="95">
        <v>107.8236938</v>
      </c>
      <c r="CN97" s="4">
        <v>4463</v>
      </c>
      <c r="CO97" s="95">
        <f t="shared" si="104"/>
        <v>74.38333333333334</v>
      </c>
      <c r="CP97" s="94">
        <f t="shared" si="105"/>
        <v>6.0539606076752071</v>
      </c>
      <c r="CQ97" s="96">
        <f t="shared" si="106"/>
        <v>89.705357283736475</v>
      </c>
      <c r="CS97" s="10">
        <v>45051.489583333336</v>
      </c>
      <c r="CT97" s="110">
        <v>0.10769810020982699</v>
      </c>
      <c r="CU97" s="21">
        <v>90.915794009999999</v>
      </c>
      <c r="CV97" s="111">
        <v>4046</v>
      </c>
      <c r="CW97" s="21">
        <f t="shared" si="107"/>
        <v>67.433333333333337</v>
      </c>
      <c r="CX97" s="21">
        <f t="shared" si="108"/>
        <v>7.2624418908160004</v>
      </c>
      <c r="CY97" s="21">
        <f t="shared" si="109"/>
        <v>98.067651810767472</v>
      </c>
    </row>
    <row r="98" spans="1:103" x14ac:dyDescent="0.25">
      <c r="A98" s="8"/>
      <c r="B98" s="1"/>
      <c r="C98" s="1"/>
      <c r="M98" s="25">
        <v>44781.990277777775</v>
      </c>
      <c r="N98" s="26">
        <v>4.1262590136064998E-3</v>
      </c>
      <c r="O98" s="27">
        <v>3.3297358964999999</v>
      </c>
      <c r="P98" s="28">
        <v>1324</v>
      </c>
      <c r="Q98" s="29">
        <f t="shared" si="76"/>
        <v>22.066666666666666</v>
      </c>
      <c r="R98" s="26">
        <f t="shared" si="62"/>
        <v>9.1052782233583429E-2</v>
      </c>
      <c r="S98" s="29">
        <f t="shared" si="77"/>
        <v>11.487340197684183</v>
      </c>
      <c r="T98" s="29">
        <f t="shared" si="78"/>
        <v>6.6322177864250653E-2</v>
      </c>
      <c r="U98" s="126">
        <f t="shared" si="79"/>
        <v>0.76186541977796662</v>
      </c>
      <c r="V98" s="128">
        <f>IF((R98-$W$102)/($U$101-$W$102)&lt;0, 0, IF((R98-$W$102)/($U$101-$W$102)&gt;1, 1, (R98-$W$102)/($U$101-$W$102)))</f>
        <v>2.2918893740326567E-2</v>
      </c>
      <c r="W98" s="126">
        <f t="shared" si="80"/>
        <v>0.26327712934970576</v>
      </c>
      <c r="Y98" s="35">
        <v>45136.979166666664</v>
      </c>
      <c r="Z98" s="71">
        <v>7.3404619826555198E-3</v>
      </c>
      <c r="AA98" s="70">
        <v>1.654461261</v>
      </c>
      <c r="AB98" s="36">
        <v>4270</v>
      </c>
      <c r="AC98" s="37">
        <f t="shared" si="81"/>
        <v>71.166666666666671</v>
      </c>
      <c r="AD98" s="37">
        <f t="shared" si="63"/>
        <v>0.52239621109898449</v>
      </c>
      <c r="AE98" s="38">
        <f t="shared" si="82"/>
        <v>27.024533240405859</v>
      </c>
      <c r="AF98" s="38">
        <f t="shared" si="83"/>
        <v>3.5635315223632176E-2</v>
      </c>
      <c r="AG98" s="38">
        <f t="shared" si="84"/>
        <v>0.9630277607933887</v>
      </c>
      <c r="AH98" s="38">
        <f t="shared" si="110"/>
        <v>1.0811925128469445E-2</v>
      </c>
      <c r="AI98" s="38">
        <f t="shared" si="85"/>
        <v>0.2921872300271019</v>
      </c>
      <c r="AK98" s="45">
        <v>45151.989583333336</v>
      </c>
      <c r="AL98" s="4">
        <v>4.9418558586177396E-3</v>
      </c>
      <c r="AM98" s="3">
        <v>1.091323134</v>
      </c>
      <c r="AN98" s="4">
        <v>1249</v>
      </c>
      <c r="AO98" s="46">
        <f t="shared" si="86"/>
        <v>20.816666666666666</v>
      </c>
      <c r="AP98" s="47">
        <f t="shared" si="65"/>
        <v>0.10287296612355928</v>
      </c>
      <c r="AQ98" s="50">
        <f t="shared" si="87"/>
        <v>12.194879706571419</v>
      </c>
      <c r="AR98" s="50">
        <f t="shared" si="88"/>
        <v>0.26444710312364184</v>
      </c>
      <c r="AS98" s="50">
        <f t="shared" si="89"/>
        <v>3.2249006113440992</v>
      </c>
      <c r="AT98" s="50">
        <f t="shared" si="66"/>
        <v>0</v>
      </c>
      <c r="AU98" s="50">
        <f t="shared" si="90"/>
        <v>0</v>
      </c>
      <c r="AW98" s="51">
        <v>45166.989583333336</v>
      </c>
      <c r="AX98" s="72">
        <v>1.3544568633006999E-2</v>
      </c>
      <c r="AY98" s="73">
        <v>0.53201108200000002</v>
      </c>
      <c r="AZ98" s="52">
        <v>4299</v>
      </c>
      <c r="BA98" s="53">
        <f t="shared" si="91"/>
        <v>71.650000000000006</v>
      </c>
      <c r="BB98" s="72">
        <f t="shared" si="67"/>
        <v>0.97046834255495151</v>
      </c>
      <c r="BC98" s="54">
        <f t="shared" si="92"/>
        <v>36.599771247132161</v>
      </c>
      <c r="BD98" s="54">
        <f t="shared" si="93"/>
        <v>8.1847977202291131E-2</v>
      </c>
      <c r="BE98" s="54">
        <f t="shared" si="94"/>
        <v>2.9956172426443435</v>
      </c>
      <c r="BF98" s="54">
        <f t="shared" si="68"/>
        <v>5.1670369807137011E-2</v>
      </c>
      <c r="BG98" s="54">
        <f t="shared" si="95"/>
        <v>1.8911237151959388</v>
      </c>
      <c r="BI98" s="66">
        <v>45183.989583333336</v>
      </c>
      <c r="BJ98" s="67">
        <v>5.2860391631022803E-2</v>
      </c>
      <c r="BK98" s="68">
        <v>1.091323134</v>
      </c>
      <c r="BL98" s="68">
        <v>8972</v>
      </c>
      <c r="BM98" s="68">
        <f t="shared" si="96"/>
        <v>149.53333333333333</v>
      </c>
      <c r="BN98" s="68">
        <f t="shared" si="69"/>
        <v>7.9043905618922761</v>
      </c>
      <c r="BO98" s="69">
        <f t="shared" si="97"/>
        <v>102.22091020609001</v>
      </c>
      <c r="BP98" s="69">
        <f t="shared" si="98"/>
        <v>0.6374822132325797</v>
      </c>
      <c r="BQ98" s="69">
        <f t="shared" si="99"/>
        <v>65.164012076827049</v>
      </c>
      <c r="BR98" s="69">
        <f t="shared" si="70"/>
        <v>0.66295409193934884</v>
      </c>
      <c r="BS98" s="69">
        <f t="shared" si="100"/>
        <v>67.767770702892122</v>
      </c>
      <c r="CC98" s="87">
        <v>45048.239583333336</v>
      </c>
      <c r="CD98" s="109">
        <v>5.1844132465842699E-2</v>
      </c>
      <c r="CE98" s="88">
        <v>86.199962600000006</v>
      </c>
      <c r="CF98" s="89">
        <v>5410</v>
      </c>
      <c r="CG98" s="90">
        <f t="shared" si="101"/>
        <v>90.166666666666671</v>
      </c>
      <c r="CH98" s="91">
        <f t="shared" si="102"/>
        <v>4.6746126106701507</v>
      </c>
      <c r="CI98" s="91">
        <f t="shared" si="103"/>
        <v>79.036559311057331</v>
      </c>
      <c r="CK98" s="93">
        <v>45050.239583333336</v>
      </c>
      <c r="CL98">
        <v>9.0531815948286895E-2</v>
      </c>
      <c r="CM98" s="95">
        <v>113.3477233</v>
      </c>
      <c r="CN98" s="4">
        <v>4326</v>
      </c>
      <c r="CO98" s="95">
        <f t="shared" si="104"/>
        <v>72.099999999999994</v>
      </c>
      <c r="CP98" s="94">
        <f t="shared" si="105"/>
        <v>6.5273439298714848</v>
      </c>
      <c r="CQ98" s="96">
        <f t="shared" si="106"/>
        <v>93.074359240155488</v>
      </c>
      <c r="CS98" s="10">
        <v>45051.5</v>
      </c>
      <c r="CT98" s="110">
        <v>0.113356883921284</v>
      </c>
      <c r="CU98" s="21">
        <v>101.3564556</v>
      </c>
      <c r="CV98" s="111">
        <v>3656</v>
      </c>
      <c r="CW98" s="21">
        <f t="shared" si="107"/>
        <v>60.93333333333333</v>
      </c>
      <c r="CX98" s="21">
        <f t="shared" si="108"/>
        <v>6.9072127936035717</v>
      </c>
      <c r="CY98" s="21">
        <f t="shared" si="109"/>
        <v>95.688597969416961</v>
      </c>
    </row>
    <row r="99" spans="1:103" x14ac:dyDescent="0.25">
      <c r="M99" s="25">
        <v>44782.000694444447</v>
      </c>
      <c r="N99" s="26">
        <v>4.8494832153276202E-3</v>
      </c>
      <c r="O99" s="27">
        <v>3.3683360045000001</v>
      </c>
      <c r="P99" s="28">
        <v>1362</v>
      </c>
      <c r="Q99" s="29">
        <f t="shared" si="76"/>
        <v>22.7</v>
      </c>
      <c r="R99" s="26">
        <f t="shared" ref="R99" si="111">Q99*N99</f>
        <v>0.11008326898793698</v>
      </c>
      <c r="S99" s="29">
        <f t="shared" si="77"/>
        <v>12.606209548605374</v>
      </c>
      <c r="T99" s="29">
        <f t="shared" si="78"/>
        <v>6.7578902908763241E-2</v>
      </c>
      <c r="U99" s="126">
        <f t="shared" si="79"/>
        <v>0.85191381113272668</v>
      </c>
      <c r="V99" s="128">
        <f>IF((R99-$W$102)/($U$101-$W$102)&lt;0, 0, IF((R99-$W$102)/($U$101-$W$102)&gt;1, 1, (R99-$W$102)/($U$101-$W$102)))</f>
        <v>3.2565509301644736E-2</v>
      </c>
      <c r="W99" s="126">
        <f t="shared" si="80"/>
        <v>0.41052763431359102</v>
      </c>
      <c r="Y99" s="35">
        <v>45136.989583333336</v>
      </c>
      <c r="Z99" s="71">
        <v>8.1048084086548008E-3</v>
      </c>
      <c r="AA99" s="70">
        <v>1.729502407</v>
      </c>
      <c r="AB99" s="36">
        <v>4299</v>
      </c>
      <c r="AC99" s="37">
        <f t="shared" si="81"/>
        <v>71.650000000000006</v>
      </c>
      <c r="AD99" s="37">
        <f t="shared" si="63"/>
        <v>0.58070952248011654</v>
      </c>
      <c r="AE99" s="38">
        <f t="shared" si="82"/>
        <v>28.461926274567773</v>
      </c>
      <c r="AF99" s="38">
        <f t="shared" si="83"/>
        <v>3.9551899496801449E-2</v>
      </c>
      <c r="AG99" s="38">
        <f t="shared" si="84"/>
        <v>1.1257232474970771</v>
      </c>
      <c r="AH99" s="38">
        <f t="shared" si="110"/>
        <v>2.6273107959511838E-2</v>
      </c>
      <c r="AI99" s="38">
        <f t="shared" si="85"/>
        <v>0.74778326174738563</v>
      </c>
      <c r="AK99" s="45">
        <v>45152</v>
      </c>
      <c r="AL99" s="4">
        <v>3.7873648888279501E-3</v>
      </c>
      <c r="AM99" s="3">
        <v>0.85462156099999997</v>
      </c>
      <c r="AN99" s="4">
        <v>958</v>
      </c>
      <c r="AO99" s="46">
        <f t="shared" si="86"/>
        <v>15.966666666666667</v>
      </c>
      <c r="AP99" s="47">
        <f t="shared" ref="AP99" si="112">AO99*AL99</f>
        <v>6.0471592724952936E-2</v>
      </c>
      <c r="AQ99" s="50">
        <f t="shared" si="87"/>
        <v>9.4011139527273802</v>
      </c>
      <c r="AR99" s="50">
        <f t="shared" si="88"/>
        <v>0.13569172696156384</v>
      </c>
      <c r="AS99" s="50">
        <f t="shared" si="89"/>
        <v>1.2756533876080318</v>
      </c>
      <c r="AT99" s="50">
        <f>IF((AP99-$AU$101)/($AS$101-$AU$101)&lt;0, 0, IF((AP99-$AU$101)/($AS$101-$AU$101)&gt;1, 1, (AP99-$AU$101)/($AS$101-$AU$101)))</f>
        <v>0</v>
      </c>
      <c r="AU99" s="50">
        <f t="shared" si="90"/>
        <v>0</v>
      </c>
      <c r="AW99" s="51">
        <v>45167</v>
      </c>
      <c r="AX99" s="72">
        <v>9.7988975464284207E-3</v>
      </c>
      <c r="AY99" s="73">
        <v>0.475692385</v>
      </c>
      <c r="AZ99" s="52">
        <v>3616</v>
      </c>
      <c r="BA99" s="53">
        <f t="shared" si="91"/>
        <v>60.266666666666666</v>
      </c>
      <c r="BB99" s="72">
        <f t="shared" ref="BB99" si="113">BA99*AX99</f>
        <v>0.59054689213141953</v>
      </c>
      <c r="BC99" s="54">
        <f t="shared" si="92"/>
        <v>28.697024376637046</v>
      </c>
      <c r="BD99" s="54">
        <f t="shared" si="93"/>
        <v>5.1697819266503769E-2</v>
      </c>
      <c r="BE99" s="54">
        <f t="shared" si="94"/>
        <v>1.4835735797098351</v>
      </c>
      <c r="BF99" s="54">
        <f>IF((BB99-$BG$101)/($BE$101-$BG$101)&lt;0, 0, IF((BB99-$BG$101)/($BE$101-$BG$101)&gt;1, 1, (BB99-$BG$101)/($BE$101-$BG$101)))</f>
        <v>0</v>
      </c>
      <c r="BG99" s="54">
        <f t="shared" si="95"/>
        <v>0</v>
      </c>
      <c r="BI99" s="66">
        <v>45184</v>
      </c>
      <c r="BJ99" s="67">
        <v>4.6886027111684499E-2</v>
      </c>
      <c r="BK99" s="68">
        <v>1.091323134</v>
      </c>
      <c r="BL99" s="68">
        <v>9081</v>
      </c>
      <c r="BM99" s="68">
        <f t="shared" si="96"/>
        <v>151.35</v>
      </c>
      <c r="BN99" s="68">
        <f t="shared" ref="BN99" si="114">BM99*BJ99</f>
        <v>7.0962002033534484</v>
      </c>
      <c r="BO99" s="69">
        <f t="shared" si="97"/>
        <v>96.961864078761835</v>
      </c>
      <c r="BP99" s="69">
        <f t="shared" si="98"/>
        <v>0.6374822132325797</v>
      </c>
      <c r="BQ99" s="69">
        <f t="shared" si="99"/>
        <v>61.811463712085661</v>
      </c>
      <c r="BR99" s="69">
        <f>IF((BN99-$BS$101)/($BQ$101-$BS$101)&lt;0, 0, IF((BN99-$BS$101)/($BQ$101-$BS$101)&gt;1, 1, (BN99-$BS$101)/($BQ$101-$BS$101)))</f>
        <v>0.59377695639050454</v>
      </c>
      <c r="BS99" s="69">
        <f t="shared" si="100"/>
        <v>57.573720538636998</v>
      </c>
      <c r="CC99" s="87">
        <v>45048.25</v>
      </c>
      <c r="CD99" s="109">
        <v>5.2616185150752101E-2</v>
      </c>
      <c r="CE99" s="88">
        <v>87.915213519999995</v>
      </c>
      <c r="CF99" s="89">
        <v>5318</v>
      </c>
      <c r="CG99" s="90">
        <f t="shared" si="101"/>
        <v>88.63333333333334</v>
      </c>
      <c r="CH99" s="91">
        <f t="shared" si="102"/>
        <v>4.6635478771949952</v>
      </c>
      <c r="CI99" s="91">
        <f t="shared" si="103"/>
        <v>78.944891685831678</v>
      </c>
      <c r="CK99" s="93">
        <v>45050.25</v>
      </c>
      <c r="CL99">
        <v>8.6593569944977494E-2</v>
      </c>
      <c r="CM99" s="95">
        <v>116.4455014</v>
      </c>
      <c r="CN99" s="4">
        <v>4392</v>
      </c>
      <c r="CO99" s="95">
        <f t="shared" si="104"/>
        <v>73.2</v>
      </c>
      <c r="CP99" s="94">
        <f t="shared" si="105"/>
        <v>6.3386493199723528</v>
      </c>
      <c r="CQ99" s="96">
        <f t="shared" si="106"/>
        <v>91.746897928617159</v>
      </c>
      <c r="CS99" s="10">
        <v>45051.510416666664</v>
      </c>
      <c r="CT99" s="110">
        <v>0.13438043402341099</v>
      </c>
      <c r="CU99" s="21">
        <v>95.977802339999997</v>
      </c>
      <c r="CV99" s="111">
        <v>3586</v>
      </c>
      <c r="CW99" s="21">
        <f t="shared" si="107"/>
        <v>59.766666666666666</v>
      </c>
      <c r="CX99" s="21">
        <f t="shared" si="108"/>
        <v>8.0314706067991963</v>
      </c>
      <c r="CY99" s="21">
        <f t="shared" si="109"/>
        <v>103.02241841356445</v>
      </c>
    </row>
    <row r="100" spans="1:103" x14ac:dyDescent="0.25">
      <c r="V100" s="129"/>
      <c r="Y100" s="35">
        <v>45137</v>
      </c>
      <c r="Z100" s="71">
        <v>7.3052188785446004E-3</v>
      </c>
      <c r="AA100" s="70">
        <v>1.511415151</v>
      </c>
      <c r="AB100" s="36">
        <v>3911</v>
      </c>
      <c r="AC100" s="37">
        <f t="shared" si="81"/>
        <v>65.183333333333337</v>
      </c>
      <c r="AD100" s="37">
        <f t="shared" si="63"/>
        <v>0.4761785172331322</v>
      </c>
      <c r="AE100" s="38">
        <f t="shared" si="82"/>
        <v>25.826018806095679</v>
      </c>
      <c r="AF100" s="38">
        <f t="shared" si="83"/>
        <v>2.8169382536995941E-2</v>
      </c>
      <c r="AG100" s="38">
        <f t="shared" si="84"/>
        <v>0.72750300315656036</v>
      </c>
      <c r="AH100" s="38">
        <f>IF((AD100-$AI$102)/($AG$102-$AI$102)&lt;0, 0, IF((AD100-$AI$102)/($AG$102-$AI$102)&gt;1, 1, (AD100-$AI$102)/($AG$102-$AI$102)))</f>
        <v>0</v>
      </c>
      <c r="AI100" s="38">
        <f t="shared" si="85"/>
        <v>0</v>
      </c>
      <c r="CC100" s="87">
        <v>45048.260416666664</v>
      </c>
      <c r="CD100" s="109">
        <v>5.2349656721349898E-2</v>
      </c>
      <c r="CE100" s="88">
        <v>84.460540300000005</v>
      </c>
      <c r="CF100" s="89">
        <v>5282</v>
      </c>
      <c r="CG100" s="90">
        <f t="shared" si="101"/>
        <v>88.033333333333331</v>
      </c>
      <c r="CH100" s="91">
        <f t="shared" si="102"/>
        <v>4.6085147800361694</v>
      </c>
      <c r="CI100" s="91">
        <f t="shared" si="103"/>
        <v>78.487303157563844</v>
      </c>
      <c r="CK100" s="93">
        <v>45050.260416666664</v>
      </c>
      <c r="CL100">
        <v>9.7450429602227995E-2</v>
      </c>
      <c r="CM100" s="95">
        <v>111.7853645</v>
      </c>
      <c r="CN100" s="4">
        <v>4401</v>
      </c>
      <c r="CO100" s="95">
        <f t="shared" si="104"/>
        <v>73.349999999999994</v>
      </c>
      <c r="CP100" s="94">
        <f t="shared" si="105"/>
        <v>7.147989011323423</v>
      </c>
      <c r="CQ100" s="96">
        <f t="shared" si="106"/>
        <v>97.30775138187532</v>
      </c>
      <c r="CS100" s="10">
        <v>45051.520833333336</v>
      </c>
      <c r="CT100" s="110">
        <v>0.11428642601559499</v>
      </c>
      <c r="CU100" s="21">
        <v>101.3564556</v>
      </c>
      <c r="CV100" s="111">
        <v>3720</v>
      </c>
      <c r="CW100" s="21">
        <f t="shared" si="107"/>
        <v>62</v>
      </c>
      <c r="CX100" s="21">
        <f t="shared" si="108"/>
        <v>7.0857584129668894</v>
      </c>
      <c r="CY100" s="21">
        <f t="shared" si="109"/>
        <v>96.891969528525919</v>
      </c>
    </row>
    <row r="101" spans="1:103" x14ac:dyDescent="0.25">
      <c r="T101" s="122" t="s">
        <v>54</v>
      </c>
      <c r="U101" s="123">
        <f>INDEX(R3:R99, MATCH(MAX(S3:S99), S3:S99, 0))</f>
        <v>2.0186022872812361</v>
      </c>
      <c r="V101" s="122" t="s">
        <v>55</v>
      </c>
      <c r="W101" s="124">
        <f>AVERAGE(R3:R56)</f>
        <v>6.4242824195454448E-2</v>
      </c>
      <c r="AR101" s="122" t="s">
        <v>54</v>
      </c>
      <c r="AS101" s="123">
        <f>INDEX(AP3:AP99, MATCH(MAX(AQ3:AQ99), AQ3:AQ99, 0))</f>
        <v>1.3834537968274923</v>
      </c>
      <c r="AT101" s="122" t="s">
        <v>55</v>
      </c>
      <c r="AU101" s="124">
        <f>AVERAGE(AP3:AP66)</f>
        <v>0.1207645062268953</v>
      </c>
      <c r="BD101" s="122" t="s">
        <v>54</v>
      </c>
      <c r="BE101" s="123">
        <f>INDEX(BB3:BB99, MATCH(MAX(BC3:BC99), BC3:BC99, 0))</f>
        <v>6.9054078198322166</v>
      </c>
      <c r="BF101" s="122" t="s">
        <v>55</v>
      </c>
      <c r="BG101" s="124">
        <f>AVERAGE(BB3:BB43)</f>
        <v>0.64709922298887113</v>
      </c>
      <c r="BP101" s="122" t="s">
        <v>54</v>
      </c>
      <c r="BQ101" s="123">
        <f>INDEX(BN3:BN99, MATCH(MAX(BO3:BO99), BO3:BO99, 0))</f>
        <v>11.842068106913624</v>
      </c>
      <c r="BR101" s="122" t="s">
        <v>55</v>
      </c>
      <c r="BS101" s="124">
        <f>AVERAGE(BN3:BN54)</f>
        <v>0.15915651876057563</v>
      </c>
      <c r="CC101" s="87">
        <v>45048.270833333336</v>
      </c>
      <c r="CD101" s="109">
        <v>5.0385986252861198E-2</v>
      </c>
      <c r="CE101" s="88">
        <v>88.350109630000006</v>
      </c>
      <c r="CF101" s="89">
        <v>5619</v>
      </c>
      <c r="CG101" s="90">
        <f t="shared" si="101"/>
        <v>93.65</v>
      </c>
      <c r="CH101" s="91">
        <f t="shared" si="102"/>
        <v>4.7186476125804511</v>
      </c>
      <c r="CI101" s="91">
        <f t="shared" si="103"/>
        <v>79.400281975333314</v>
      </c>
      <c r="CK101" s="93">
        <v>45050.270833333336</v>
      </c>
      <c r="CL101">
        <v>8.2204192890266994E-2</v>
      </c>
      <c r="CM101" s="95">
        <v>109.0251016</v>
      </c>
      <c r="CN101" s="4">
        <v>4457</v>
      </c>
      <c r="CO101" s="95">
        <f t="shared" si="104"/>
        <v>74.283333333333331</v>
      </c>
      <c r="CP101" s="94">
        <f t="shared" si="105"/>
        <v>6.1064014618653335</v>
      </c>
      <c r="CQ101" s="96">
        <f t="shared" si="106"/>
        <v>90.085040933887186</v>
      </c>
      <c r="CS101" s="10">
        <v>45051.53125</v>
      </c>
      <c r="CT101" s="110">
        <v>9.3030308060758404E-2</v>
      </c>
      <c r="CU101" s="21">
        <v>89.635700749999998</v>
      </c>
      <c r="CV101" s="111">
        <v>4336</v>
      </c>
      <c r="CW101" s="21">
        <f t="shared" si="107"/>
        <v>72.266666666666666</v>
      </c>
      <c r="CX101" s="21">
        <f t="shared" si="108"/>
        <v>6.7229902625241404</v>
      </c>
      <c r="CY101" s="21">
        <f t="shared" si="109"/>
        <v>94.430206681554665</v>
      </c>
    </row>
    <row r="102" spans="1:103" x14ac:dyDescent="0.25">
      <c r="W102" s="124">
        <f>_xlfn.PERCENTILE.INC(R3:R99, 0.1)</f>
        <v>4.5839235474379736E-2</v>
      </c>
      <c r="AF102" s="122" t="s">
        <v>54</v>
      </c>
      <c r="AG102" s="123">
        <f>INDEX(AD3:AD100, MATCH(MAX(AE3:AE100), AE3:AE100, 0))</f>
        <v>4.2532124658988861</v>
      </c>
      <c r="AH102" s="122" t="s">
        <v>55</v>
      </c>
      <c r="AI102" s="124">
        <f>AVERAGE(AD3:AD53)</f>
        <v>0.48161801427305523</v>
      </c>
      <c r="AU102" s="124">
        <f>_xlfn.PERCENTILE.INC(AP3:AP99, 0.1)</f>
        <v>6.5000864499156499E-2</v>
      </c>
      <c r="BG102" s="124">
        <f>_xlfn.PERCENTILE.INC(BB3:BB99, 0.1)</f>
        <v>0.37781192012713483</v>
      </c>
      <c r="BS102" s="124">
        <f>_xlfn.PERCENTILE.INC(BN3:BN99, 0.1)</f>
        <v>9.3764657066039495E-2</v>
      </c>
      <c r="CC102" s="87">
        <v>45048.28125</v>
      </c>
      <c r="CD102" s="109">
        <v>4.9499674707769302E-2</v>
      </c>
      <c r="CE102" s="88">
        <v>84.891986889999998</v>
      </c>
      <c r="CF102" s="89">
        <v>5262</v>
      </c>
      <c r="CG102" s="90">
        <f t="shared" si="101"/>
        <v>87.7</v>
      </c>
      <c r="CH102" s="91">
        <f t="shared" si="102"/>
        <v>4.341121471871368</v>
      </c>
      <c r="CI102" s="91">
        <f t="shared" si="103"/>
        <v>76.223214833757211</v>
      </c>
      <c r="CK102" s="93">
        <v>45050.28125</v>
      </c>
      <c r="CL102">
        <v>0.101095774562754</v>
      </c>
      <c r="CM102" s="95">
        <v>103.3988808</v>
      </c>
      <c r="CN102" s="4">
        <v>4269</v>
      </c>
      <c r="CO102" s="95">
        <f t="shared" si="104"/>
        <v>71.150000000000006</v>
      </c>
      <c r="CP102" s="94">
        <f t="shared" si="105"/>
        <v>7.1929643601399471</v>
      </c>
      <c r="CQ102" s="96">
        <f t="shared" si="106"/>
        <v>97.607096808186895</v>
      </c>
      <c r="CS102" s="10">
        <v>45051.541666666664</v>
      </c>
      <c r="CT102" s="110">
        <v>8.5312203573155901E-2</v>
      </c>
      <c r="CU102" s="21">
        <v>99.714355679999997</v>
      </c>
      <c r="CV102" s="111">
        <v>4289</v>
      </c>
      <c r="CW102" s="21">
        <f t="shared" si="107"/>
        <v>71.483333333333334</v>
      </c>
      <c r="CX102" s="21">
        <f t="shared" si="108"/>
        <v>6.0984006854210948</v>
      </c>
      <c r="CY102" s="21">
        <f t="shared" si="109"/>
        <v>90.027221368255411</v>
      </c>
    </row>
    <row r="103" spans="1:103" x14ac:dyDescent="0.25">
      <c r="AI103" s="124">
        <f>_xlfn.PERCENTILE.INC(AD3:AD100, 0.1)</f>
        <v>0.30201596985108997</v>
      </c>
      <c r="CC103" s="87">
        <v>45048.291666666664</v>
      </c>
      <c r="CD103" s="109">
        <v>5.4661558451575998E-2</v>
      </c>
      <c r="CE103" s="88">
        <v>84.891986889999998</v>
      </c>
      <c r="CF103" s="89">
        <v>5421</v>
      </c>
      <c r="CG103" s="90">
        <f t="shared" si="101"/>
        <v>90.35</v>
      </c>
      <c r="CH103" s="91">
        <f t="shared" si="102"/>
        <v>4.9386718060998911</v>
      </c>
      <c r="CI103" s="91">
        <f t="shared" si="103"/>
        <v>81.192234018365667</v>
      </c>
      <c r="CK103" s="93">
        <v>45050.291666666664</v>
      </c>
      <c r="CL103">
        <v>0.101128799611506</v>
      </c>
      <c r="CM103" s="95">
        <v>107.0292163</v>
      </c>
      <c r="CN103" s="4">
        <v>4289</v>
      </c>
      <c r="CO103" s="95">
        <f t="shared" si="104"/>
        <v>71.483333333333334</v>
      </c>
      <c r="CP103" s="94">
        <f t="shared" si="105"/>
        <v>7.2290236922291546</v>
      </c>
      <c r="CQ103" s="96">
        <f t="shared" si="106"/>
        <v>97.846410091869757</v>
      </c>
      <c r="CS103" s="10">
        <v>45051.552083333336</v>
      </c>
      <c r="CT103" s="110">
        <v>8.3470110812574605E-2</v>
      </c>
      <c r="CU103" s="21">
        <v>86.192545629999998</v>
      </c>
      <c r="CV103" s="111">
        <v>4451</v>
      </c>
      <c r="CW103" s="21">
        <f t="shared" si="107"/>
        <v>74.183333333333337</v>
      </c>
      <c r="CX103" s="21">
        <f t="shared" si="108"/>
        <v>6.1920910537794933</v>
      </c>
      <c r="CY103" s="21">
        <f t="shared" si="109"/>
        <v>90.701889658746708</v>
      </c>
    </row>
    <row r="104" spans="1:103" x14ac:dyDescent="0.25">
      <c r="CC104" s="87">
        <v>45048.302083333336</v>
      </c>
      <c r="CD104" s="109">
        <v>4.6483980321691799E-2</v>
      </c>
      <c r="CE104" s="88">
        <v>83.586986100000004</v>
      </c>
      <c r="CF104" s="89">
        <v>5647</v>
      </c>
      <c r="CG104" s="90">
        <f t="shared" si="101"/>
        <v>94.11666666666666</v>
      </c>
      <c r="CH104" s="91">
        <f t="shared" si="102"/>
        <v>4.3749172812765593</v>
      </c>
      <c r="CI104" s="91">
        <f t="shared" si="103"/>
        <v>76.513228277851653</v>
      </c>
      <c r="CK104" s="93">
        <v>45050.302083333336</v>
      </c>
      <c r="CL104">
        <v>8.7004751600331304E-2</v>
      </c>
      <c r="CM104" s="95">
        <v>110.60554279999999</v>
      </c>
      <c r="CN104" s="4">
        <v>4308</v>
      </c>
      <c r="CO104" s="95">
        <f t="shared" si="104"/>
        <v>71.8</v>
      </c>
      <c r="CP104" s="94">
        <f t="shared" si="105"/>
        <v>6.2469411649037871</v>
      </c>
      <c r="CQ104" s="96">
        <f t="shared" si="106"/>
        <v>91.094451698623004</v>
      </c>
      <c r="CS104" s="10">
        <v>45051.5625</v>
      </c>
      <c r="CT104" s="110">
        <v>9.72560778149507E-2</v>
      </c>
      <c r="CU104" s="21">
        <v>100.5402337</v>
      </c>
      <c r="CV104" s="111">
        <v>4138</v>
      </c>
      <c r="CW104" s="21">
        <f t="shared" si="107"/>
        <v>68.966666666666669</v>
      </c>
      <c r="CX104" s="21">
        <f t="shared" si="108"/>
        <v>6.7074274999711001</v>
      </c>
      <c r="CY104" s="21">
        <f t="shared" si="109"/>
        <v>94.323098662623849</v>
      </c>
    </row>
    <row r="105" spans="1:103" x14ac:dyDescent="0.25">
      <c r="CC105" s="87">
        <v>45048.3125</v>
      </c>
      <c r="CD105" s="109">
        <v>5.30868746243085E-2</v>
      </c>
      <c r="CE105" s="88">
        <v>84.891986889999998</v>
      </c>
      <c r="CF105" s="89">
        <v>5307</v>
      </c>
      <c r="CG105" s="90">
        <f t="shared" si="101"/>
        <v>88.45</v>
      </c>
      <c r="CH105" s="91">
        <f t="shared" si="102"/>
        <v>4.695534060520087</v>
      </c>
      <c r="CI105" s="91">
        <f t="shared" si="103"/>
        <v>79.209584438192763</v>
      </c>
      <c r="CK105" s="93">
        <v>45050.3125</v>
      </c>
      <c r="CL105">
        <v>9.0428473747536806E-2</v>
      </c>
      <c r="CM105" s="95">
        <v>104.61473460000001</v>
      </c>
      <c r="CN105" s="4">
        <v>4351</v>
      </c>
      <c r="CO105" s="95">
        <f t="shared" si="104"/>
        <v>72.516666666666666</v>
      </c>
      <c r="CP105" s="94">
        <f t="shared" si="105"/>
        <v>6.5575714879255438</v>
      </c>
      <c r="CQ105" s="96">
        <f t="shared" si="106"/>
        <v>93.28518052938378</v>
      </c>
      <c r="CS105" s="10">
        <v>45051.572916666664</v>
      </c>
      <c r="CT105" s="110">
        <v>8.7326172761078805E-2</v>
      </c>
      <c r="CU105" s="21">
        <v>93.877037450000003</v>
      </c>
      <c r="CV105" s="111">
        <v>4346</v>
      </c>
      <c r="CW105" s="21">
        <f t="shared" si="107"/>
        <v>72.433333333333337</v>
      </c>
      <c r="CX105" s="21">
        <f t="shared" si="108"/>
        <v>6.3253257803274749</v>
      </c>
      <c r="CY105" s="21">
        <f t="shared" si="109"/>
        <v>91.652409747644924</v>
      </c>
    </row>
    <row r="106" spans="1:103" x14ac:dyDescent="0.25">
      <c r="CC106" s="87">
        <v>45048.322916666664</v>
      </c>
      <c r="CD106" s="109">
        <v>5.1452142795135103E-2</v>
      </c>
      <c r="CE106" s="88">
        <v>84.460540300000005</v>
      </c>
      <c r="CF106" s="89">
        <v>5433</v>
      </c>
      <c r="CG106" s="90">
        <f t="shared" si="101"/>
        <v>90.55</v>
      </c>
      <c r="CH106" s="91">
        <f t="shared" si="102"/>
        <v>4.6589915300994837</v>
      </c>
      <c r="CI106" s="91">
        <f t="shared" si="103"/>
        <v>78.907111612121881</v>
      </c>
      <c r="CK106" s="93">
        <v>45050.322916666664</v>
      </c>
      <c r="CL106">
        <v>9.0630886500395996E-2</v>
      </c>
      <c r="CM106" s="95">
        <v>107.8305381</v>
      </c>
      <c r="CN106" s="4">
        <v>4294</v>
      </c>
      <c r="CO106" s="95">
        <f t="shared" si="104"/>
        <v>71.566666666666663</v>
      </c>
      <c r="CP106" s="94">
        <f t="shared" si="105"/>
        <v>6.4861504438783397</v>
      </c>
      <c r="CQ106" s="96">
        <f t="shared" si="106"/>
        <v>92.786252654080201</v>
      </c>
      <c r="CS106" s="10">
        <v>45051.583333333336</v>
      </c>
      <c r="CT106" s="110">
        <v>8.4677768324801395E-2</v>
      </c>
      <c r="CU106" s="21">
        <v>95.145588619999998</v>
      </c>
      <c r="CV106" s="111">
        <v>4402</v>
      </c>
      <c r="CW106" s="21">
        <f t="shared" si="107"/>
        <v>73.36666666666666</v>
      </c>
      <c r="CX106" s="21">
        <f t="shared" si="108"/>
        <v>6.2125256027629288</v>
      </c>
      <c r="CY106" s="21">
        <f t="shared" si="109"/>
        <v>90.848346252519647</v>
      </c>
    </row>
    <row r="107" spans="1:103" x14ac:dyDescent="0.25">
      <c r="CC107" s="87">
        <v>45048.333333333336</v>
      </c>
      <c r="CD107" s="109">
        <v>5.24608509325281E-2</v>
      </c>
      <c r="CE107" s="88">
        <v>82.711152870000006</v>
      </c>
      <c r="CF107" s="89">
        <v>5374</v>
      </c>
      <c r="CG107" s="90">
        <f t="shared" si="101"/>
        <v>89.566666666666663</v>
      </c>
      <c r="CH107" s="91">
        <f t="shared" si="102"/>
        <v>4.6987435485234332</v>
      </c>
      <c r="CI107" s="91">
        <f t="shared" si="103"/>
        <v>79.236092799347745</v>
      </c>
      <c r="CK107" s="93">
        <v>45050.333333333336</v>
      </c>
      <c r="CL107">
        <v>8.1982963684330404E-2</v>
      </c>
      <c r="CM107" s="95">
        <v>99.304680700000006</v>
      </c>
      <c r="CN107" s="4">
        <v>4322</v>
      </c>
      <c r="CO107" s="95">
        <f t="shared" si="104"/>
        <v>72.033333333333331</v>
      </c>
      <c r="CP107" s="94">
        <f t="shared" si="105"/>
        <v>5.9055061507279332</v>
      </c>
      <c r="CQ107" s="96">
        <f t="shared" si="106"/>
        <v>88.621318548832164</v>
      </c>
      <c r="CS107" s="10">
        <v>45051.59375</v>
      </c>
      <c r="CT107" s="110">
        <v>8.5993454109461895E-2</v>
      </c>
      <c r="CU107" s="21">
        <v>100.9486689</v>
      </c>
      <c r="CV107" s="111">
        <v>4182</v>
      </c>
      <c r="CW107" s="21">
        <f t="shared" si="107"/>
        <v>69.7</v>
      </c>
      <c r="CX107" s="21">
        <f t="shared" si="108"/>
        <v>5.993743751429494</v>
      </c>
      <c r="CY107" s="21">
        <f t="shared" si="109"/>
        <v>89.267297574637794</v>
      </c>
    </row>
    <row r="108" spans="1:103" x14ac:dyDescent="0.25">
      <c r="CC108" s="87">
        <v>45048.34375</v>
      </c>
      <c r="CD108" s="109">
        <v>5.1862546723748001E-2</v>
      </c>
      <c r="CE108" s="88">
        <v>89.635700749999998</v>
      </c>
      <c r="CF108" s="89">
        <v>5255</v>
      </c>
      <c r="CG108" s="90">
        <f t="shared" si="101"/>
        <v>87.583333333333329</v>
      </c>
      <c r="CH108" s="91">
        <f t="shared" si="102"/>
        <v>4.5422947172215959</v>
      </c>
      <c r="CI108" s="91">
        <f t="shared" si="103"/>
        <v>77.93298510424863</v>
      </c>
      <c r="CK108" s="93">
        <v>45050.34375</v>
      </c>
      <c r="CL108">
        <v>0.10840110276242799</v>
      </c>
      <c r="CM108" s="95">
        <v>104.61473460000001</v>
      </c>
      <c r="CN108" s="4">
        <v>4452</v>
      </c>
      <c r="CO108" s="95">
        <f t="shared" si="104"/>
        <v>74.2</v>
      </c>
      <c r="CP108" s="94">
        <f t="shared" si="105"/>
        <v>8.0433618249721572</v>
      </c>
      <c r="CQ108" s="96">
        <f t="shared" si="106"/>
        <v>103.09708548977393</v>
      </c>
      <c r="CS108" s="10">
        <v>45051.604166666664</v>
      </c>
      <c r="CT108" s="110">
        <v>9.3749502028178403E-2</v>
      </c>
      <c r="CU108" s="21">
        <v>94.302932269999999</v>
      </c>
      <c r="CV108" s="111">
        <v>4306</v>
      </c>
      <c r="CW108" s="21">
        <f t="shared" si="107"/>
        <v>71.766666666666666</v>
      </c>
      <c r="CX108" s="21">
        <f t="shared" si="108"/>
        <v>6.7280892622222703</v>
      </c>
      <c r="CY108" s="21">
        <f t="shared" si="109"/>
        <v>94.465272140632621</v>
      </c>
    </row>
    <row r="109" spans="1:103" x14ac:dyDescent="0.25">
      <c r="CC109" s="87">
        <v>45048.354166666664</v>
      </c>
      <c r="CD109" s="109">
        <v>5.5612827761979899E-2</v>
      </c>
      <c r="CE109" s="88">
        <v>85.762083380000007</v>
      </c>
      <c r="CF109" s="89">
        <v>5260</v>
      </c>
      <c r="CG109" s="90">
        <f t="shared" si="101"/>
        <v>87.666666666666671</v>
      </c>
      <c r="CH109" s="91">
        <f t="shared" si="102"/>
        <v>4.8753912338002383</v>
      </c>
      <c r="CI109" s="91">
        <f t="shared" si="103"/>
        <v>80.681103801374221</v>
      </c>
      <c r="CK109" s="93">
        <v>45050.354166666664</v>
      </c>
      <c r="CL109">
        <v>9.0123021108230505E-2</v>
      </c>
      <c r="CM109" s="95">
        <v>104.61473460000001</v>
      </c>
      <c r="CN109" s="4">
        <v>4302</v>
      </c>
      <c r="CO109" s="95">
        <f t="shared" si="104"/>
        <v>71.7</v>
      </c>
      <c r="CP109" s="94">
        <f t="shared" si="105"/>
        <v>6.4618206134601275</v>
      </c>
      <c r="CQ109" s="96">
        <f t="shared" si="106"/>
        <v>92.615651468621266</v>
      </c>
      <c r="CS109" s="10">
        <v>45051.614583333336</v>
      </c>
      <c r="CT109" s="110">
        <v>9.5308349752074195E-2</v>
      </c>
      <c r="CU109" s="21">
        <v>100.5402337</v>
      </c>
      <c r="CV109" s="111">
        <v>4157</v>
      </c>
      <c r="CW109" s="21">
        <f t="shared" si="107"/>
        <v>69.283333333333331</v>
      </c>
      <c r="CX109" s="21">
        <f t="shared" si="108"/>
        <v>6.6032801653228734</v>
      </c>
      <c r="CY109" s="21">
        <f t="shared" si="109"/>
        <v>93.603034769550433</v>
      </c>
    </row>
    <row r="110" spans="1:103" x14ac:dyDescent="0.25">
      <c r="CC110" s="87">
        <v>45048.364583333336</v>
      </c>
      <c r="CD110" s="109">
        <v>5.1439440075826598E-2</v>
      </c>
      <c r="CE110" s="88">
        <v>85.762083380000007</v>
      </c>
      <c r="CF110" s="89">
        <v>5466</v>
      </c>
      <c r="CG110" s="90">
        <f t="shared" si="101"/>
        <v>91.1</v>
      </c>
      <c r="CH110" s="91">
        <f t="shared" si="102"/>
        <v>4.6861329909078027</v>
      </c>
      <c r="CI110" s="91">
        <f t="shared" si="103"/>
        <v>79.131884238344639</v>
      </c>
      <c r="CK110" s="93">
        <v>45050.364583333336</v>
      </c>
      <c r="CL110">
        <v>9.1623062079236303E-2</v>
      </c>
      <c r="CM110" s="95">
        <v>102.5822131</v>
      </c>
      <c r="CN110" s="4">
        <v>4151</v>
      </c>
      <c r="CO110" s="95">
        <f t="shared" si="104"/>
        <v>69.183333333333337</v>
      </c>
      <c r="CP110" s="94">
        <f t="shared" si="105"/>
        <v>6.3387888448484988</v>
      </c>
      <c r="CQ110" s="96">
        <f t="shared" si="106"/>
        <v>91.747886877796134</v>
      </c>
      <c r="CS110" s="10">
        <v>45051.625</v>
      </c>
      <c r="CT110" s="110">
        <v>0.101556584702909</v>
      </c>
      <c r="CU110" s="21">
        <v>98.474887140000007</v>
      </c>
      <c r="CV110" s="111">
        <v>4113</v>
      </c>
      <c r="CW110" s="21">
        <f t="shared" si="107"/>
        <v>68.55</v>
      </c>
      <c r="CX110" s="21">
        <f t="shared" si="108"/>
        <v>6.9617038813844117</v>
      </c>
      <c r="CY110" s="21">
        <f t="shared" si="109"/>
        <v>96.057525729159664</v>
      </c>
    </row>
    <row r="111" spans="1:103" x14ac:dyDescent="0.25">
      <c r="CC111" s="87">
        <v>45048.375</v>
      </c>
      <c r="CD111" s="109">
        <v>5.0628859018793902E-2</v>
      </c>
      <c r="CE111" s="88">
        <v>84.891986889999998</v>
      </c>
      <c r="CF111" s="89">
        <v>5577</v>
      </c>
      <c r="CG111" s="90">
        <f t="shared" si="101"/>
        <v>92.95</v>
      </c>
      <c r="CH111" s="91">
        <f t="shared" si="102"/>
        <v>4.7059524457968935</v>
      </c>
      <c r="CI111" s="91">
        <f t="shared" si="103"/>
        <v>79.295600112456114</v>
      </c>
      <c r="CK111" s="93">
        <v>45050.375</v>
      </c>
      <c r="CL111">
        <v>9.8267797204274795E-2</v>
      </c>
      <c r="CM111" s="95">
        <v>110.9974619</v>
      </c>
      <c r="CN111" s="4">
        <v>4257</v>
      </c>
      <c r="CO111" s="95">
        <f t="shared" si="104"/>
        <v>70.95</v>
      </c>
      <c r="CP111" s="94">
        <f t="shared" si="105"/>
        <v>6.9721002116432969</v>
      </c>
      <c r="CQ111" s="96">
        <f t="shared" si="106"/>
        <v>96.127745698223791</v>
      </c>
      <c r="CS111" s="10">
        <v>45051.635416666664</v>
      </c>
      <c r="CT111" s="110">
        <v>9.5629567103093394E-2</v>
      </c>
      <c r="CU111" s="21">
        <v>102.5822131</v>
      </c>
      <c r="CV111" s="111">
        <v>4035</v>
      </c>
      <c r="CW111" s="21">
        <f t="shared" si="107"/>
        <v>67.25</v>
      </c>
      <c r="CX111" s="21">
        <f t="shared" si="108"/>
        <v>6.4310883876830305</v>
      </c>
      <c r="CY111" s="21">
        <f t="shared" si="109"/>
        <v>92.399687369307429</v>
      </c>
    </row>
    <row r="112" spans="1:103" x14ac:dyDescent="0.25">
      <c r="CC112" s="87">
        <v>45048.385416666664</v>
      </c>
      <c r="CD112" s="109">
        <v>5.4818753031814597E-2</v>
      </c>
      <c r="CE112" s="88">
        <v>85.762083380000007</v>
      </c>
      <c r="CF112" s="89">
        <v>5382</v>
      </c>
      <c r="CG112" s="90">
        <f t="shared" si="101"/>
        <v>89.7</v>
      </c>
      <c r="CH112" s="91">
        <f t="shared" si="102"/>
        <v>4.9172421469537699</v>
      </c>
      <c r="CI112" s="91">
        <f t="shared" si="103"/>
        <v>81.01951852367381</v>
      </c>
      <c r="CK112" s="93">
        <v>45050.385416666664</v>
      </c>
      <c r="CL112">
        <v>0.103553459345354</v>
      </c>
      <c r="CM112" s="95">
        <v>105.0166174</v>
      </c>
      <c r="CN112" s="4">
        <v>4233</v>
      </c>
      <c r="CO112" s="95">
        <f t="shared" si="104"/>
        <v>70.55</v>
      </c>
      <c r="CP112" s="94">
        <f t="shared" si="105"/>
        <v>7.3056965568147243</v>
      </c>
      <c r="CQ112" s="96">
        <f t="shared" si="106"/>
        <v>98.353244881638545</v>
      </c>
      <c r="CS112" s="10">
        <v>45051.645833333336</v>
      </c>
      <c r="CT112" s="110">
        <v>9.9131303623412201E-2</v>
      </c>
      <c r="CU112" s="21">
        <v>101.7628931</v>
      </c>
      <c r="CV112" s="111">
        <v>4009</v>
      </c>
      <c r="CW112" s="21">
        <f t="shared" si="107"/>
        <v>66.816666666666663</v>
      </c>
      <c r="CX112" s="21">
        <f t="shared" si="108"/>
        <v>6.6236232704376583</v>
      </c>
      <c r="CY112" s="21">
        <f t="shared" si="109"/>
        <v>93.74413787365657</v>
      </c>
    </row>
    <row r="113" spans="13:103" x14ac:dyDescent="0.25">
      <c r="CC113" s="87">
        <v>45048.395833333336</v>
      </c>
      <c r="CD113" s="109">
        <v>5.4934018789501299E-2</v>
      </c>
      <c r="CE113" s="88">
        <v>80.079324720000002</v>
      </c>
      <c r="CF113" s="89">
        <v>5405</v>
      </c>
      <c r="CG113" s="90">
        <f t="shared" si="101"/>
        <v>90.083333333333329</v>
      </c>
      <c r="CH113" s="91">
        <f t="shared" si="102"/>
        <v>4.9486395259542419</v>
      </c>
      <c r="CI113" s="91">
        <f t="shared" si="103"/>
        <v>81.272440002759069</v>
      </c>
      <c r="CK113" s="93">
        <v>45050.395833333336</v>
      </c>
      <c r="CL113">
        <v>0.113614545657773</v>
      </c>
      <c r="CM113" s="95">
        <v>98.474887140000007</v>
      </c>
      <c r="CN113" s="4">
        <v>4309</v>
      </c>
      <c r="CO113" s="95">
        <f t="shared" si="104"/>
        <v>71.816666666666663</v>
      </c>
      <c r="CP113" s="94">
        <f t="shared" si="105"/>
        <v>8.1594179539890632</v>
      </c>
      <c r="CQ113" s="96">
        <f t="shared" si="106"/>
        <v>103.82288506491871</v>
      </c>
      <c r="CS113" s="10">
        <v>45051.65625</v>
      </c>
      <c r="CT113" s="110">
        <v>8.8792187764938094E-2</v>
      </c>
      <c r="CU113" s="21">
        <v>93.031286489999999</v>
      </c>
      <c r="CV113" s="111">
        <v>4050</v>
      </c>
      <c r="CW113" s="21">
        <f t="shared" si="107"/>
        <v>67.5</v>
      </c>
      <c r="CX113" s="21">
        <f t="shared" si="108"/>
        <v>5.9934726741333213</v>
      </c>
      <c r="CY113" s="21">
        <f t="shared" si="109"/>
        <v>89.265320502678847</v>
      </c>
    </row>
    <row r="114" spans="13:103" x14ac:dyDescent="0.25">
      <c r="CC114" s="87">
        <v>45048.40625</v>
      </c>
      <c r="CD114" s="109">
        <v>5.1164934580226099E-2</v>
      </c>
      <c r="CE114" s="88">
        <v>85.762083380000007</v>
      </c>
      <c r="CF114" s="89">
        <v>5414</v>
      </c>
      <c r="CG114" s="90">
        <f t="shared" si="101"/>
        <v>90.233333333333334</v>
      </c>
      <c r="CH114" s="91">
        <f t="shared" si="102"/>
        <v>4.6167825969557352</v>
      </c>
      <c r="CI114" s="91">
        <f t="shared" si="103"/>
        <v>78.556225608728454</v>
      </c>
      <c r="CK114" s="93">
        <v>45050.40625</v>
      </c>
      <c r="CL114">
        <v>0.106232057385132</v>
      </c>
      <c r="CM114" s="95">
        <v>102.5822131</v>
      </c>
      <c r="CN114" s="4">
        <v>4171</v>
      </c>
      <c r="CO114" s="95">
        <f t="shared" si="104"/>
        <v>69.516666666666666</v>
      </c>
      <c r="CP114" s="94">
        <f t="shared" si="105"/>
        <v>7.3848985225564263</v>
      </c>
      <c r="CQ114" s="96">
        <f t="shared" si="106"/>
        <v>98.873955801959596</v>
      </c>
      <c r="CS114" s="10">
        <v>45051.666666666664</v>
      </c>
      <c r="CT114" s="110">
        <v>8.6979309118384501E-2</v>
      </c>
      <c r="CU114" s="21">
        <v>99.297599469999994</v>
      </c>
      <c r="CV114" s="111">
        <v>4341</v>
      </c>
      <c r="CW114" s="21">
        <f t="shared" si="107"/>
        <v>72.349999999999994</v>
      </c>
      <c r="CX114" s="21">
        <f t="shared" si="108"/>
        <v>6.2929530147151178</v>
      </c>
      <c r="CY114" s="21">
        <f t="shared" si="109"/>
        <v>91.422403775360976</v>
      </c>
    </row>
    <row r="115" spans="13:103" x14ac:dyDescent="0.25">
      <c r="CC115" s="87">
        <v>45048.416666666664</v>
      </c>
      <c r="CD115" s="109">
        <v>5.2012477238863403E-2</v>
      </c>
      <c r="CE115" s="88">
        <v>84.899432570000002</v>
      </c>
      <c r="CF115" s="89">
        <v>5593</v>
      </c>
      <c r="CG115" s="90">
        <f t="shared" si="101"/>
        <v>93.216666666666669</v>
      </c>
      <c r="CH115" s="91">
        <f t="shared" si="102"/>
        <v>4.8484297532827165</v>
      </c>
      <c r="CI115" s="91">
        <f t="shared" si="103"/>
        <v>80.462302313523097</v>
      </c>
      <c r="CK115" s="93">
        <v>45050.416666666664</v>
      </c>
      <c r="CL115">
        <v>0.12891581735454399</v>
      </c>
      <c r="CM115" s="95">
        <v>98.062569339999996</v>
      </c>
      <c r="CN115" s="4">
        <v>4272</v>
      </c>
      <c r="CO115" s="95">
        <f t="shared" si="104"/>
        <v>71.2</v>
      </c>
      <c r="CP115" s="94">
        <f t="shared" si="105"/>
        <v>9.1788061956435332</v>
      </c>
      <c r="CQ115" s="96">
        <f t="shared" si="106"/>
        <v>109.984122680624</v>
      </c>
      <c r="CS115" s="10">
        <v>45051.677083333336</v>
      </c>
      <c r="CT115" s="110">
        <v>9.7802646867415605E-2</v>
      </c>
      <c r="CU115" s="21">
        <v>106.2245245</v>
      </c>
      <c r="CV115" s="111">
        <v>4038</v>
      </c>
      <c r="CW115" s="21">
        <f t="shared" si="107"/>
        <v>67.3</v>
      </c>
      <c r="CX115" s="21">
        <f t="shared" si="108"/>
        <v>6.5821181341770698</v>
      </c>
      <c r="CY115" s="21">
        <f t="shared" si="109"/>
        <v>93.45601585593019</v>
      </c>
    </row>
    <row r="116" spans="13:103" x14ac:dyDescent="0.25">
      <c r="CC116" s="87">
        <v>45048.427083333336</v>
      </c>
      <c r="CD116" s="109">
        <v>5.1642894563737003E-2</v>
      </c>
      <c r="CE116" s="88">
        <v>83.594462070000006</v>
      </c>
      <c r="CF116" s="89">
        <v>5581</v>
      </c>
      <c r="CG116" s="90">
        <f t="shared" si="101"/>
        <v>93.016666666666666</v>
      </c>
      <c r="CH116" s="91">
        <f t="shared" si="102"/>
        <v>4.8036499093369365</v>
      </c>
      <c r="CI116" s="91">
        <f t="shared" si="103"/>
        <v>80.097522299310597</v>
      </c>
      <c r="CK116" s="93">
        <v>45050.427083333336</v>
      </c>
      <c r="CL116">
        <v>0.108102418389966</v>
      </c>
      <c r="CM116" s="95">
        <v>98.474887140000007</v>
      </c>
      <c r="CN116" s="4">
        <v>4370</v>
      </c>
      <c r="CO116" s="95">
        <f t="shared" si="104"/>
        <v>72.833333333333329</v>
      </c>
      <c r="CP116" s="94">
        <f t="shared" si="105"/>
        <v>7.8734594727358562</v>
      </c>
      <c r="CQ116" s="96">
        <f t="shared" si="106"/>
        <v>102.02483127705305</v>
      </c>
      <c r="CS116" s="10">
        <v>45051.6875</v>
      </c>
      <c r="CT116" s="110">
        <v>8.6988061713861198E-2</v>
      </c>
      <c r="CU116" s="21">
        <v>100.9486689</v>
      </c>
      <c r="CV116" s="111">
        <v>4245</v>
      </c>
      <c r="CW116" s="21">
        <f t="shared" si="107"/>
        <v>70.75</v>
      </c>
      <c r="CX116" s="21">
        <f t="shared" si="108"/>
        <v>6.1544053662556797</v>
      </c>
      <c r="CY116" s="21">
        <f t="shared" si="109"/>
        <v>90.431144002205158</v>
      </c>
    </row>
    <row r="117" spans="13:103" x14ac:dyDescent="0.25">
      <c r="CC117" s="87">
        <v>45048.4375</v>
      </c>
      <c r="CD117" s="109">
        <v>4.7470607976759303E-2</v>
      </c>
      <c r="CE117" s="88">
        <v>80.086877509999994</v>
      </c>
      <c r="CF117" s="89">
        <v>5493</v>
      </c>
      <c r="CG117" s="90">
        <f t="shared" si="101"/>
        <v>91.55</v>
      </c>
      <c r="CH117" s="91">
        <f t="shared" si="102"/>
        <v>4.3459341602723143</v>
      </c>
      <c r="CI117" s="91">
        <f t="shared" si="103"/>
        <v>76.264584343618679</v>
      </c>
      <c r="CK117" s="93">
        <v>45050.4375</v>
      </c>
      <c r="CL117">
        <v>9.4704927853071497E-2</v>
      </c>
      <c r="CM117" s="95">
        <v>98.474887140000007</v>
      </c>
      <c r="CN117" s="4">
        <v>4329</v>
      </c>
      <c r="CO117" s="95">
        <f t="shared" si="104"/>
        <v>72.150000000000006</v>
      </c>
      <c r="CP117" s="94">
        <f t="shared" si="105"/>
        <v>6.8329605445991088</v>
      </c>
      <c r="CQ117" s="96">
        <f t="shared" si="106"/>
        <v>95.183479650137087</v>
      </c>
      <c r="CS117" s="10">
        <v>45051.697916666664</v>
      </c>
      <c r="CT117" s="110">
        <v>9.8249438117006802E-2</v>
      </c>
      <c r="CU117" s="21">
        <v>105.0166174</v>
      </c>
      <c r="CV117" s="111">
        <v>4150</v>
      </c>
      <c r="CW117" s="21">
        <f t="shared" si="107"/>
        <v>69.166666666666671</v>
      </c>
      <c r="CX117" s="21">
        <f t="shared" si="108"/>
        <v>6.7955861364263042</v>
      </c>
      <c r="CY117" s="21">
        <f t="shared" si="109"/>
        <v>94.928171638108026</v>
      </c>
    </row>
    <row r="118" spans="13:103" x14ac:dyDescent="0.25">
      <c r="CC118" s="87">
        <v>45048.447916666664</v>
      </c>
      <c r="CD118" s="109">
        <v>5.0984201612623202E-2</v>
      </c>
      <c r="CE118" s="88">
        <v>85.762083380000007</v>
      </c>
      <c r="CF118" s="89">
        <v>5709</v>
      </c>
      <c r="CG118" s="90">
        <f t="shared" si="101"/>
        <v>95.15</v>
      </c>
      <c r="CH118" s="91">
        <f t="shared" si="102"/>
        <v>4.8511467834410977</v>
      </c>
      <c r="CI118" s="91">
        <f t="shared" si="103"/>
        <v>80.484380013445275</v>
      </c>
      <c r="CK118" s="93">
        <v>45050.447916666664</v>
      </c>
      <c r="CL118">
        <v>0.113167073270188</v>
      </c>
      <c r="CM118" s="95">
        <v>93.038532979999999</v>
      </c>
      <c r="CN118" s="4">
        <v>4505</v>
      </c>
      <c r="CO118" s="95">
        <f t="shared" si="104"/>
        <v>75.083333333333329</v>
      </c>
      <c r="CP118" s="94">
        <f t="shared" si="105"/>
        <v>8.4969610847032815</v>
      </c>
      <c r="CQ118" s="96">
        <f t="shared" si="106"/>
        <v>105.90439703700785</v>
      </c>
      <c r="CS118" s="10">
        <v>45051.708333333336</v>
      </c>
      <c r="CT118" s="110">
        <v>8.84290778653333E-2</v>
      </c>
      <c r="CU118" s="21">
        <v>106.2245245</v>
      </c>
      <c r="CV118" s="111">
        <v>4300</v>
      </c>
      <c r="CW118" s="21">
        <f t="shared" si="107"/>
        <v>71.666666666666671</v>
      </c>
      <c r="CX118" s="21">
        <f t="shared" si="108"/>
        <v>6.3374172470155532</v>
      </c>
      <c r="CY118" s="21">
        <f t="shared" si="109"/>
        <v>91.738164541057742</v>
      </c>
    </row>
    <row r="119" spans="13:103" x14ac:dyDescent="0.25">
      <c r="CC119" s="87">
        <v>45048.458333333336</v>
      </c>
      <c r="CD119" s="109">
        <v>5.2852456913476203E-2</v>
      </c>
      <c r="CE119" s="88">
        <v>80.086877509999994</v>
      </c>
      <c r="CF119" s="89">
        <v>5348</v>
      </c>
      <c r="CG119" s="90">
        <f t="shared" si="101"/>
        <v>89.13333333333334</v>
      </c>
      <c r="CH119" s="91">
        <f t="shared" si="102"/>
        <v>4.7109156595545123</v>
      </c>
      <c r="CI119" s="91">
        <f t="shared" si="103"/>
        <v>79.336542938701925</v>
      </c>
      <c r="CK119" s="93">
        <v>45050.458333333336</v>
      </c>
      <c r="CL119">
        <v>0.104938191369287</v>
      </c>
      <c r="CM119" s="95">
        <v>91.767774239999994</v>
      </c>
      <c r="CN119" s="4">
        <v>4385</v>
      </c>
      <c r="CO119" s="95">
        <f t="shared" si="104"/>
        <v>73.083333333333329</v>
      </c>
      <c r="CP119" s="94">
        <f t="shared" si="105"/>
        <v>7.6692328192387249</v>
      </c>
      <c r="CQ119" s="96">
        <f t="shared" si="106"/>
        <v>100.72020683221007</v>
      </c>
      <c r="CS119" s="10">
        <v>45051.71875</v>
      </c>
      <c r="CT119" s="110">
        <v>9.37431742491526E-2</v>
      </c>
      <c r="CU119" s="21">
        <v>102.9873886</v>
      </c>
      <c r="CV119" s="111">
        <v>4354</v>
      </c>
      <c r="CW119" s="21">
        <f t="shared" si="107"/>
        <v>72.566666666666663</v>
      </c>
      <c r="CX119" s="21">
        <f t="shared" si="108"/>
        <v>6.8026296780135063</v>
      </c>
      <c r="CY119" s="21">
        <f t="shared" si="109"/>
        <v>94.976341408145316</v>
      </c>
    </row>
    <row r="120" spans="13:103" x14ac:dyDescent="0.25">
      <c r="CC120" s="87">
        <v>45048.46875</v>
      </c>
      <c r="CD120" s="109">
        <v>4.71338565388797E-2</v>
      </c>
      <c r="CE120" s="88">
        <v>81.405228940000001</v>
      </c>
      <c r="CF120" s="89">
        <v>5689</v>
      </c>
      <c r="CG120" s="90">
        <f t="shared" si="101"/>
        <v>94.816666666666663</v>
      </c>
      <c r="CH120" s="91">
        <f t="shared" si="102"/>
        <v>4.4690751641614437</v>
      </c>
      <c r="CI120" s="91">
        <f t="shared" si="103"/>
        <v>77.315252809523471</v>
      </c>
      <c r="CK120" s="93">
        <v>45050.46875</v>
      </c>
      <c r="CL120">
        <v>0.11162682553245599</v>
      </c>
      <c r="CM120" s="95">
        <v>96.393321510000007</v>
      </c>
      <c r="CN120" s="4">
        <v>4021</v>
      </c>
      <c r="CO120" s="95">
        <f t="shared" si="104"/>
        <v>67.016666666666666</v>
      </c>
      <c r="CP120" s="94">
        <f t="shared" si="105"/>
        <v>7.480857757766759</v>
      </c>
      <c r="CQ120" s="96">
        <f t="shared" si="106"/>
        <v>99.501033529171536</v>
      </c>
      <c r="CS120" s="10">
        <v>45051.729166666664</v>
      </c>
      <c r="CT120" s="110">
        <v>8.6727902713294197E-2</v>
      </c>
      <c r="CU120" s="21">
        <v>98.474887140000007</v>
      </c>
      <c r="CV120" s="111">
        <v>4383</v>
      </c>
      <c r="CW120" s="21">
        <f t="shared" si="107"/>
        <v>73.05</v>
      </c>
      <c r="CX120" s="21">
        <f t="shared" si="108"/>
        <v>6.3354732932061406</v>
      </c>
      <c r="CY120" s="21">
        <f t="shared" si="109"/>
        <v>91.724383317280882</v>
      </c>
    </row>
    <row r="121" spans="13:103" x14ac:dyDescent="0.25">
      <c r="CC121" s="87">
        <v>45048.479166666664</v>
      </c>
      <c r="CD121" s="109">
        <v>4.7450664346863299E-2</v>
      </c>
      <c r="CE121" s="88">
        <v>79.202259850000004</v>
      </c>
      <c r="CF121" s="89">
        <v>5624</v>
      </c>
      <c r="CG121" s="90">
        <f t="shared" si="101"/>
        <v>93.733333333333334</v>
      </c>
      <c r="CH121" s="91">
        <f t="shared" si="102"/>
        <v>4.4477089381126529</v>
      </c>
      <c r="CI121" s="91">
        <f t="shared" si="103"/>
        <v>77.134020271730336</v>
      </c>
      <c r="CK121" s="93">
        <v>45050.479166666664</v>
      </c>
      <c r="CL121">
        <v>0.102574623968425</v>
      </c>
      <c r="CM121" s="95">
        <v>105.0166174</v>
      </c>
      <c r="CN121" s="4">
        <v>3984</v>
      </c>
      <c r="CO121" s="95">
        <f t="shared" si="104"/>
        <v>66.400000000000006</v>
      </c>
      <c r="CP121" s="94">
        <f t="shared" si="105"/>
        <v>6.8109550315034202</v>
      </c>
      <c r="CQ121" s="96">
        <f t="shared" si="106"/>
        <v>95.033244496914804</v>
      </c>
      <c r="CT121" s="131"/>
      <c r="CU121" s="129"/>
      <c r="CV121" s="132"/>
      <c r="CW121" s="6"/>
      <c r="CX121" s="6"/>
    </row>
    <row r="122" spans="13:103" x14ac:dyDescent="0.25">
      <c r="CC122" s="87">
        <v>45048.489583333336</v>
      </c>
      <c r="CD122" s="109">
        <v>5.28821263052296E-2</v>
      </c>
      <c r="CE122" s="88">
        <v>81.405228940000001</v>
      </c>
      <c r="CF122" s="89">
        <v>5537</v>
      </c>
      <c r="CG122" s="90">
        <f t="shared" si="101"/>
        <v>92.283333333333331</v>
      </c>
      <c r="CH122" s="91">
        <f t="shared" si="102"/>
        <v>4.8801388892009383</v>
      </c>
      <c r="CI122" s="91">
        <f t="shared" si="103"/>
        <v>80.719568628470725</v>
      </c>
      <c r="CK122" s="93">
        <v>45050.489583333336</v>
      </c>
      <c r="CL122">
        <v>0.101857424690474</v>
      </c>
      <c r="CM122" s="95">
        <v>108.2271172</v>
      </c>
      <c r="CN122" s="4">
        <v>3937</v>
      </c>
      <c r="CO122" s="95">
        <f t="shared" si="104"/>
        <v>65.61666666666666</v>
      </c>
      <c r="CP122" s="94">
        <f t="shared" si="105"/>
        <v>6.6835446834399352</v>
      </c>
      <c r="CQ122" s="96">
        <f t="shared" si="106"/>
        <v>94.158482374515629</v>
      </c>
      <c r="CT122" s="132"/>
      <c r="CU122" s="132"/>
      <c r="CV122" s="132"/>
    </row>
    <row r="123" spans="13:103" x14ac:dyDescent="0.25">
      <c r="CC123" s="87">
        <v>45048.5</v>
      </c>
      <c r="CD123" s="109">
        <v>5.2597535017687803E-2</v>
      </c>
      <c r="CE123" s="88">
        <v>83.594462070000006</v>
      </c>
      <c r="CF123" s="89">
        <v>5520</v>
      </c>
      <c r="CG123" s="90">
        <f t="shared" si="101"/>
        <v>92</v>
      </c>
      <c r="CH123" s="91">
        <f t="shared" si="102"/>
        <v>4.8389732216272776</v>
      </c>
      <c r="CI123" s="91">
        <f t="shared" si="103"/>
        <v>80.3854123564292</v>
      </c>
      <c r="CK123" s="93">
        <v>45050.5</v>
      </c>
      <c r="CL123">
        <v>0.12005836434482201</v>
      </c>
      <c r="CM123" s="95">
        <v>97.229596529999995</v>
      </c>
      <c r="CN123" s="4">
        <v>4111</v>
      </c>
      <c r="CO123" s="95">
        <f t="shared" si="104"/>
        <v>68.516666666666666</v>
      </c>
      <c r="CP123" s="94">
        <f t="shared" si="105"/>
        <v>8.2259989303593883</v>
      </c>
      <c r="CQ123" s="96">
        <f t="shared" si="106"/>
        <v>104.23689686956476</v>
      </c>
    </row>
    <row r="124" spans="13:103" x14ac:dyDescent="0.25">
      <c r="CC124" s="87">
        <v>45048.510416666664</v>
      </c>
      <c r="CD124" s="109">
        <v>4.8439824009424801E-2</v>
      </c>
      <c r="CE124" s="88">
        <v>83.586986100000004</v>
      </c>
      <c r="CF124" s="89">
        <v>5539</v>
      </c>
      <c r="CG124" s="90">
        <f t="shared" si="101"/>
        <v>92.316666666666663</v>
      </c>
      <c r="CH124" s="91">
        <f t="shared" si="102"/>
        <v>4.4718030864700662</v>
      </c>
      <c r="CI124" s="91">
        <f t="shared" si="103"/>
        <v>77.338359726276551</v>
      </c>
      <c r="CK124" s="78"/>
      <c r="CL124" s="5"/>
      <c r="CM124" s="6"/>
      <c r="CN124" s="2"/>
      <c r="CO124" s="6"/>
      <c r="CP124" s="5"/>
      <c r="CQ124" s="7"/>
    </row>
    <row r="125" spans="13:103" x14ac:dyDescent="0.25">
      <c r="CC125" s="87">
        <v>45048.520833333336</v>
      </c>
      <c r="CD125" s="109">
        <v>5.11684831207187E-2</v>
      </c>
      <c r="CE125" s="88">
        <v>84.020316870000002</v>
      </c>
      <c r="CF125" s="89">
        <v>5684</v>
      </c>
      <c r="CG125" s="90">
        <f t="shared" si="101"/>
        <v>94.733333333333334</v>
      </c>
      <c r="CH125" s="91">
        <f t="shared" si="102"/>
        <v>4.8473609676360851</v>
      </c>
      <c r="CI125" s="91">
        <f t="shared" si="103"/>
        <v>80.453615980148953</v>
      </c>
      <c r="CK125" s="78"/>
      <c r="CL125" s="5"/>
      <c r="CM125" s="6"/>
      <c r="CN125" s="2"/>
      <c r="CO125" s="6"/>
      <c r="CP125" s="5"/>
      <c r="CQ125" s="7"/>
    </row>
    <row r="126" spans="13:103" x14ac:dyDescent="0.25">
      <c r="CC126" s="87">
        <v>45048.53125</v>
      </c>
      <c r="CD126" s="109">
        <v>4.97860169284772E-2</v>
      </c>
      <c r="CE126" s="88">
        <v>80.079324720000002</v>
      </c>
      <c r="CF126" s="89">
        <v>5674</v>
      </c>
      <c r="CG126" s="90">
        <f t="shared" si="101"/>
        <v>94.566666666666663</v>
      </c>
      <c r="CH126" s="91">
        <f t="shared" si="102"/>
        <v>4.7080976675363271</v>
      </c>
      <c r="CI126" s="91">
        <f t="shared" si="103"/>
        <v>79.313299300559237</v>
      </c>
      <c r="CK126" s="78"/>
      <c r="CL126" s="5"/>
      <c r="CM126" s="6"/>
      <c r="CN126" s="2"/>
      <c r="CO126" s="6"/>
      <c r="CP126" s="5"/>
      <c r="CQ126" s="7"/>
    </row>
    <row r="127" spans="13:103" x14ac:dyDescent="0.25">
      <c r="CC127" s="87">
        <v>45048.541666666664</v>
      </c>
      <c r="CD127" s="109">
        <v>5.47595170124235E-2</v>
      </c>
      <c r="CE127" s="88">
        <v>81.397704649999994</v>
      </c>
      <c r="CF127" s="89">
        <v>5399</v>
      </c>
      <c r="CG127" s="90">
        <f t="shared" si="101"/>
        <v>89.983333333333334</v>
      </c>
      <c r="CH127" s="91">
        <f t="shared" si="102"/>
        <v>4.9274438725012413</v>
      </c>
      <c r="CI127" s="91">
        <f t="shared" si="103"/>
        <v>81.101788635018096</v>
      </c>
      <c r="CK127" s="78"/>
      <c r="CL127" s="5"/>
      <c r="CM127" s="6"/>
      <c r="CN127" s="2"/>
      <c r="CO127" s="6"/>
      <c r="CP127" s="5"/>
      <c r="CQ127" s="7"/>
    </row>
    <row r="128" spans="13:103" x14ac:dyDescent="0.25">
      <c r="M128"/>
      <c r="CC128" s="87">
        <v>45048.552083333336</v>
      </c>
      <c r="CD128" s="109">
        <v>5.0295307715652299E-2</v>
      </c>
      <c r="CE128" s="88">
        <v>85.762083380000007</v>
      </c>
      <c r="CF128" s="89">
        <v>5201</v>
      </c>
      <c r="CG128" s="90">
        <f t="shared" si="101"/>
        <v>86.683333333333337</v>
      </c>
      <c r="CH128" s="91">
        <f t="shared" si="102"/>
        <v>4.3597649238184601</v>
      </c>
      <c r="CI128" s="91">
        <f t="shared" si="103"/>
        <v>76.383342595868754</v>
      </c>
      <c r="CK128" s="78"/>
      <c r="CL128" s="5"/>
      <c r="CM128" s="6"/>
      <c r="CN128" s="2"/>
      <c r="CO128" s="6"/>
      <c r="CP128" s="5"/>
      <c r="CQ128" s="7"/>
    </row>
    <row r="129" spans="81:95" x14ac:dyDescent="0.25">
      <c r="CC129" s="87">
        <v>45048.5625</v>
      </c>
      <c r="CD129" s="109">
        <v>5.3640870823044799E-2</v>
      </c>
      <c r="CE129" s="88">
        <v>81.405228940000001</v>
      </c>
      <c r="CF129" s="89">
        <v>5386</v>
      </c>
      <c r="CG129" s="90">
        <f t="shared" si="101"/>
        <v>89.766666666666666</v>
      </c>
      <c r="CH129" s="91">
        <f t="shared" si="102"/>
        <v>4.8151621708819885</v>
      </c>
      <c r="CI129" s="91">
        <f t="shared" si="103"/>
        <v>80.19146718886941</v>
      </c>
      <c r="CK129" s="78"/>
      <c r="CL129" s="5"/>
      <c r="CM129" s="6"/>
      <c r="CN129" s="2"/>
      <c r="CO129" s="6"/>
      <c r="CP129" s="5"/>
      <c r="CQ129" s="7"/>
    </row>
    <row r="130" spans="81:95" x14ac:dyDescent="0.25">
      <c r="CC130" s="87">
        <v>45048.572916666664</v>
      </c>
      <c r="CD130" s="109">
        <v>5.2532194654259498E-2</v>
      </c>
      <c r="CE130" s="88">
        <v>81.405228940000001</v>
      </c>
      <c r="CF130" s="89">
        <v>5515</v>
      </c>
      <c r="CG130" s="90">
        <f t="shared" si="101"/>
        <v>91.916666666666671</v>
      </c>
      <c r="CH130" s="91">
        <f t="shared" si="102"/>
        <v>4.8285842253040192</v>
      </c>
      <c r="CI130" s="91">
        <f t="shared" si="103"/>
        <v>80.300852192324996</v>
      </c>
      <c r="CK130" s="78"/>
      <c r="CL130" s="5"/>
      <c r="CM130" s="6"/>
      <c r="CN130" s="2"/>
      <c r="CO130" s="6"/>
      <c r="CP130" s="5"/>
      <c r="CQ130" s="7"/>
    </row>
    <row r="131" spans="81:95" x14ac:dyDescent="0.25">
      <c r="CC131" s="87">
        <v>45048.583333333336</v>
      </c>
      <c r="CD131" s="109">
        <v>5.2554736207046301E-2</v>
      </c>
      <c r="CE131" s="88">
        <v>86.192545629999998</v>
      </c>
      <c r="CF131" s="89">
        <v>5326</v>
      </c>
      <c r="CG131" s="90">
        <f t="shared" si="101"/>
        <v>88.766666666666666</v>
      </c>
      <c r="CH131" s="91">
        <f t="shared" si="102"/>
        <v>4.6651087506454765</v>
      </c>
      <c r="CI131" s="91">
        <f t="shared" si="103"/>
        <v>78.957829720424073</v>
      </c>
      <c r="CK131" s="78"/>
      <c r="CL131" s="5"/>
      <c r="CM131" s="6"/>
      <c r="CN131" s="2"/>
      <c r="CO131" s="6"/>
      <c r="CP131" s="5"/>
      <c r="CQ131" s="7"/>
    </row>
    <row r="132" spans="81:95" x14ac:dyDescent="0.25">
      <c r="CC132" s="87">
        <v>45048.59375</v>
      </c>
      <c r="CD132" s="109">
        <v>5.4806170662054399E-2</v>
      </c>
      <c r="CE132" s="88">
        <v>83.586986100000004</v>
      </c>
      <c r="CF132" s="89">
        <v>5377</v>
      </c>
      <c r="CG132" s="90">
        <f t="shared" ref="CG132:CG155" si="115">CF132/60</f>
        <v>89.61666666666666</v>
      </c>
      <c r="CH132" s="91">
        <f t="shared" ref="CH132:CH155" si="116">CG132*CD132</f>
        <v>4.9115463274977751</v>
      </c>
      <c r="CI132" s="91">
        <f t="shared" ref="CI132:CI155" si="117">IF(37.141*CH132^0.4897&gt;22.6, 37.141*CH132^0.4897, 0)</f>
        <v>80.973547646278249</v>
      </c>
      <c r="CK132" s="78"/>
      <c r="CL132" s="5"/>
      <c r="CM132" s="6"/>
      <c r="CN132" s="2"/>
      <c r="CO132" s="6"/>
      <c r="CP132" s="5"/>
      <c r="CQ132" s="7"/>
    </row>
    <row r="133" spans="81:95" x14ac:dyDescent="0.25">
      <c r="CC133" s="87">
        <v>45048.604166666664</v>
      </c>
      <c r="CD133" s="109">
        <v>5.0954234643737502E-2</v>
      </c>
      <c r="CE133" s="88">
        <v>84.891986889999998</v>
      </c>
      <c r="CF133" s="89">
        <v>5366</v>
      </c>
      <c r="CG133" s="90">
        <f t="shared" si="115"/>
        <v>89.433333333333337</v>
      </c>
      <c r="CH133" s="91">
        <f t="shared" si="116"/>
        <v>4.5570070516382577</v>
      </c>
      <c r="CI133" s="91">
        <f t="shared" si="117"/>
        <v>78.056494279066953</v>
      </c>
      <c r="CK133" s="78"/>
      <c r="CL133" s="5"/>
      <c r="CM133" s="6"/>
      <c r="CN133" s="2"/>
      <c r="CO133" s="6"/>
      <c r="CP133" s="5"/>
      <c r="CQ133" s="7"/>
    </row>
    <row r="134" spans="81:95" x14ac:dyDescent="0.25">
      <c r="CC134" s="87">
        <v>45048.614583333336</v>
      </c>
      <c r="CD134" s="109">
        <v>5.5587883641213399E-2</v>
      </c>
      <c r="CE134" s="88">
        <v>80.523852189999999</v>
      </c>
      <c r="CF134" s="89">
        <v>5297</v>
      </c>
      <c r="CG134" s="90">
        <f t="shared" si="115"/>
        <v>88.283333333333331</v>
      </c>
      <c r="CH134" s="91">
        <f t="shared" si="116"/>
        <v>4.9074836607917893</v>
      </c>
      <c r="CI134" s="91">
        <f t="shared" si="117"/>
        <v>80.940741296693048</v>
      </c>
      <c r="CK134" s="78"/>
      <c r="CL134" s="5"/>
      <c r="CM134" s="6"/>
      <c r="CN134" s="2"/>
      <c r="CO134" s="6"/>
      <c r="CP134" s="5"/>
      <c r="CQ134" s="7"/>
    </row>
    <row r="135" spans="81:95" x14ac:dyDescent="0.25">
      <c r="CC135" s="87">
        <v>45048.625</v>
      </c>
      <c r="CD135" s="109">
        <v>5.1387095399370898E-2</v>
      </c>
      <c r="CE135" s="88">
        <v>84.027783200000002</v>
      </c>
      <c r="CF135" s="89">
        <v>5189</v>
      </c>
      <c r="CG135" s="90">
        <f t="shared" si="115"/>
        <v>86.483333333333334</v>
      </c>
      <c r="CH135" s="91">
        <f t="shared" si="116"/>
        <v>4.4441273004555928</v>
      </c>
      <c r="CI135" s="91">
        <f t="shared" si="117"/>
        <v>77.103596670484791</v>
      </c>
      <c r="CK135" s="78"/>
      <c r="CL135" s="5"/>
      <c r="CM135" s="6"/>
      <c r="CN135" s="2"/>
      <c r="CO135" s="6"/>
      <c r="CP135" s="5"/>
      <c r="CQ135" s="7"/>
    </row>
    <row r="136" spans="81:95" x14ac:dyDescent="0.25">
      <c r="CC136" s="87">
        <v>45048.635416666664</v>
      </c>
      <c r="CD136" s="109">
        <v>5.6520128876914599E-2</v>
      </c>
      <c r="CE136" s="88">
        <v>93.884261949999996</v>
      </c>
      <c r="CF136" s="89">
        <v>5249</v>
      </c>
      <c r="CG136" s="90">
        <f t="shared" si="115"/>
        <v>87.483333333333334</v>
      </c>
      <c r="CH136" s="91">
        <f t="shared" si="116"/>
        <v>4.9445692745820793</v>
      </c>
      <c r="CI136" s="91">
        <f t="shared" si="117"/>
        <v>81.239698396323718</v>
      </c>
      <c r="CK136" s="78"/>
      <c r="CL136" s="5"/>
      <c r="CM136" s="6"/>
      <c r="CN136" s="2"/>
      <c r="CO136" s="6"/>
      <c r="CP136" s="5"/>
      <c r="CQ136" s="7"/>
    </row>
    <row r="137" spans="81:95" x14ac:dyDescent="0.25">
      <c r="CC137" s="87">
        <v>45048.645833333336</v>
      </c>
      <c r="CD137" s="109">
        <v>6.1261476115461899E-2</v>
      </c>
      <c r="CE137" s="88">
        <v>89.635700749999998</v>
      </c>
      <c r="CF137" s="89">
        <v>4925</v>
      </c>
      <c r="CG137" s="90">
        <f t="shared" si="115"/>
        <v>82.083333333333329</v>
      </c>
      <c r="CH137" s="91">
        <f t="shared" si="116"/>
        <v>5.0285461644774969</v>
      </c>
      <c r="CI137" s="91">
        <f t="shared" si="117"/>
        <v>81.912457625915266</v>
      </c>
      <c r="CK137" s="78"/>
      <c r="CL137" s="5"/>
      <c r="CM137" s="6"/>
      <c r="CN137" s="2"/>
      <c r="CO137" s="6"/>
      <c r="CP137" s="5"/>
      <c r="CQ137" s="7"/>
    </row>
    <row r="138" spans="81:95" x14ac:dyDescent="0.25">
      <c r="CC138" s="87">
        <v>45048.65625</v>
      </c>
      <c r="CD138" s="109">
        <v>5.8689331421147697E-2</v>
      </c>
      <c r="CE138" s="88">
        <v>86.199962600000006</v>
      </c>
      <c r="CF138" s="89">
        <v>4842</v>
      </c>
      <c r="CG138" s="90">
        <f t="shared" si="115"/>
        <v>80.7</v>
      </c>
      <c r="CH138" s="91">
        <f t="shared" si="116"/>
        <v>4.7362290456866196</v>
      </c>
      <c r="CI138" s="91">
        <f t="shared" si="117"/>
        <v>79.545017979875212</v>
      </c>
      <c r="CK138" s="78"/>
      <c r="CL138" s="5"/>
      <c r="CM138" s="6"/>
      <c r="CN138" s="2"/>
      <c r="CO138" s="6"/>
      <c r="CP138" s="5"/>
      <c r="CQ138" s="7"/>
    </row>
    <row r="139" spans="81:95" x14ac:dyDescent="0.25">
      <c r="CC139" s="87">
        <v>45048.666666666664</v>
      </c>
      <c r="CD139" s="109">
        <v>6.3073503173554799E-2</v>
      </c>
      <c r="CE139" s="88">
        <v>90.915794009999999</v>
      </c>
      <c r="CF139" s="89">
        <v>4790</v>
      </c>
      <c r="CG139" s="90">
        <f t="shared" si="115"/>
        <v>79.833333333333329</v>
      </c>
      <c r="CH139" s="91">
        <f t="shared" si="116"/>
        <v>5.0353680033554582</v>
      </c>
      <c r="CI139" s="91">
        <f t="shared" si="117"/>
        <v>81.9668563640315</v>
      </c>
      <c r="CK139" s="78"/>
      <c r="CL139" s="5"/>
      <c r="CM139" s="6"/>
      <c r="CN139" s="2"/>
      <c r="CO139" s="6"/>
      <c r="CP139" s="5"/>
      <c r="CQ139" s="7"/>
    </row>
    <row r="140" spans="81:95" x14ac:dyDescent="0.25">
      <c r="CC140" s="87">
        <v>45048.677083333336</v>
      </c>
      <c r="CD140" s="109">
        <v>5.8186634782729299E-2</v>
      </c>
      <c r="CE140" s="88">
        <v>88.350109630000006</v>
      </c>
      <c r="CF140" s="89">
        <v>5006</v>
      </c>
      <c r="CG140" s="90">
        <f t="shared" si="115"/>
        <v>83.433333333333337</v>
      </c>
      <c r="CH140" s="91">
        <f t="shared" si="116"/>
        <v>4.8547048953723815</v>
      </c>
      <c r="CI140" s="91">
        <f t="shared" si="117"/>
        <v>80.513282529111677</v>
      </c>
      <c r="CK140" s="78"/>
      <c r="CL140" s="5"/>
      <c r="CM140" s="6"/>
      <c r="CN140" s="2"/>
      <c r="CO140" s="6"/>
      <c r="CP140" s="5"/>
      <c r="CQ140" s="7"/>
    </row>
    <row r="141" spans="81:95" x14ac:dyDescent="0.25">
      <c r="CC141" s="87">
        <v>45048.6875</v>
      </c>
      <c r="CD141" s="109">
        <v>5.8338313387358003E-2</v>
      </c>
      <c r="CE141" s="88">
        <v>91.767774239999994</v>
      </c>
      <c r="CF141" s="89">
        <v>4964</v>
      </c>
      <c r="CG141" s="90">
        <f t="shared" si="115"/>
        <v>82.733333333333334</v>
      </c>
      <c r="CH141" s="91">
        <f t="shared" si="116"/>
        <v>4.8265231275807521</v>
      </c>
      <c r="CI141" s="91">
        <f t="shared" si="117"/>
        <v>80.284065066797666</v>
      </c>
      <c r="CK141" s="78"/>
      <c r="CL141" s="5"/>
      <c r="CM141" s="6"/>
      <c r="CN141" s="2"/>
      <c r="CO141" s="6"/>
      <c r="CP141" s="5"/>
      <c r="CQ141" s="7"/>
    </row>
    <row r="142" spans="81:95" x14ac:dyDescent="0.25">
      <c r="CC142" s="87">
        <v>45048.697916666664</v>
      </c>
      <c r="CD142" s="109">
        <v>6.0076706421720499E-2</v>
      </c>
      <c r="CE142" s="88">
        <v>96.393321510000007</v>
      </c>
      <c r="CF142" s="89">
        <v>4847</v>
      </c>
      <c r="CG142" s="90">
        <f t="shared" si="115"/>
        <v>80.783333333333331</v>
      </c>
      <c r="CH142" s="91">
        <f t="shared" si="116"/>
        <v>4.8531966004346545</v>
      </c>
      <c r="CI142" s="91">
        <f t="shared" si="117"/>
        <v>80.501031981386177</v>
      </c>
      <c r="CK142" s="78"/>
      <c r="CL142" s="5"/>
      <c r="CM142" s="6"/>
      <c r="CN142" s="2"/>
      <c r="CO142" s="6"/>
      <c r="CP142" s="5"/>
      <c r="CQ142" s="7"/>
    </row>
    <row r="143" spans="81:95" x14ac:dyDescent="0.25">
      <c r="CC143" s="87">
        <v>45048.708333333336</v>
      </c>
      <c r="CD143" s="109">
        <v>6.0397646156502803E-2</v>
      </c>
      <c r="CE143" s="88">
        <v>102.9873886</v>
      </c>
      <c r="CF143" s="89">
        <v>4703</v>
      </c>
      <c r="CG143" s="90">
        <f t="shared" si="115"/>
        <v>78.38333333333334</v>
      </c>
      <c r="CH143" s="91">
        <f t="shared" si="116"/>
        <v>4.7341688312338785</v>
      </c>
      <c r="CI143" s="91">
        <f t="shared" si="117"/>
        <v>79.528071830499584</v>
      </c>
      <c r="CK143" s="78"/>
      <c r="CL143" s="5"/>
      <c r="CM143" s="6"/>
      <c r="CN143" s="2"/>
      <c r="CO143" s="6"/>
      <c r="CP143" s="5"/>
      <c r="CQ143" s="7"/>
    </row>
    <row r="144" spans="81:95" x14ac:dyDescent="0.25">
      <c r="CC144" s="87">
        <v>45048.71875</v>
      </c>
      <c r="CD144" s="109">
        <v>5.7277374887768399E-2</v>
      </c>
      <c r="CE144" s="88">
        <v>99.297599469999994</v>
      </c>
      <c r="CF144" s="89">
        <v>4851</v>
      </c>
      <c r="CG144" s="90">
        <f t="shared" si="115"/>
        <v>80.849999999999994</v>
      </c>
      <c r="CH144" s="91">
        <f t="shared" si="116"/>
        <v>4.6308757596760746</v>
      </c>
      <c r="CI144" s="91">
        <f t="shared" si="117"/>
        <v>78.673564473892895</v>
      </c>
      <c r="CK144" s="78"/>
      <c r="CL144" s="5"/>
      <c r="CM144" s="6"/>
      <c r="CN144" s="2"/>
      <c r="CO144" s="6"/>
      <c r="CP144" s="5"/>
      <c r="CQ144" s="7"/>
    </row>
    <row r="145" spans="81:95" x14ac:dyDescent="0.25">
      <c r="CC145" s="87">
        <v>45048.729166666664</v>
      </c>
      <c r="CD145" s="109">
        <v>5.6913203746287402E-2</v>
      </c>
      <c r="CE145" s="88">
        <v>110.9974619</v>
      </c>
      <c r="CF145" s="89">
        <v>5095</v>
      </c>
      <c r="CG145" s="90">
        <f t="shared" si="115"/>
        <v>84.916666666666671</v>
      </c>
      <c r="CH145" s="91">
        <f t="shared" si="116"/>
        <v>4.832879551455572</v>
      </c>
      <c r="CI145" s="91">
        <f t="shared" si="117"/>
        <v>80.335824803024266</v>
      </c>
      <c r="CK145" s="78"/>
      <c r="CL145" s="5"/>
      <c r="CM145" s="6"/>
      <c r="CN145" s="2"/>
      <c r="CO145" s="6"/>
      <c r="CP145" s="5"/>
      <c r="CQ145" s="7"/>
    </row>
    <row r="146" spans="81:95" x14ac:dyDescent="0.25">
      <c r="CC146" s="87">
        <v>45048.739583333336</v>
      </c>
      <c r="CD146" s="109">
        <v>6.4448845072485203E-2</v>
      </c>
      <c r="CE146" s="88">
        <v>122.1341827</v>
      </c>
      <c r="CF146" s="89">
        <v>4671</v>
      </c>
      <c r="CG146" s="90">
        <f t="shared" si="115"/>
        <v>77.849999999999994</v>
      </c>
      <c r="CH146" s="91">
        <f t="shared" si="116"/>
        <v>5.0173425888929728</v>
      </c>
      <c r="CI146" s="91">
        <f t="shared" si="117"/>
        <v>81.823036247756932</v>
      </c>
      <c r="CK146" s="78"/>
      <c r="CL146" s="5"/>
      <c r="CM146" s="6"/>
      <c r="CN146" s="2"/>
      <c r="CO146" s="6"/>
      <c r="CP146" s="5"/>
      <c r="CQ146" s="7"/>
    </row>
    <row r="147" spans="81:95" x14ac:dyDescent="0.25">
      <c r="CC147" s="87">
        <v>45048.75</v>
      </c>
      <c r="CD147" s="109">
        <v>6.2321285571784603E-2</v>
      </c>
      <c r="CE147" s="88">
        <v>113.3544048</v>
      </c>
      <c r="CF147" s="89">
        <v>4535</v>
      </c>
      <c r="CG147" s="90">
        <f t="shared" si="115"/>
        <v>75.583333333333329</v>
      </c>
      <c r="CH147" s="91">
        <f t="shared" si="116"/>
        <v>4.7104505011340523</v>
      </c>
      <c r="CI147" s="91">
        <f t="shared" si="117"/>
        <v>79.332706662424229</v>
      </c>
      <c r="CK147" s="78"/>
      <c r="CL147" s="5"/>
      <c r="CM147" s="6"/>
      <c r="CN147" s="2"/>
      <c r="CO147" s="6"/>
      <c r="CP147" s="5"/>
      <c r="CQ147" s="7"/>
    </row>
    <row r="148" spans="81:95" x14ac:dyDescent="0.25">
      <c r="CC148" s="87">
        <v>45048.760416666664</v>
      </c>
      <c r="CD148" s="109">
        <v>6.7690018744910693E-2</v>
      </c>
      <c r="CE148" s="88">
        <v>118.36070239999999</v>
      </c>
      <c r="CF148" s="89">
        <v>4702</v>
      </c>
      <c r="CG148" s="90">
        <f t="shared" si="115"/>
        <v>78.36666666666666</v>
      </c>
      <c r="CH148" s="91">
        <f t="shared" si="116"/>
        <v>5.304641135642834</v>
      </c>
      <c r="CI148" s="91">
        <f t="shared" si="117"/>
        <v>84.084828007221162</v>
      </c>
      <c r="CK148" s="78"/>
      <c r="CL148" s="5"/>
      <c r="CM148" s="6"/>
      <c r="CN148" s="2"/>
      <c r="CO148" s="6"/>
      <c r="CP148" s="5"/>
      <c r="CQ148" s="7"/>
    </row>
    <row r="149" spans="81:95" x14ac:dyDescent="0.25">
      <c r="CC149" s="87">
        <v>45048.770833333336</v>
      </c>
      <c r="CD149" s="109">
        <v>5.8989712134753999E-2</v>
      </c>
      <c r="CE149" s="88">
        <v>114.9053189</v>
      </c>
      <c r="CF149" s="89">
        <v>4854</v>
      </c>
      <c r="CG149" s="90">
        <f t="shared" si="115"/>
        <v>80.900000000000006</v>
      </c>
      <c r="CH149" s="91">
        <f t="shared" si="116"/>
        <v>4.7722677117015992</v>
      </c>
      <c r="CI149" s="91">
        <f t="shared" si="117"/>
        <v>79.840845333413483</v>
      </c>
      <c r="CK149" s="78"/>
      <c r="CL149" s="5"/>
      <c r="CM149" s="6"/>
      <c r="CN149" s="2"/>
      <c r="CO149" s="6"/>
      <c r="CP149" s="5"/>
      <c r="CQ149" s="7"/>
    </row>
    <row r="150" spans="81:95" x14ac:dyDescent="0.25">
      <c r="CC150" s="87">
        <v>45048.78125</v>
      </c>
      <c r="CD150" s="109">
        <v>6.5181094865799594E-2</v>
      </c>
      <c r="CE150" s="88">
        <v>119.12362779999999</v>
      </c>
      <c r="CF150" s="89">
        <v>4781</v>
      </c>
      <c r="CG150" s="90">
        <f t="shared" si="115"/>
        <v>79.683333333333337</v>
      </c>
      <c r="CH150" s="91">
        <f t="shared" si="116"/>
        <v>5.1938469092231312</v>
      </c>
      <c r="CI150" s="91">
        <f t="shared" si="117"/>
        <v>83.220175387400374</v>
      </c>
      <c r="CK150" s="78"/>
      <c r="CL150" s="5"/>
      <c r="CM150" s="6"/>
      <c r="CN150" s="2"/>
      <c r="CO150" s="6"/>
      <c r="CP150" s="5"/>
      <c r="CQ150" s="7"/>
    </row>
    <row r="151" spans="81:95" x14ac:dyDescent="0.25">
      <c r="CC151" s="87">
        <v>45048.791666666664</v>
      </c>
      <c r="CD151" s="109">
        <v>6.2356852223128499E-2</v>
      </c>
      <c r="CE151" s="88">
        <v>116.4455014</v>
      </c>
      <c r="CF151" s="89">
        <v>4838</v>
      </c>
      <c r="CG151" s="90">
        <f t="shared" si="115"/>
        <v>80.63333333333334</v>
      </c>
      <c r="CH151" s="91">
        <f t="shared" si="116"/>
        <v>5.0280408509249286</v>
      </c>
      <c r="CI151" s="91">
        <f t="shared" si="117"/>
        <v>81.908426654665263</v>
      </c>
      <c r="CK151" s="78"/>
      <c r="CL151" s="5"/>
      <c r="CM151" s="6"/>
      <c r="CN151" s="2"/>
      <c r="CO151" s="6"/>
      <c r="CP151" s="5"/>
      <c r="CQ151" s="7"/>
    </row>
    <row r="152" spans="81:95" x14ac:dyDescent="0.25">
      <c r="CC152" s="87">
        <v>45048.802083333336</v>
      </c>
      <c r="CD152" s="109">
        <v>5.9309564865943701E-2</v>
      </c>
      <c r="CE152" s="88">
        <v>112.18199679999999</v>
      </c>
      <c r="CF152" s="89">
        <v>4784</v>
      </c>
      <c r="CG152" s="90">
        <f t="shared" si="115"/>
        <v>79.733333333333334</v>
      </c>
      <c r="CH152" s="91">
        <f t="shared" si="116"/>
        <v>4.7289493053112448</v>
      </c>
      <c r="CI152" s="91">
        <f t="shared" si="117"/>
        <v>79.485122134372787</v>
      </c>
      <c r="CK152" s="78"/>
      <c r="CL152" s="5"/>
      <c r="CM152" s="6"/>
      <c r="CN152" s="2"/>
      <c r="CO152" s="6"/>
      <c r="CP152" s="5"/>
      <c r="CQ152" s="7"/>
    </row>
    <row r="153" spans="81:95" x14ac:dyDescent="0.25">
      <c r="CC153" s="87">
        <v>45048.8125</v>
      </c>
      <c r="CD153" s="109">
        <v>6.0798831998882599E-2</v>
      </c>
      <c r="CE153" s="88">
        <v>129.48707379999999</v>
      </c>
      <c r="CF153" s="89">
        <v>4710</v>
      </c>
      <c r="CG153" s="90">
        <f t="shared" si="115"/>
        <v>78.5</v>
      </c>
      <c r="CH153" s="91">
        <f t="shared" si="116"/>
        <v>4.7727083119122842</v>
      </c>
      <c r="CI153" s="91">
        <f t="shared" si="117"/>
        <v>79.844454981822423</v>
      </c>
      <c r="CK153" s="78"/>
      <c r="CL153" s="5"/>
      <c r="CM153" s="6"/>
      <c r="CN153" s="2"/>
      <c r="CO153" s="6"/>
      <c r="CP153" s="5"/>
      <c r="CQ153" s="7"/>
    </row>
    <row r="154" spans="81:95" x14ac:dyDescent="0.25">
      <c r="CC154" s="87">
        <v>45048.822916666664</v>
      </c>
      <c r="CD154" s="109">
        <v>6.16372210383615E-2</v>
      </c>
      <c r="CE154" s="88">
        <v>125.108964</v>
      </c>
      <c r="CF154" s="89">
        <v>4673</v>
      </c>
      <c r="CG154" s="90">
        <f t="shared" si="115"/>
        <v>77.88333333333334</v>
      </c>
      <c r="CH154" s="91">
        <f t="shared" si="116"/>
        <v>4.8005122318710551</v>
      </c>
      <c r="CI154" s="91">
        <f t="shared" si="117"/>
        <v>80.071897614404079</v>
      </c>
      <c r="CK154" s="78"/>
      <c r="CL154" s="5"/>
      <c r="CM154" s="6"/>
      <c r="CN154" s="2"/>
      <c r="CO154" s="6"/>
      <c r="CP154" s="5"/>
      <c r="CQ154" s="7"/>
    </row>
    <row r="155" spans="81:95" x14ac:dyDescent="0.25">
      <c r="CC155" s="87">
        <v>45048.833333333336</v>
      </c>
      <c r="CD155" s="109">
        <v>6.0503503466209897E-2</v>
      </c>
      <c r="CE155" s="88">
        <v>117.9749527</v>
      </c>
      <c r="CF155" s="89">
        <v>4503</v>
      </c>
      <c r="CG155" s="90">
        <f t="shared" si="115"/>
        <v>75.05</v>
      </c>
      <c r="CH155" s="91">
        <f t="shared" si="116"/>
        <v>4.5407879351390523</v>
      </c>
      <c r="CI155" s="91">
        <f t="shared" si="117"/>
        <v>77.920324241039069</v>
      </c>
      <c r="CK155" s="78"/>
      <c r="CL155" s="5"/>
      <c r="CM155" s="6"/>
      <c r="CN155" s="2"/>
      <c r="CO155" s="6"/>
      <c r="CP155" s="5"/>
      <c r="CQ155" s="7"/>
    </row>
  </sheetData>
  <mergeCells count="12">
    <mergeCell ref="AR1:AS1"/>
    <mergeCell ref="AT1:AU1"/>
    <mergeCell ref="BD1:BE1"/>
    <mergeCell ref="BF1:BG1"/>
    <mergeCell ref="BP1:BQ1"/>
    <mergeCell ref="BR1:BS1"/>
    <mergeCell ref="H1:I1"/>
    <mergeCell ref="J1:K1"/>
    <mergeCell ref="T1:U1"/>
    <mergeCell ref="V1:W1"/>
    <mergeCell ref="AH1:AI1"/>
    <mergeCell ref="AF1:AG1"/>
  </mergeCells>
  <pageMargins left="0.7" right="0.7" top="0.75" bottom="0.75" header="0.3" footer="0.3"/>
  <ignoredErrors>
    <ignoredError sqref="F1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max results</vt:lpstr>
      <vt:lpstr>time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2025-11-22T02:42:48Z</dcterms:modified>
</cp:coreProperties>
</file>